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ed1ebc0992dc4adc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ClaudeCode\Pakplan Vordering\"/>
    </mc:Choice>
  </mc:AlternateContent>
  <xr:revisionPtr revIDLastSave="0" documentId="8_{C6643831-68C3-425F-AC8D-290E70D751CA}" xr6:coauthVersionLast="47" xr6:coauthVersionMax="47" xr10:uidLastSave="{00000000-0000-0000-0000-000000000000}"/>
  <bookViews>
    <workbookView xWindow="28680" yWindow="-5745" windowWidth="29040" windowHeight="15720" xr2:uid="{BFF45E8A-C419-4143-A69A-7BB6777DFFDE}"/>
  </bookViews>
  <sheets>
    <sheet name="Pakplan" sheetId="13" r:id="rId1"/>
    <sheet name="Data" sheetId="25" r:id="rId2"/>
    <sheet name="Agreement Codes" sheetId="2" state="hidden" r:id="rId3"/>
    <sheet name="Vordering" sheetId="29" r:id="rId4"/>
    <sheet name="Opsomming" sheetId="30" r:id="rId5"/>
    <sheet name="Grafieke" sheetId="31" r:id="rId6"/>
  </sheets>
  <functionGroups builtInGroupCount="19"/>
  <definedNames>
    <definedName name="_xlnm._FilterDatabase" localSheetId="4" hidden="1">Opsomming!#REF!</definedName>
    <definedName name="_xlnm._FilterDatabase" localSheetId="0" hidden="1">Pakplan!#REF!</definedName>
    <definedName name="ExternalData_1" localSheetId="1" hidden="1">Data!$A$1:$R$403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DataQuery_e8541de2-a3fc-45a6-b506-3c46ef73e729" name="DataQuery" connection="Query - DataQuery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105" i="29" l="1"/>
  <c r="X105" i="29"/>
  <c r="W105" i="29"/>
  <c r="V105" i="29"/>
  <c r="V103" i="29" s="1"/>
  <c r="U105" i="29"/>
  <c r="U103" i="29" s="1"/>
  <c r="T105" i="29"/>
  <c r="T103" i="29" s="1"/>
  <c r="S105" i="29"/>
  <c r="S103" i="29" s="1"/>
  <c r="R105" i="29"/>
  <c r="Q105" i="29"/>
  <c r="Y103" i="29"/>
  <c r="X103" i="29"/>
  <c r="W103" i="29"/>
  <c r="R103" i="29"/>
  <c r="Q103" i="29"/>
  <c r="Y99" i="29"/>
  <c r="Y97" i="29" s="1"/>
  <c r="X99" i="29"/>
  <c r="W99" i="29"/>
  <c r="V99" i="29"/>
  <c r="U99" i="29"/>
  <c r="U97" i="29" s="1"/>
  <c r="T99" i="29"/>
  <c r="T97" i="29" s="1"/>
  <c r="S99" i="29"/>
  <c r="R99" i="29"/>
  <c r="Q99" i="29"/>
  <c r="X97" i="29"/>
  <c r="W97" i="29"/>
  <c r="V97" i="29"/>
  <c r="S97" i="29"/>
  <c r="R97" i="29"/>
  <c r="Q97" i="29"/>
  <c r="Y93" i="29"/>
  <c r="X93" i="29"/>
  <c r="W93" i="29"/>
  <c r="V93" i="29"/>
  <c r="V91" i="29" s="1"/>
  <c r="U93" i="29"/>
  <c r="U91" i="29" s="1"/>
  <c r="T93" i="29"/>
  <c r="T91" i="29" s="1"/>
  <c r="S93" i="29"/>
  <c r="S91" i="29" s="1"/>
  <c r="R93" i="29"/>
  <c r="R91" i="29" s="1"/>
  <c r="Q93" i="29"/>
  <c r="Q91" i="29" s="1"/>
  <c r="Y91" i="29"/>
  <c r="X91" i="29"/>
  <c r="W91" i="29"/>
  <c r="Y87" i="29"/>
  <c r="Y85" i="29" s="1"/>
  <c r="X87" i="29"/>
  <c r="X85" i="29" s="1"/>
  <c r="W87" i="29"/>
  <c r="W85" i="29" s="1"/>
  <c r="V87" i="29"/>
  <c r="U87" i="29"/>
  <c r="T87" i="29"/>
  <c r="S87" i="29"/>
  <c r="R87" i="29"/>
  <c r="Q87" i="29"/>
  <c r="V85" i="29"/>
  <c r="U85" i="29"/>
  <c r="T85" i="29"/>
  <c r="S85" i="29"/>
  <c r="R85" i="29"/>
  <c r="Q85" i="29"/>
  <c r="Y81" i="29"/>
  <c r="X81" i="29"/>
  <c r="W81" i="29"/>
  <c r="V81" i="29"/>
  <c r="V79" i="29" s="1"/>
  <c r="U81" i="29"/>
  <c r="U79" i="29" s="1"/>
  <c r="T81" i="29"/>
  <c r="T79" i="29" s="1"/>
  <c r="S81" i="29"/>
  <c r="S79" i="29" s="1"/>
  <c r="R81" i="29"/>
  <c r="R79" i="29" s="1"/>
  <c r="Q81" i="29"/>
  <c r="Q79" i="29" s="1"/>
  <c r="Y79" i="29"/>
  <c r="X79" i="29"/>
  <c r="W79" i="29"/>
  <c r="Y75" i="29"/>
  <c r="Y73" i="29" s="1"/>
  <c r="X75" i="29"/>
  <c r="X73" i="29" s="1"/>
  <c r="W75" i="29"/>
  <c r="W73" i="29" s="1"/>
  <c r="V75" i="29"/>
  <c r="U75" i="29"/>
  <c r="T75" i="29"/>
  <c r="T73" i="29" s="1"/>
  <c r="S75" i="29"/>
  <c r="R75" i="29"/>
  <c r="Q75" i="29"/>
  <c r="V73" i="29"/>
  <c r="U73" i="29"/>
  <c r="S73" i="29"/>
  <c r="R73" i="29"/>
  <c r="Q73" i="29"/>
  <c r="Y69" i="29"/>
  <c r="X69" i="29"/>
  <c r="W69" i="29"/>
  <c r="V69" i="29"/>
  <c r="V67" i="29" s="1"/>
  <c r="U69" i="29"/>
  <c r="U67" i="29" s="1"/>
  <c r="T69" i="29"/>
  <c r="T67" i="29" s="1"/>
  <c r="S69" i="29"/>
  <c r="S67" i="29" s="1"/>
  <c r="R69" i="29"/>
  <c r="R67" i="29" s="1"/>
  <c r="Q69" i="29"/>
  <c r="Q67" i="29" s="1"/>
  <c r="Y67" i="29"/>
  <c r="X67" i="29"/>
  <c r="W67" i="29"/>
  <c r="Y63" i="29"/>
  <c r="Y61" i="29" s="1"/>
  <c r="X63" i="29"/>
  <c r="X61" i="29" s="1"/>
  <c r="W63" i="29"/>
  <c r="W61" i="29" s="1"/>
  <c r="V63" i="29"/>
  <c r="U63" i="29"/>
  <c r="T63" i="29"/>
  <c r="S63" i="29"/>
  <c r="R63" i="29"/>
  <c r="Q63" i="29"/>
  <c r="V61" i="29"/>
  <c r="U61" i="29"/>
  <c r="T61" i="29"/>
  <c r="S61" i="29"/>
  <c r="R61" i="29"/>
  <c r="Q61" i="29"/>
  <c r="Y57" i="29"/>
  <c r="X57" i="29"/>
  <c r="W57" i="29"/>
  <c r="V57" i="29"/>
  <c r="V55" i="29" s="1"/>
  <c r="U57" i="29"/>
  <c r="U55" i="29" s="1"/>
  <c r="T57" i="29"/>
  <c r="S57" i="29"/>
  <c r="S55" i="29" s="1"/>
  <c r="R57" i="29"/>
  <c r="R55" i="29" s="1"/>
  <c r="Q57" i="29"/>
  <c r="Q55" i="29" s="1"/>
  <c r="Y55" i="29"/>
  <c r="X55" i="29"/>
  <c r="W55" i="29"/>
  <c r="T55" i="29"/>
  <c r="Y51" i="29"/>
  <c r="Y49" i="29" s="1"/>
  <c r="X51" i="29"/>
  <c r="X49" i="29" s="1"/>
  <c r="U51" i="29"/>
  <c r="T51" i="29"/>
  <c r="S51" i="29"/>
  <c r="R51" i="29"/>
  <c r="Q51" i="29"/>
  <c r="U49" i="29"/>
  <c r="T49" i="29"/>
  <c r="S49" i="29"/>
  <c r="R49" i="29"/>
  <c r="Q49" i="29"/>
  <c r="Y45" i="29"/>
  <c r="X45" i="29"/>
  <c r="W45" i="29"/>
  <c r="V45" i="29"/>
  <c r="V43" i="29" s="1"/>
  <c r="U45" i="29"/>
  <c r="U43" i="29" s="1"/>
  <c r="T45" i="29"/>
  <c r="S45" i="29"/>
  <c r="S43" i="29" s="1"/>
  <c r="R45" i="29"/>
  <c r="R43" i="29" s="1"/>
  <c r="Q45" i="29"/>
  <c r="Q43" i="29" s="1"/>
  <c r="Y43" i="29"/>
  <c r="X43" i="29"/>
  <c r="W43" i="29"/>
  <c r="T43" i="29"/>
  <c r="Y39" i="29"/>
  <c r="Y37" i="29" s="1"/>
  <c r="X39" i="29"/>
  <c r="X37" i="29" s="1"/>
  <c r="W39" i="29"/>
  <c r="W51" i="29" s="1"/>
  <c r="V39" i="29"/>
  <c r="V51" i="29" s="1"/>
  <c r="V49" i="29" s="1"/>
  <c r="U39" i="29"/>
  <c r="T39" i="29"/>
  <c r="T37" i="29" s="1"/>
  <c r="S39" i="29"/>
  <c r="R39" i="29"/>
  <c r="Q39" i="29"/>
  <c r="V37" i="29"/>
  <c r="U37" i="29"/>
  <c r="S37" i="29"/>
  <c r="R37" i="29"/>
  <c r="Q37" i="29"/>
  <c r="Y33" i="29"/>
  <c r="X33" i="29"/>
  <c r="W33" i="29"/>
  <c r="V33" i="29"/>
  <c r="V31" i="29" s="1"/>
  <c r="U33" i="29"/>
  <c r="U31" i="29" s="1"/>
  <c r="T33" i="29"/>
  <c r="S33" i="29"/>
  <c r="S31" i="29" s="1"/>
  <c r="R33" i="29"/>
  <c r="R31" i="29" s="1"/>
  <c r="Q33" i="29"/>
  <c r="Q31" i="29" s="1"/>
  <c r="Y31" i="29"/>
  <c r="X31" i="29"/>
  <c r="W31" i="29"/>
  <c r="T31" i="29"/>
  <c r="Y27" i="29"/>
  <c r="Y25" i="29" s="1"/>
  <c r="X27" i="29"/>
  <c r="X25" i="29" s="1"/>
  <c r="W27" i="29"/>
  <c r="W25" i="29" s="1"/>
  <c r="V27" i="29"/>
  <c r="U27" i="29"/>
  <c r="T27" i="29"/>
  <c r="T25" i="29" s="1"/>
  <c r="S27" i="29"/>
  <c r="R27" i="29"/>
  <c r="Q27" i="29"/>
  <c r="V25" i="29"/>
  <c r="U25" i="29"/>
  <c r="S25" i="29"/>
  <c r="R25" i="29"/>
  <c r="Q25" i="29"/>
  <c r="Y21" i="29"/>
  <c r="X21" i="29"/>
  <c r="W21" i="29"/>
  <c r="V21" i="29"/>
  <c r="V19" i="29" s="1"/>
  <c r="U21" i="29"/>
  <c r="U19" i="29" s="1"/>
  <c r="T21" i="29"/>
  <c r="S21" i="29"/>
  <c r="S19" i="29" s="1"/>
  <c r="R21" i="29"/>
  <c r="R19" i="29" s="1"/>
  <c r="Q21" i="29"/>
  <c r="Q19" i="29" s="1"/>
  <c r="Y19" i="29"/>
  <c r="X19" i="29"/>
  <c r="W19" i="29"/>
  <c r="T19" i="29"/>
  <c r="Y15" i="29"/>
  <c r="Y13" i="29" s="1"/>
  <c r="X15" i="29"/>
  <c r="X13" i="29" s="1"/>
  <c r="W15" i="29"/>
  <c r="W13" i="29" s="1"/>
  <c r="V15" i="29"/>
  <c r="U15" i="29"/>
  <c r="T15" i="29"/>
  <c r="T13" i="29" s="1"/>
  <c r="S15" i="29"/>
  <c r="R15" i="29"/>
  <c r="Q15" i="29"/>
  <c r="V13" i="29"/>
  <c r="U13" i="29"/>
  <c r="S13" i="29"/>
  <c r="R13" i="29"/>
  <c r="Q13" i="29"/>
  <c r="Y9" i="29"/>
  <c r="X9" i="29"/>
  <c r="W9" i="29"/>
  <c r="V9" i="29"/>
  <c r="V7" i="29" s="1"/>
  <c r="U9" i="29"/>
  <c r="U7" i="29" s="1"/>
  <c r="T9" i="29"/>
  <c r="S9" i="29"/>
  <c r="S7" i="29" s="1"/>
  <c r="R9" i="29"/>
  <c r="R7" i="29" s="1"/>
  <c r="Q9" i="29"/>
  <c r="Q7" i="29" s="1"/>
  <c r="Y7" i="29"/>
  <c r="X7" i="29"/>
  <c r="W7" i="29"/>
  <c r="T7" i="29"/>
  <c r="T94" i="29"/>
  <c r="S88" i="29"/>
  <c r="W37" i="29" l="1"/>
  <c r="W49" i="29" s="1"/>
  <c r="Y101" i="29" l="1"/>
  <c r="Y102" i="29" s="1"/>
  <c r="X101" i="29"/>
  <c r="X102" i="29" s="1"/>
  <c r="W101" i="29"/>
  <c r="W102" i="29" s="1"/>
  <c r="V101" i="29"/>
  <c r="V102" i="29" s="1"/>
  <c r="R101" i="29"/>
  <c r="R102" i="29" s="1"/>
  <c r="Q102" i="29"/>
  <c r="Q101" i="29"/>
  <c r="U100" i="29"/>
  <c r="T100" i="29"/>
  <c r="S100" i="29"/>
  <c r="Y95" i="29"/>
  <c r="Y96" i="29" s="1"/>
  <c r="X96" i="29"/>
  <c r="X95" i="29"/>
  <c r="W95" i="29"/>
  <c r="W96" i="29" s="1"/>
  <c r="V95" i="29"/>
  <c r="V96" i="29" s="1"/>
  <c r="S95" i="29"/>
  <c r="S96" i="29" s="1"/>
  <c r="R95" i="29"/>
  <c r="R96" i="29" s="1"/>
  <c r="Q95" i="29"/>
  <c r="Q96" i="29" s="1"/>
  <c r="Z94" i="29"/>
  <c r="O94" i="29" s="1"/>
  <c r="U94" i="29"/>
  <c r="Y89" i="29"/>
  <c r="Y90" i="29" s="1"/>
  <c r="X89" i="29"/>
  <c r="X90" i="29" s="1"/>
  <c r="W89" i="29"/>
  <c r="W90" i="29" s="1"/>
  <c r="V89" i="29"/>
  <c r="V90" i="29" s="1"/>
  <c r="U89" i="29"/>
  <c r="U90" i="29" s="1"/>
  <c r="T90" i="29"/>
  <c r="T89" i="29"/>
  <c r="S89" i="29"/>
  <c r="R89" i="29"/>
  <c r="Q89" i="29"/>
  <c r="R88" i="29"/>
  <c r="Q88" i="29"/>
  <c r="Y84" i="29"/>
  <c r="Y83" i="29"/>
  <c r="X83" i="29"/>
  <c r="X84" i="29" s="1"/>
  <c r="W83" i="29"/>
  <c r="W84" i="29" s="1"/>
  <c r="V83" i="29"/>
  <c r="V84" i="29" s="1"/>
  <c r="S83" i="29"/>
  <c r="S84" i="29" s="1"/>
  <c r="R83" i="29"/>
  <c r="R84" i="29" s="1"/>
  <c r="Q84" i="29"/>
  <c r="Q83" i="29"/>
  <c r="U82" i="29"/>
  <c r="T82" i="29"/>
  <c r="Y78" i="29"/>
  <c r="Y77" i="29"/>
  <c r="X77" i="29"/>
  <c r="X78" i="29" s="1"/>
  <c r="W77" i="29"/>
  <c r="W78" i="29" s="1"/>
  <c r="V77" i="29"/>
  <c r="V78" i="29" s="1"/>
  <c r="U78" i="29"/>
  <c r="U77" i="29"/>
  <c r="T77" i="29"/>
  <c r="T78" i="29" s="1"/>
  <c r="R77" i="29"/>
  <c r="S76" i="29"/>
  <c r="R76" i="29"/>
  <c r="Q76" i="29"/>
  <c r="Y71" i="29"/>
  <c r="Y72" i="29" s="1"/>
  <c r="X71" i="29"/>
  <c r="X72" i="29" s="1"/>
  <c r="W72" i="29"/>
  <c r="W71" i="29"/>
  <c r="V71" i="29"/>
  <c r="V72" i="29" s="1"/>
  <c r="S71" i="29"/>
  <c r="S72" i="29" s="1"/>
  <c r="R72" i="29"/>
  <c r="R71" i="29"/>
  <c r="Q71" i="29"/>
  <c r="U70" i="29"/>
  <c r="T70" i="29"/>
  <c r="Y65" i="29"/>
  <c r="Y66" i="29" s="1"/>
  <c r="X65" i="29"/>
  <c r="X66" i="29" s="1"/>
  <c r="W65" i="29"/>
  <c r="W66" i="29" s="1"/>
  <c r="V66" i="29"/>
  <c r="V65" i="29"/>
  <c r="U65" i="29"/>
  <c r="U66" i="29" s="1"/>
  <c r="T65" i="29"/>
  <c r="T66" i="29" s="1"/>
  <c r="S64" i="29"/>
  <c r="R64" i="29"/>
  <c r="Q64" i="29"/>
  <c r="Y59" i="29"/>
  <c r="Y60" i="29" s="1"/>
  <c r="X59" i="29"/>
  <c r="X60" i="29" s="1"/>
  <c r="V59" i="29"/>
  <c r="U59" i="29"/>
  <c r="U60" i="29" s="1"/>
  <c r="T59" i="29"/>
  <c r="T60" i="29" s="1"/>
  <c r="S59" i="29"/>
  <c r="S60" i="29" s="1"/>
  <c r="R59" i="29"/>
  <c r="R60" i="29" s="1"/>
  <c r="Q59" i="29"/>
  <c r="W58" i="29"/>
  <c r="V58" i="29"/>
  <c r="Y53" i="29"/>
  <c r="Y54" i="29" s="1"/>
  <c r="X53" i="29"/>
  <c r="X54" i="29" s="1"/>
  <c r="V53" i="29"/>
  <c r="U53" i="29"/>
  <c r="U54" i="29" s="1"/>
  <c r="T53" i="29"/>
  <c r="T54" i="29" s="1"/>
  <c r="S53" i="29"/>
  <c r="S54" i="29" s="1"/>
  <c r="R53" i="29"/>
  <c r="R54" i="29" s="1"/>
  <c r="Q53" i="29"/>
  <c r="W52" i="29"/>
  <c r="V52" i="29"/>
  <c r="Y47" i="29"/>
  <c r="Y48" i="29" s="1"/>
  <c r="X47" i="29"/>
  <c r="X48" i="29" s="1"/>
  <c r="V47" i="29"/>
  <c r="U47" i="29"/>
  <c r="U48" i="29" s="1"/>
  <c r="T47" i="29"/>
  <c r="T48" i="29" s="1"/>
  <c r="S47" i="29"/>
  <c r="S48" i="29" s="1"/>
  <c r="R47" i="29"/>
  <c r="R48" i="29" s="1"/>
  <c r="Q47" i="29"/>
  <c r="W46" i="29"/>
  <c r="V46" i="29"/>
  <c r="Y41" i="29"/>
  <c r="Y42" i="29" s="1"/>
  <c r="U41" i="29"/>
  <c r="U42" i="29" s="1"/>
  <c r="T41" i="29"/>
  <c r="T42" i="29" s="1"/>
  <c r="S41" i="29"/>
  <c r="S42" i="29" s="1"/>
  <c r="R41" i="29"/>
  <c r="R42" i="29" s="1"/>
  <c r="Q41" i="29"/>
  <c r="X40" i="29"/>
  <c r="X41" i="29" s="1"/>
  <c r="W40" i="29"/>
  <c r="V40" i="29"/>
  <c r="Y35" i="29"/>
  <c r="Y36" i="29" s="1"/>
  <c r="X35" i="29"/>
  <c r="X36" i="29" s="1"/>
  <c r="W35" i="29"/>
  <c r="U35" i="29"/>
  <c r="U36" i="29" s="1"/>
  <c r="T35" i="29"/>
  <c r="T36" i="29" s="1"/>
  <c r="S35" i="29"/>
  <c r="S36" i="29" s="1"/>
  <c r="R35" i="29"/>
  <c r="R36" i="29" s="1"/>
  <c r="Q35" i="29"/>
  <c r="W34" i="29"/>
  <c r="V34" i="29"/>
  <c r="Z34" i="29" s="1"/>
  <c r="N34" i="29" s="1"/>
  <c r="Y29" i="29"/>
  <c r="Y30" i="29" s="1"/>
  <c r="X29" i="29"/>
  <c r="X30" i="29" s="1"/>
  <c r="W29" i="29"/>
  <c r="U29" i="29"/>
  <c r="U30" i="29" s="1"/>
  <c r="T30" i="29"/>
  <c r="T29" i="29"/>
  <c r="S29" i="29"/>
  <c r="S30" i="29" s="1"/>
  <c r="R29" i="29"/>
  <c r="R30" i="29" s="1"/>
  <c r="Q29" i="29"/>
  <c r="W28" i="29"/>
  <c r="V28" i="29"/>
  <c r="W23" i="29"/>
  <c r="W24" i="29" s="1"/>
  <c r="V24" i="29"/>
  <c r="V23" i="29"/>
  <c r="U23" i="29"/>
  <c r="U24" i="29" s="1"/>
  <c r="T23" i="29"/>
  <c r="T24" i="29" s="1"/>
  <c r="S23" i="29"/>
  <c r="S24" i="29" s="1"/>
  <c r="R24" i="29"/>
  <c r="R23" i="29"/>
  <c r="Q23" i="29"/>
  <c r="Y22" i="29"/>
  <c r="X22" i="29"/>
  <c r="Y17" i="29"/>
  <c r="Y18" i="29" s="1"/>
  <c r="Y20" i="29" s="1"/>
  <c r="U17" i="29"/>
  <c r="U18" i="29" s="1"/>
  <c r="U20" i="29" s="1"/>
  <c r="T17" i="29"/>
  <c r="T18" i="29" s="1"/>
  <c r="T20" i="29" s="1"/>
  <c r="S17" i="29"/>
  <c r="S18" i="29" s="1"/>
  <c r="S20" i="29" s="1"/>
  <c r="R17" i="29"/>
  <c r="R18" i="29" s="1"/>
  <c r="R20" i="29" s="1"/>
  <c r="Q17" i="29"/>
  <c r="X16" i="29"/>
  <c r="W16" i="29"/>
  <c r="V16" i="29"/>
  <c r="Y11" i="29"/>
  <c r="Y12" i="29" s="1"/>
  <c r="Y14" i="29" s="1"/>
  <c r="X12" i="29"/>
  <c r="X14" i="29" s="1"/>
  <c r="X11" i="29"/>
  <c r="U11" i="29"/>
  <c r="U12" i="29" s="1"/>
  <c r="U14" i="29" s="1"/>
  <c r="T11" i="29"/>
  <c r="T12" i="29" s="1"/>
  <c r="T14" i="29" s="1"/>
  <c r="S11" i="29"/>
  <c r="S12" i="29" s="1"/>
  <c r="S14" i="29" s="1"/>
  <c r="R11" i="29"/>
  <c r="R12" i="29" s="1"/>
  <c r="R14" i="29" s="1"/>
  <c r="Q11" i="29"/>
  <c r="Q12" i="29" s="1"/>
  <c r="W10" i="29"/>
  <c r="V10" i="29"/>
  <c r="Y5" i="29"/>
  <c r="W5" i="29"/>
  <c r="U5" i="29"/>
  <c r="T5" i="29"/>
  <c r="T6" i="29" s="1"/>
  <c r="T8" i="29" s="1"/>
  <c r="S6" i="29"/>
  <c r="S5" i="29"/>
  <c r="R5" i="29"/>
  <c r="R6" i="29" s="1"/>
  <c r="Q5" i="29"/>
  <c r="X4" i="29"/>
  <c r="W4" i="29"/>
  <c r="V4" i="29"/>
  <c r="U40" i="13"/>
  <c r="T40" i="13"/>
  <c r="R39" i="13"/>
  <c r="S39" i="13"/>
  <c r="Q39" i="13"/>
  <c r="W24" i="13"/>
  <c r="V24" i="13"/>
  <c r="Z24" i="13" s="1"/>
  <c r="N24" i="13" s="1"/>
  <c r="W18" i="13"/>
  <c r="V18" i="13"/>
  <c r="S42" i="13"/>
  <c r="T42" i="13"/>
  <c r="U42" i="13"/>
  <c r="Z42" i="13"/>
  <c r="O42" i="13" s="1"/>
  <c r="P91" i="29" l="1"/>
  <c r="X5" i="29"/>
  <c r="X6" i="29"/>
  <c r="Z82" i="29"/>
  <c r="O82" i="29" s="1"/>
  <c r="P93" i="29"/>
  <c r="T95" i="29"/>
  <c r="R78" i="29"/>
  <c r="V17" i="29"/>
  <c r="W17" i="29"/>
  <c r="U101" i="29"/>
  <c r="P103" i="29"/>
  <c r="W36" i="29"/>
  <c r="R90" i="29"/>
  <c r="S90" i="29"/>
  <c r="X17" i="29"/>
  <c r="Z40" i="29"/>
  <c r="N40" i="29" s="1"/>
  <c r="Z46" i="29"/>
  <c r="N46" i="29" s="1"/>
  <c r="Z52" i="29"/>
  <c r="N52" i="29" s="1"/>
  <c r="Z58" i="29"/>
  <c r="N58" i="29" s="1"/>
  <c r="Z64" i="29"/>
  <c r="O64" i="29" s="1"/>
  <c r="U71" i="29"/>
  <c r="V11" i="29"/>
  <c r="V35" i="29"/>
  <c r="P35" i="29" s="1"/>
  <c r="P37" i="29"/>
  <c r="Q90" i="29"/>
  <c r="W11" i="29"/>
  <c r="Z16" i="29"/>
  <c r="N16" i="29" s="1"/>
  <c r="X23" i="29"/>
  <c r="W41" i="29"/>
  <c r="W47" i="29"/>
  <c r="W53" i="29"/>
  <c r="W59" i="29"/>
  <c r="R65" i="29"/>
  <c r="Z70" i="29"/>
  <c r="O70" i="29" s="1"/>
  <c r="U95" i="29"/>
  <c r="U96" i="29" s="1"/>
  <c r="T83" i="29"/>
  <c r="Z88" i="29"/>
  <c r="O88" i="29" s="1"/>
  <c r="S101" i="29"/>
  <c r="S102" i="29" s="1"/>
  <c r="Y23" i="29"/>
  <c r="X42" i="29"/>
  <c r="X44" i="29" s="1"/>
  <c r="S65" i="29"/>
  <c r="Z22" i="29"/>
  <c r="N22" i="29" s="1"/>
  <c r="V29" i="29"/>
  <c r="Z76" i="29"/>
  <c r="O76" i="29" s="1"/>
  <c r="V5" i="29"/>
  <c r="W30" i="29"/>
  <c r="Z28" i="29"/>
  <c r="N28" i="29" s="1"/>
  <c r="S77" i="29"/>
  <c r="U83" i="29"/>
  <c r="T101" i="29"/>
  <c r="T102" i="29" s="1"/>
  <c r="R8" i="29"/>
  <c r="P29" i="29"/>
  <c r="P11" i="29"/>
  <c r="Q14" i="29"/>
  <c r="P5" i="29"/>
  <c r="P101" i="29"/>
  <c r="X107" i="29"/>
  <c r="P17" i="29"/>
  <c r="P47" i="29"/>
  <c r="P53" i="29"/>
  <c r="P59" i="29"/>
  <c r="Y107" i="29"/>
  <c r="T71" i="29"/>
  <c r="P89" i="29"/>
  <c r="Z100" i="29"/>
  <c r="O100" i="29" s="1"/>
  <c r="Q6" i="29"/>
  <c r="U6" i="29"/>
  <c r="Y6" i="29"/>
  <c r="Q18" i="29"/>
  <c r="Q24" i="29"/>
  <c r="Q30" i="29"/>
  <c r="Q36" i="29"/>
  <c r="Q42" i="29"/>
  <c r="Q48" i="29"/>
  <c r="Q54" i="29"/>
  <c r="Q60" i="29"/>
  <c r="Q65" i="29"/>
  <c r="R107" i="29"/>
  <c r="Q72" i="29"/>
  <c r="Q77" i="29"/>
  <c r="Q107" i="29" s="1"/>
  <c r="V41" i="29"/>
  <c r="Z4" i="29"/>
  <c r="Z10" i="29"/>
  <c r="N10" i="29" s="1"/>
  <c r="S8" i="29"/>
  <c r="P90" i="29" l="1"/>
  <c r="P92" i="29" s="1"/>
  <c r="X92" i="29"/>
  <c r="T92" i="29"/>
  <c r="V92" i="29"/>
  <c r="R92" i="29"/>
  <c r="U111" i="29"/>
  <c r="U84" i="29"/>
  <c r="P105" i="29"/>
  <c r="X104" i="29" s="1"/>
  <c r="P85" i="29"/>
  <c r="W42" i="29"/>
  <c r="P15" i="29"/>
  <c r="P61" i="29"/>
  <c r="V60" i="29"/>
  <c r="W109" i="29"/>
  <c r="P97" i="29"/>
  <c r="P99" i="29"/>
  <c r="R109" i="29"/>
  <c r="R111" i="29"/>
  <c r="U102" i="29"/>
  <c r="P102" i="29" s="1"/>
  <c r="P104" i="29" s="1"/>
  <c r="X109" i="29"/>
  <c r="P27" i="29"/>
  <c r="U109" i="29"/>
  <c r="P43" i="29"/>
  <c r="P45" i="29"/>
  <c r="W18" i="29"/>
  <c r="W20" i="29" s="1"/>
  <c r="P79" i="29"/>
  <c r="P81" i="29"/>
  <c r="W60" i="29"/>
  <c r="P87" i="29"/>
  <c r="T72" i="29"/>
  <c r="V107" i="29"/>
  <c r="P19" i="29"/>
  <c r="P21" i="29"/>
  <c r="S109" i="29"/>
  <c r="S111" i="29"/>
  <c r="S107" i="29"/>
  <c r="P69" i="29"/>
  <c r="Q111" i="29"/>
  <c r="X18" i="29"/>
  <c r="X20" i="29" s="1"/>
  <c r="X111" i="29"/>
  <c r="Y109" i="29"/>
  <c r="Y111" i="29"/>
  <c r="W12" i="29"/>
  <c r="W14" i="29" s="1"/>
  <c r="S78" i="29"/>
  <c r="P31" i="29"/>
  <c r="P33" i="29"/>
  <c r="T84" i="29"/>
  <c r="P84" i="29" s="1"/>
  <c r="P86" i="29" s="1"/>
  <c r="W54" i="29"/>
  <c r="P83" i="29"/>
  <c r="V111" i="29"/>
  <c r="P39" i="29"/>
  <c r="P71" i="29"/>
  <c r="P95" i="29"/>
  <c r="P41" i="29"/>
  <c r="W107" i="29"/>
  <c r="T107" i="29"/>
  <c r="P23" i="29"/>
  <c r="U107" i="29"/>
  <c r="W48" i="29"/>
  <c r="P63" i="29"/>
  <c r="W6" i="29"/>
  <c r="P9" i="29"/>
  <c r="W111" i="29"/>
  <c r="V36" i="29"/>
  <c r="P36" i="29" s="1"/>
  <c r="P38" i="29" s="1"/>
  <c r="P75" i="29"/>
  <c r="T111" i="29"/>
  <c r="P57" i="29"/>
  <c r="Y8" i="29"/>
  <c r="Q8" i="29"/>
  <c r="X8" i="29"/>
  <c r="Q20" i="29"/>
  <c r="X106" i="29"/>
  <c r="V106" i="29"/>
  <c r="T106" i="29"/>
  <c r="R106" i="29"/>
  <c r="Z106" i="29"/>
  <c r="O106" i="29"/>
  <c r="Y106" i="29"/>
  <c r="W106" i="29"/>
  <c r="U106" i="29"/>
  <c r="S106" i="29"/>
  <c r="Q106" i="29"/>
  <c r="N4" i="29"/>
  <c r="N106" i="29" s="1"/>
  <c r="Y92" i="29"/>
  <c r="U92" i="29"/>
  <c r="Q92" i="29"/>
  <c r="W92" i="29"/>
  <c r="S92" i="29"/>
  <c r="P77" i="29"/>
  <c r="U8" i="29"/>
  <c r="P65" i="29"/>
  <c r="P60" i="29" l="1"/>
  <c r="P62" i="29" s="1"/>
  <c r="R62" i="29"/>
  <c r="Y98" i="29"/>
  <c r="T62" i="29"/>
  <c r="V104" i="29"/>
  <c r="X62" i="29"/>
  <c r="T104" i="29"/>
  <c r="W104" i="29"/>
  <c r="Y104" i="29"/>
  <c r="R104" i="29"/>
  <c r="Q62" i="29"/>
  <c r="U104" i="29"/>
  <c r="V62" i="29"/>
  <c r="S104" i="29"/>
  <c r="Q104" i="29"/>
  <c r="P107" i="29"/>
  <c r="S98" i="29"/>
  <c r="Y86" i="29"/>
  <c r="R44" i="29"/>
  <c r="T44" i="29"/>
  <c r="U44" i="29"/>
  <c r="V44" i="29"/>
  <c r="S44" i="29"/>
  <c r="Q44" i="29"/>
  <c r="Y44" i="29"/>
  <c r="P67" i="29"/>
  <c r="Y68" i="29" s="1"/>
  <c r="Q109" i="29"/>
  <c r="V42" i="29"/>
  <c r="P42" i="29" s="1"/>
  <c r="V30" i="29"/>
  <c r="P30" i="29" s="1"/>
  <c r="P32" i="29" s="1"/>
  <c r="S66" i="29"/>
  <c r="S108" i="29" s="1"/>
  <c r="P73" i="29"/>
  <c r="V74" i="29" s="1"/>
  <c r="P7" i="29"/>
  <c r="V6" i="29"/>
  <c r="V86" i="29"/>
  <c r="X86" i="29"/>
  <c r="R86" i="29"/>
  <c r="Q86" i="29"/>
  <c r="T86" i="29"/>
  <c r="U86" i="29"/>
  <c r="S86" i="29"/>
  <c r="W86" i="29"/>
  <c r="P13" i="29"/>
  <c r="V12" i="29"/>
  <c r="Q66" i="29"/>
  <c r="P25" i="29"/>
  <c r="T109" i="29"/>
  <c r="X98" i="29"/>
  <c r="W8" i="29"/>
  <c r="W108" i="29"/>
  <c r="U72" i="29"/>
  <c r="U108" i="29" s="1"/>
  <c r="R66" i="29"/>
  <c r="R108" i="29" s="1"/>
  <c r="Y38" i="29"/>
  <c r="T38" i="29"/>
  <c r="W38" i="29"/>
  <c r="S38" i="29"/>
  <c r="R38" i="29"/>
  <c r="Q38" i="29"/>
  <c r="V38" i="29"/>
  <c r="X38" i="29"/>
  <c r="U38" i="29"/>
  <c r="T96" i="29"/>
  <c r="P96" i="29" s="1"/>
  <c r="P98" i="29" s="1"/>
  <c r="W62" i="29"/>
  <c r="U62" i="29"/>
  <c r="Y62" i="29"/>
  <c r="S62" i="29"/>
  <c r="P55" i="29"/>
  <c r="V54" i="29"/>
  <c r="P54" i="29" s="1"/>
  <c r="P56" i="29" s="1"/>
  <c r="V109" i="29"/>
  <c r="P51" i="29"/>
  <c r="Y24" i="29"/>
  <c r="Y108" i="29" s="1"/>
  <c r="X24" i="29"/>
  <c r="W98" i="29"/>
  <c r="Q98" i="29"/>
  <c r="U98" i="29"/>
  <c r="V18" i="29"/>
  <c r="Q78" i="29"/>
  <c r="P78" i="29" s="1"/>
  <c r="P80" i="29" s="1"/>
  <c r="W44" i="29"/>
  <c r="P111" i="29"/>
  <c r="V98" i="29"/>
  <c r="R98" i="29"/>
  <c r="T98" i="29"/>
  <c r="Q32" i="29"/>
  <c r="V32" i="29"/>
  <c r="R32" i="29"/>
  <c r="T32" i="29"/>
  <c r="S32" i="29"/>
  <c r="X32" i="29"/>
  <c r="W32" i="29"/>
  <c r="U32" i="29"/>
  <c r="Y32" i="29"/>
  <c r="Y80" i="29"/>
  <c r="U80" i="29"/>
  <c r="Q80" i="29"/>
  <c r="W80" i="29"/>
  <c r="S80" i="29"/>
  <c r="T80" i="29"/>
  <c r="R80" i="29"/>
  <c r="X80" i="29"/>
  <c r="V80" i="29"/>
  <c r="T68" i="29" l="1"/>
  <c r="V68" i="29"/>
  <c r="P44" i="29"/>
  <c r="R68" i="29"/>
  <c r="X68" i="29"/>
  <c r="S68" i="29"/>
  <c r="W68" i="29"/>
  <c r="P109" i="29"/>
  <c r="X108" i="29"/>
  <c r="P24" i="29"/>
  <c r="P26" i="29" s="1"/>
  <c r="T108" i="29"/>
  <c r="P6" i="29"/>
  <c r="V8" i="29"/>
  <c r="P8" i="29" s="1"/>
  <c r="V14" i="29"/>
  <c r="P14" i="29" s="1"/>
  <c r="P12" i="29"/>
  <c r="P49" i="29"/>
  <c r="V48" i="29"/>
  <c r="P48" i="29" s="1"/>
  <c r="P50" i="29" s="1"/>
  <c r="U68" i="29"/>
  <c r="P66" i="29"/>
  <c r="P68" i="29" s="1"/>
  <c r="Q108" i="29"/>
  <c r="T74" i="29"/>
  <c r="R74" i="29"/>
  <c r="X74" i="29"/>
  <c r="U74" i="29"/>
  <c r="Q74" i="29"/>
  <c r="Y74" i="29"/>
  <c r="W74" i="29"/>
  <c r="S74" i="29"/>
  <c r="V26" i="29"/>
  <c r="W26" i="29"/>
  <c r="R26" i="29"/>
  <c r="T26" i="29"/>
  <c r="U26" i="29"/>
  <c r="Y26" i="29"/>
  <c r="X26" i="29"/>
  <c r="Q26" i="29"/>
  <c r="S26" i="29"/>
  <c r="Q68" i="29"/>
  <c r="Q56" i="29"/>
  <c r="T56" i="29"/>
  <c r="U56" i="29"/>
  <c r="Y56" i="29"/>
  <c r="W56" i="29"/>
  <c r="V56" i="29"/>
  <c r="X56" i="29"/>
  <c r="R56" i="29"/>
  <c r="S56" i="29"/>
  <c r="V20" i="29"/>
  <c r="P20" i="29" s="1"/>
  <c r="P18" i="29"/>
  <c r="P72" i="29"/>
  <c r="P74" i="29" s="1"/>
  <c r="P110" i="29" l="1"/>
  <c r="V108" i="29"/>
  <c r="P108" i="29" s="1"/>
  <c r="X50" i="29"/>
  <c r="X110" i="29" s="1"/>
  <c r="W50" i="29"/>
  <c r="W110" i="29" s="1"/>
  <c r="V50" i="29"/>
  <c r="V110" i="29" s="1"/>
  <c r="Q50" i="29"/>
  <c r="Q110" i="29" s="1"/>
  <c r="S50" i="29"/>
  <c r="S110" i="29" s="1"/>
  <c r="Y50" i="29"/>
  <c r="Y110" i="29" s="1"/>
  <c r="R50" i="29"/>
  <c r="R110" i="29" s="1"/>
  <c r="T50" i="29"/>
  <c r="T110" i="29" s="1"/>
  <c r="U50" i="29"/>
  <c r="U110" i="29" s="1"/>
  <c r="Z39" i="13" l="1"/>
  <c r="O39" i="13" s="1"/>
  <c r="U36" i="13"/>
  <c r="T36" i="13"/>
  <c r="S35" i="13"/>
  <c r="R35" i="13"/>
  <c r="Q35" i="13"/>
  <c r="R37" i="13"/>
  <c r="S37" i="13"/>
  <c r="Q37" i="13"/>
  <c r="U38" i="13"/>
  <c r="T38" i="13"/>
  <c r="Z37" i="13" l="1"/>
  <c r="O37" i="13" s="1"/>
  <c r="Z40" i="13"/>
  <c r="O40" i="13" s="1"/>
  <c r="Z38" i="13"/>
  <c r="O38" i="13" s="1"/>
  <c r="U44" i="13" l="1"/>
  <c r="T44" i="13"/>
  <c r="Z35" i="13"/>
  <c r="O35" i="13" s="1"/>
  <c r="R44" i="13"/>
  <c r="Q44" i="13"/>
  <c r="W31" i="13"/>
  <c r="V31" i="13"/>
  <c r="W27" i="13"/>
  <c r="V27" i="13"/>
  <c r="X21" i="13"/>
  <c r="W21" i="13"/>
  <c r="V21" i="13"/>
  <c r="Z21" i="13" s="1"/>
  <c r="N21" i="13" s="1"/>
  <c r="W15" i="13"/>
  <c r="V15" i="13"/>
  <c r="Y12" i="13"/>
  <c r="Y44" i="13" s="1"/>
  <c r="X12" i="13"/>
  <c r="Z12" i="13" s="1"/>
  <c r="N12" i="13" s="1"/>
  <c r="X10" i="13"/>
  <c r="W10" i="13"/>
  <c r="V10" i="13"/>
  <c r="W8" i="13"/>
  <c r="V8" i="13"/>
  <c r="X4" i="13"/>
  <c r="W4" i="13"/>
  <c r="V4" i="13"/>
  <c r="Z27" i="13" l="1"/>
  <c r="N27" i="13" s="1"/>
  <c r="Z18" i="13"/>
  <c r="N18" i="13" s="1"/>
  <c r="Z4" i="13"/>
  <c r="Z31" i="13"/>
  <c r="N31" i="13" s="1"/>
  <c r="Z15" i="13"/>
  <c r="N15" i="13" s="1"/>
  <c r="X44" i="13"/>
  <c r="Z8" i="13"/>
  <c r="N8" i="13" s="1"/>
  <c r="Z10" i="13"/>
  <c r="N10" i="13" s="1"/>
  <c r="W44" i="13"/>
  <c r="N4" i="13"/>
  <c r="Z36" i="13"/>
  <c r="O36" i="13" s="1"/>
  <c r="O44" i="13" s="1"/>
  <c r="S44" i="13"/>
  <c r="V44" i="13"/>
  <c r="N44" i="13" l="1"/>
  <c r="Z44" i="13"/>
  <c r="AV31" i="25" l="1"/>
  <c r="AV32" i="25"/>
  <c r="AV33" i="25"/>
  <c r="AV34" i="25"/>
  <c r="AV35" i="25"/>
  <c r="AV36" i="25"/>
  <c r="AV37" i="25"/>
  <c r="AV5" i="25"/>
  <c r="AV6" i="25"/>
  <c r="AV7" i="25"/>
  <c r="AV8" i="25"/>
  <c r="AV9" i="25"/>
  <c r="AV10" i="25"/>
  <c r="AV11" i="25"/>
  <c r="AV12" i="25"/>
  <c r="AV13" i="25"/>
  <c r="AV14" i="25"/>
  <c r="AV15" i="25"/>
  <c r="AV16" i="25"/>
  <c r="AV17" i="25"/>
  <c r="AV18" i="25"/>
  <c r="AV19" i="25"/>
  <c r="AV20" i="25"/>
  <c r="AV21" i="25"/>
  <c r="AV22" i="25"/>
  <c r="AV23" i="25"/>
  <c r="AV24" i="25"/>
  <c r="AV25" i="25"/>
  <c r="AV26" i="25"/>
  <c r="AV27" i="25"/>
  <c r="AV28" i="25"/>
  <c r="AV29" i="25"/>
  <c r="AV30" i="25"/>
  <c r="AV38" i="25"/>
  <c r="AV4" i="2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3FC50E7-099F-4464-A676-8C22C449F624}" keepAlive="1" name="ModelConnection_ExternalData_1" description="Data Model" type="5" refreshedVersion="8" minRefreshableVersion="5" saveData="1">
    <dbPr connection="Data Model Connection" command="DataQuery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5E89F1C4-46CA-48DA-9C63-81096588D5FA}" name="Query - DataQuery" description="Connection to the 'DataQuery' query in the workbook." type="100" refreshedVersion="8" minRefreshableVersion="5" saveData="1">
    <extLst>
      <ext xmlns:x15="http://schemas.microsoft.com/office/spreadsheetml/2010/11/main" uri="{DE250136-89BD-433C-8126-D09CA5730AF9}">
        <x15:connection id="2a2046d2-cff1-4254-8788-b104cd6339ec"/>
      </ext>
    </extLst>
  </connection>
  <connection id="3" xr16:uid="{37644854-E007-4B09-A616-F707F1C79136}" keepAlive="1" name="Query - Dispatches" description="Connection to the 'Dispatches' query in the workbook." type="5" refreshedVersion="8" background="1" saveData="1">
    <dbPr connection="Provider=Microsoft.Mashup.OleDb.1;Data Source=$Workbook$;Location=Dispatches;Extended Properties=&quot;&quot;" command="SELECT * FROM [Dispatches]"/>
  </connection>
  <connection id="4" xr16:uid="{C0D3130B-EE12-4948-BE7F-3A93B26DF52A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<sst xmlns="http://schemas.openxmlformats.org/spreadsheetml/2006/main" count="8539" uniqueCount="1018">
  <si>
    <t>AGM0114</t>
  </si>
  <si>
    <t>AGM0014</t>
  </si>
  <si>
    <t>AgreementId</t>
  </si>
  <si>
    <t>AgreementCode</t>
  </si>
  <si>
    <t>AgreementName</t>
  </si>
  <si>
    <t>AGM0001</t>
  </si>
  <si>
    <t>TABLE GRAPES_EU</t>
  </si>
  <si>
    <t>AGM0002</t>
  </si>
  <si>
    <t>TABLE GRAPES_CHINA</t>
  </si>
  <si>
    <t>AGM0003</t>
  </si>
  <si>
    <t>TABLE GRAPES_ISRAEL</t>
  </si>
  <si>
    <t>AGM0004</t>
  </si>
  <si>
    <t>TABLE GRAPES_JAPAN</t>
  </si>
  <si>
    <t>AGM0005</t>
  </si>
  <si>
    <t>TABLE GRAPES_SOUTH KOREA</t>
  </si>
  <si>
    <t>AGM0006</t>
  </si>
  <si>
    <t>TABLE GRAPES_THAILAND</t>
  </si>
  <si>
    <t>AGM0007</t>
  </si>
  <si>
    <t>TABLE GRAPES_USA</t>
  </si>
  <si>
    <t>AGM0008</t>
  </si>
  <si>
    <t>GENERAL_SERBIA</t>
  </si>
  <si>
    <t>AGM0009</t>
  </si>
  <si>
    <t>GENERAL_AFGHANISTAN</t>
  </si>
  <si>
    <t>AGM0010</t>
  </si>
  <si>
    <t>GENERAL_MONTENEGRO</t>
  </si>
  <si>
    <t>AGM0011</t>
  </si>
  <si>
    <t>TABLE GRAPES_TAIWAN</t>
  </si>
  <si>
    <t>AGM0012</t>
  </si>
  <si>
    <t>GENERAL_PAKISTAN</t>
  </si>
  <si>
    <t>AGM0013</t>
  </si>
  <si>
    <t>GENERAL_ZIMBABWE</t>
  </si>
  <si>
    <t>CITRUS_EU</t>
  </si>
  <si>
    <t>AGM0015</t>
  </si>
  <si>
    <t>GENERAL_SIERRA LEONE</t>
  </si>
  <si>
    <t>AGM0016</t>
  </si>
  <si>
    <t>GENERAL_SRI LANKA</t>
  </si>
  <si>
    <t>AGM0017</t>
  </si>
  <si>
    <t>GENERAL_BOSNIA AND HERZEGOVINA</t>
  </si>
  <si>
    <t>AGM0018</t>
  </si>
  <si>
    <t>GENERAL_IRAN</t>
  </si>
  <si>
    <t>AGM0019</t>
  </si>
  <si>
    <t>GENERAL_NIGERIA</t>
  </si>
  <si>
    <t>AGM0020</t>
  </si>
  <si>
    <t>GENERAL_KENYA</t>
  </si>
  <si>
    <t>AGM0021</t>
  </si>
  <si>
    <t>GENERAL_EGYPT</t>
  </si>
  <si>
    <t>AGM0022</t>
  </si>
  <si>
    <t>GENERAL_SENEGAL</t>
  </si>
  <si>
    <t>AGM0023</t>
  </si>
  <si>
    <t>GENERAL_GHANA</t>
  </si>
  <si>
    <t>AGM0024</t>
  </si>
  <si>
    <t>GENERAL_ANGOLA</t>
  </si>
  <si>
    <t>AGM0025</t>
  </si>
  <si>
    <t>GENERAL_CÔTE D'IVOIRE</t>
  </si>
  <si>
    <t>AGM0026</t>
  </si>
  <si>
    <t>GENERAL_CAMEROON</t>
  </si>
  <si>
    <t>AGM0027</t>
  </si>
  <si>
    <t>GENERAL_TOGO</t>
  </si>
  <si>
    <t>AGM0028</t>
  </si>
  <si>
    <t>GENERAL_GABON</t>
  </si>
  <si>
    <t>AGM0029</t>
  </si>
  <si>
    <t>GENERAL_CONGO</t>
  </si>
  <si>
    <t>AGM0030</t>
  </si>
  <si>
    <t>GENERAL_DRC</t>
  </si>
  <si>
    <t>AGM0031</t>
  </si>
  <si>
    <t>GENERAL_DJIBOUTI</t>
  </si>
  <si>
    <t>AGM0032</t>
  </si>
  <si>
    <t>GENERAL_BURKINA FASO</t>
  </si>
  <si>
    <t>AGM0033</t>
  </si>
  <si>
    <t>GENERAL_BENIN</t>
  </si>
  <si>
    <t>AGM0034</t>
  </si>
  <si>
    <t>GENERAL_TANZANIA</t>
  </si>
  <si>
    <t>AGM0035</t>
  </si>
  <si>
    <t>GENERAL_MALDIVES</t>
  </si>
  <si>
    <t>AGM0036</t>
  </si>
  <si>
    <t>GENERAL_MAURITANIA</t>
  </si>
  <si>
    <t>AGM0037</t>
  </si>
  <si>
    <t>GENERAL_MALI</t>
  </si>
  <si>
    <t>AGM0040</t>
  </si>
  <si>
    <t>GENERAL_GAMBIA</t>
  </si>
  <si>
    <t>AGM0041</t>
  </si>
  <si>
    <t>GENERAL_SOMALIA</t>
  </si>
  <si>
    <t>AGM0042</t>
  </si>
  <si>
    <t>GENERAL_LIBERIA</t>
  </si>
  <si>
    <t>AGM0043</t>
  </si>
  <si>
    <t>GENERAL_GUINEA</t>
  </si>
  <si>
    <t>AGM0044</t>
  </si>
  <si>
    <t>GENERAL_GUINEA-BISSAU</t>
  </si>
  <si>
    <t>AGM0045</t>
  </si>
  <si>
    <t>GENERAL_NIGER</t>
  </si>
  <si>
    <t>AGM0046</t>
  </si>
  <si>
    <t>GENERAL_ZAMBIA</t>
  </si>
  <si>
    <t>AGM0047</t>
  </si>
  <si>
    <t>GENERAL_BOTSWANA</t>
  </si>
  <si>
    <t>AGM0048</t>
  </si>
  <si>
    <t>GENERAL_REUNION</t>
  </si>
  <si>
    <t>AGM0049</t>
  </si>
  <si>
    <t>GENERAL_MAYOTTE</t>
  </si>
  <si>
    <t>AGM0050</t>
  </si>
  <si>
    <t>GENERAL_NAMIBIA</t>
  </si>
  <si>
    <t>AGM0051</t>
  </si>
  <si>
    <t>GENERAL_MADAGASCAR</t>
  </si>
  <si>
    <t>AGM0052</t>
  </si>
  <si>
    <t>GENERAL_SEYSHELLES</t>
  </si>
  <si>
    <t>AGM0053</t>
  </si>
  <si>
    <t>GENERAL_MAURITIUS</t>
  </si>
  <si>
    <t>AGM0054</t>
  </si>
  <si>
    <t>GENERAL_COMOROS</t>
  </si>
  <si>
    <t>AGM0055</t>
  </si>
  <si>
    <t>GENERAL_MEXICO</t>
  </si>
  <si>
    <t>AGM0056</t>
  </si>
  <si>
    <t>GENERAL_ST HELENA</t>
  </si>
  <si>
    <t>AGM0057</t>
  </si>
  <si>
    <t>GENERAL_ALGERIA</t>
  </si>
  <si>
    <t>AGM0058</t>
  </si>
  <si>
    <t>TABLE GRAPES_MAURITIUS</t>
  </si>
  <si>
    <t>AGM0062</t>
  </si>
  <si>
    <t>GENERAL_UGANDA</t>
  </si>
  <si>
    <t>AGM0064</t>
  </si>
  <si>
    <t>GENERAL_MOLDOVA</t>
  </si>
  <si>
    <t>AGM0065</t>
  </si>
  <si>
    <t>CITRUS_CHINA</t>
  </si>
  <si>
    <t>AGM0066</t>
  </si>
  <si>
    <t>GENERAL_BAHRAIN</t>
  </si>
  <si>
    <t>AGM0067</t>
  </si>
  <si>
    <t>CITRUS_THAILAND</t>
  </si>
  <si>
    <t>AGM0068</t>
  </si>
  <si>
    <t>CITRUS_JAPAN</t>
  </si>
  <si>
    <t>AGM0069</t>
  </si>
  <si>
    <t>CITRUS_USA</t>
  </si>
  <si>
    <t>AGM0070</t>
  </si>
  <si>
    <t>CITRUS_SOUTH KOREA</t>
  </si>
  <si>
    <t>AGM0071</t>
  </si>
  <si>
    <t>GENERAL_INDONESIA</t>
  </si>
  <si>
    <t>AGM0072</t>
  </si>
  <si>
    <t>GENERAL_TAIWAN</t>
  </si>
  <si>
    <t>AGM0073</t>
  </si>
  <si>
    <t>GENERAL_BRAZIL</t>
  </si>
  <si>
    <t>AGM0074</t>
  </si>
  <si>
    <t>GENERAL_INDIA</t>
  </si>
  <si>
    <t>AGM0075</t>
  </si>
  <si>
    <t>GENERAL_THAILAND</t>
  </si>
  <si>
    <t>AGM0076</t>
  </si>
  <si>
    <t>APPLES_TAIWAN</t>
  </si>
  <si>
    <t>AGM0077</t>
  </si>
  <si>
    <t>GENERAL_SEYCHELLES</t>
  </si>
  <si>
    <t>AGM0078</t>
  </si>
  <si>
    <t>GENERAL_VIETNAM</t>
  </si>
  <si>
    <t>AGM0079</t>
  </si>
  <si>
    <t>GENERAL_SINGAPORE</t>
  </si>
  <si>
    <t>AGM0080</t>
  </si>
  <si>
    <t>GENERAL_BANGLADESH</t>
  </si>
  <si>
    <t>AGM0081</t>
  </si>
  <si>
    <t>GENERAL_CANADA</t>
  </si>
  <si>
    <t>AGM0082</t>
  </si>
  <si>
    <t>GENERAL_IRAQ</t>
  </si>
  <si>
    <t>AGM0083</t>
  </si>
  <si>
    <t>GENERAL_UZBEKISTAN</t>
  </si>
  <si>
    <t>AGM0084</t>
  </si>
  <si>
    <t>GENERAL_HONG KONG</t>
  </si>
  <si>
    <t>AGM0085</t>
  </si>
  <si>
    <t>GENERAL_MALAYSIA</t>
  </si>
  <si>
    <t>AGM0086</t>
  </si>
  <si>
    <t>GENERAL_UNITED KINGDOM</t>
  </si>
  <si>
    <t>AGM0087</t>
  </si>
  <si>
    <t>GENERAL_MYANMAR</t>
  </si>
  <si>
    <t>AGM0088</t>
  </si>
  <si>
    <t>GENERAL_SAINT HELENA</t>
  </si>
  <si>
    <t>AGM0089</t>
  </si>
  <si>
    <t>GENERAL_CHAD</t>
  </si>
  <si>
    <t>AGM0090</t>
  </si>
  <si>
    <t>GENERAL_BRUNEI</t>
  </si>
  <si>
    <t>AGM0091</t>
  </si>
  <si>
    <t>GENERAL_LEBANON</t>
  </si>
  <si>
    <t>AGM0092</t>
  </si>
  <si>
    <t>GENERAL_GEORGIA</t>
  </si>
  <si>
    <t>AGM0093</t>
  </si>
  <si>
    <t>GENERAL_AZERBAIJAN</t>
  </si>
  <si>
    <t>AGM0094</t>
  </si>
  <si>
    <t>GENERAL_BELARUS</t>
  </si>
  <si>
    <t>AGM0095</t>
  </si>
  <si>
    <t>GENERAL_MONGOLIA</t>
  </si>
  <si>
    <t>AGM0096</t>
  </si>
  <si>
    <t>GENERAL_LYBIA</t>
  </si>
  <si>
    <t>AGM0097</t>
  </si>
  <si>
    <t>GENERAL_SUDAN</t>
  </si>
  <si>
    <t>AGM0098</t>
  </si>
  <si>
    <t>GENERAL_KAZAKHSTAN</t>
  </si>
  <si>
    <t>AGM0099</t>
  </si>
  <si>
    <t>GENERAL_YEMEN</t>
  </si>
  <si>
    <t>AGM0100</t>
  </si>
  <si>
    <t>GENERAL_ROMANIA</t>
  </si>
  <si>
    <t>AGM0101</t>
  </si>
  <si>
    <t>GENERAL_MOROCCO</t>
  </si>
  <si>
    <t>AGM0102</t>
  </si>
  <si>
    <t>GENERAL_EU</t>
  </si>
  <si>
    <t>AGM0103</t>
  </si>
  <si>
    <t>GENERAL_IVORY COAST</t>
  </si>
  <si>
    <t>AGM0104</t>
  </si>
  <si>
    <t>CITRUS_SWITZERLAND</t>
  </si>
  <si>
    <t>AGM0105</t>
  </si>
  <si>
    <t>GENERAL_KUWAIT</t>
  </si>
  <si>
    <t>AGM0106</t>
  </si>
  <si>
    <t>GENERAL_SYRIAN ARAB REPUBLIC</t>
  </si>
  <si>
    <t>AGM0107</t>
  </si>
  <si>
    <t>GENERAL_ARMENIA</t>
  </si>
  <si>
    <t>AGM0109</t>
  </si>
  <si>
    <t>GENERAL_UKRAINE</t>
  </si>
  <si>
    <t>AGM0110</t>
  </si>
  <si>
    <t>CITRUS_CAMBODIA</t>
  </si>
  <si>
    <t>AGM0111</t>
  </si>
  <si>
    <t>CITRUS_NORWAY</t>
  </si>
  <si>
    <t>AGM0112</t>
  </si>
  <si>
    <t>GENERAL_JORDAN</t>
  </si>
  <si>
    <t>AGM0113</t>
  </si>
  <si>
    <t>GENERAL_UNITED ARAB EMIRATES</t>
  </si>
  <si>
    <t>GENERAL_ SAUDI ARABIA</t>
  </si>
  <si>
    <t>AGM0115</t>
  </si>
  <si>
    <t>GENERAL_QATAR</t>
  </si>
  <si>
    <t>AGM0116</t>
  </si>
  <si>
    <t>GENERAL_MALAWI</t>
  </si>
  <si>
    <t>AGM0117</t>
  </si>
  <si>
    <t>TEST</t>
  </si>
  <si>
    <t>AGM0118</t>
  </si>
  <si>
    <t>GENERAL_RUSSIA</t>
  </si>
  <si>
    <t>AGM0119</t>
  </si>
  <si>
    <t>GENERAL_CHINA</t>
  </si>
  <si>
    <t>AGM0120</t>
  </si>
  <si>
    <t>GENERAL_USA</t>
  </si>
  <si>
    <t>AGM0124</t>
  </si>
  <si>
    <t>GENERAL_OMAN</t>
  </si>
  <si>
    <t>AGM0125</t>
  </si>
  <si>
    <t>GENERAL_MOZAMBIQUE</t>
  </si>
  <si>
    <t>AGM0126</t>
  </si>
  <si>
    <t>GENERAL_KINGDOM OF ESWATINI</t>
  </si>
  <si>
    <t>AGM0127</t>
  </si>
  <si>
    <t>GENERAL_AUSTRALIA</t>
  </si>
  <si>
    <t>AGM0128</t>
  </si>
  <si>
    <t>GENERAL_EQUATORIAL GUINEA</t>
  </si>
  <si>
    <t>AGM0129</t>
  </si>
  <si>
    <t>GENERAL_ARGENTINA</t>
  </si>
  <si>
    <t>AGM0130</t>
  </si>
  <si>
    <t xml:space="preserve">GENERAL_SWITZERLAND </t>
  </si>
  <si>
    <t>AGM0131</t>
  </si>
  <si>
    <t>GENERAL_JAPAN</t>
  </si>
  <si>
    <t>AGM0132</t>
  </si>
  <si>
    <t>GENERAL_RWANDA</t>
  </si>
  <si>
    <t>AGM0133</t>
  </si>
  <si>
    <t>GENERAL_SOUTH KOREA</t>
  </si>
  <si>
    <t>AGM0134</t>
  </si>
  <si>
    <t>GENERAL_ETHIOPIA</t>
  </si>
  <si>
    <t>AGM0135</t>
  </si>
  <si>
    <t>GENERAL_LESOTHO</t>
  </si>
  <si>
    <t>AGM0136</t>
  </si>
  <si>
    <t>GENERAL_CHILE</t>
  </si>
  <si>
    <t>AGM0137</t>
  </si>
  <si>
    <t>GENERAL_TUNISIA</t>
  </si>
  <si>
    <t>AGM0138</t>
  </si>
  <si>
    <t>GENERAL_VENEZUELA</t>
  </si>
  <si>
    <t>AGM0139</t>
  </si>
  <si>
    <t>POME_CHINA</t>
  </si>
  <si>
    <t>AGM0140</t>
  </si>
  <si>
    <t>POME_MEXICO</t>
  </si>
  <si>
    <t>AGM0142</t>
  </si>
  <si>
    <t>GENERAL_NEW ZEALAND</t>
  </si>
  <si>
    <t>AGM0143</t>
  </si>
  <si>
    <t>GENERAL_TURKEY</t>
  </si>
  <si>
    <t>AGM0144</t>
  </si>
  <si>
    <t>GENERAL_ALBANIA</t>
  </si>
  <si>
    <t>AGM0145</t>
  </si>
  <si>
    <t>GENERAL_ISRAEL</t>
  </si>
  <si>
    <t>AGM0146</t>
  </si>
  <si>
    <t>GENERAL_PHILIPPINES</t>
  </si>
  <si>
    <t>AGM0147</t>
  </si>
  <si>
    <t>GENERAL_COLOMBIA</t>
  </si>
  <si>
    <t>AGM0150</t>
  </si>
  <si>
    <t>GENERAL_TRINIDAD AND TOBAGO</t>
  </si>
  <si>
    <t>AGM0151</t>
  </si>
  <si>
    <t>GENERAL_GUADELOUPE</t>
  </si>
  <si>
    <t>AGM0152</t>
  </si>
  <si>
    <t>AGM0153</t>
  </si>
  <si>
    <t>GENERAL_NORWAY</t>
  </si>
  <si>
    <t>AGM0154</t>
  </si>
  <si>
    <t>GENERAL_CAMBODIA</t>
  </si>
  <si>
    <t>AGM0155</t>
  </si>
  <si>
    <t>GENERAL_NORTH KOREA</t>
  </si>
  <si>
    <t>AGM0156</t>
  </si>
  <si>
    <t>GENERAL_COOK ISLANDS</t>
  </si>
  <si>
    <t>AGM0157</t>
  </si>
  <si>
    <t>GENERAL_PARAGUAY</t>
  </si>
  <si>
    <t>AGM0158</t>
  </si>
  <si>
    <t>GENERAL_URUGUAY</t>
  </si>
  <si>
    <t>AGM0161</t>
  </si>
  <si>
    <t>GENERAL_DEMOCRATIC REPUBLIC OF THE CONGO</t>
  </si>
  <si>
    <t>AGM0163</t>
  </si>
  <si>
    <t>GENERAL_DOMINICAN REPUBLIC</t>
  </si>
  <si>
    <t>AGM0164</t>
  </si>
  <si>
    <t>GENERAL_COSTA RICA</t>
  </si>
  <si>
    <t>AGM0165</t>
  </si>
  <si>
    <t>GENERAL_PERU</t>
  </si>
  <si>
    <t>AGM0166</t>
  </si>
  <si>
    <t>GENERAL_BARBADOS</t>
  </si>
  <si>
    <t>AGM0167</t>
  </si>
  <si>
    <t>GENERAL_SOUTH SUDAN</t>
  </si>
  <si>
    <t>AGM0168</t>
  </si>
  <si>
    <t>GENERAL_NEPAL</t>
  </si>
  <si>
    <t>AGM0169</t>
  </si>
  <si>
    <t>AGM0170</t>
  </si>
  <si>
    <t>GENERAL_HONDURAS</t>
  </si>
  <si>
    <t>AGM0171</t>
  </si>
  <si>
    <t>GENERAL_NICARAGUA</t>
  </si>
  <si>
    <t>AGM0173</t>
  </si>
  <si>
    <t>GENERAL_NEW CALEDONIA</t>
  </si>
  <si>
    <t>AGM0175</t>
  </si>
  <si>
    <t>GENERAL_ECUADOR</t>
  </si>
  <si>
    <t>AGM0179</t>
  </si>
  <si>
    <t>GENERAL_CUBA</t>
  </si>
  <si>
    <t>REC001</t>
  </si>
  <si>
    <t>RE-EXPORT</t>
  </si>
  <si>
    <t>REP001</t>
  </si>
  <si>
    <t>REPLACEMENT</t>
  </si>
  <si>
    <t>AGM0180</t>
  </si>
  <si>
    <t>GENERAL_ICELAND</t>
  </si>
  <si>
    <t>AGM0181</t>
  </si>
  <si>
    <t>GENERAL_NORTH MACEDONIA</t>
  </si>
  <si>
    <t>AGM0182</t>
  </si>
  <si>
    <t>CITRUS_PHILIPPINES</t>
  </si>
  <si>
    <t>AGM0183</t>
  </si>
  <si>
    <t>GENERAL_GIBRALTAR</t>
  </si>
  <si>
    <t>AGM0184</t>
  </si>
  <si>
    <t>GENERAL_CENTRAL AFRICAN REPUBLIC</t>
  </si>
  <si>
    <t>AGM0185</t>
  </si>
  <si>
    <t>GENERAL_KYRGYZSTAN</t>
  </si>
  <si>
    <t>AGM0188</t>
  </si>
  <si>
    <t>GENERAL_ANTARCTICA</t>
  </si>
  <si>
    <t>AGM0189</t>
  </si>
  <si>
    <t>GENERAL_HAITI</t>
  </si>
  <si>
    <t>AGM0190</t>
  </si>
  <si>
    <t>LITCHIS_USA</t>
  </si>
  <si>
    <t>AGM0191</t>
  </si>
  <si>
    <t>AGM0193</t>
  </si>
  <si>
    <t>GENERAL_TURKS AND CAICOS ISLANDS</t>
  </si>
  <si>
    <t>AGM0197</t>
  </si>
  <si>
    <t>GENERAL_MONACO</t>
  </si>
  <si>
    <t>AGM0198</t>
  </si>
  <si>
    <t>AGM0200</t>
  </si>
  <si>
    <t>GENERAL_TIMOR-LESTE</t>
  </si>
  <si>
    <t>AGM0202</t>
  </si>
  <si>
    <t>GENERAL_JAMAICA</t>
  </si>
  <si>
    <t>AGM0203</t>
  </si>
  <si>
    <t>GENERAL_PANAMA</t>
  </si>
  <si>
    <t>AGM0204</t>
  </si>
  <si>
    <t>GENERAL_SAINT LUCIA</t>
  </si>
  <si>
    <t>AGM0205</t>
  </si>
  <si>
    <t>STONEFRUIT_EU</t>
  </si>
  <si>
    <t>AGM0206</t>
  </si>
  <si>
    <t>GENERAL_GUATEMALA</t>
  </si>
  <si>
    <t>AGM0207</t>
  </si>
  <si>
    <t>GENERAL_LAO PEOPLE'S DEMOCRATIC REPUBLIC</t>
  </si>
  <si>
    <t>GENERAL_BURUNDI</t>
  </si>
  <si>
    <t>PACK</t>
  </si>
  <si>
    <t>CONS_NO</t>
  </si>
  <si>
    <t>ORGZN</t>
  </si>
  <si>
    <t>VARIETY</t>
  </si>
  <si>
    <t>GRADE</t>
  </si>
  <si>
    <t>MARK</t>
  </si>
  <si>
    <t>SIZE_COUNT</t>
  </si>
  <si>
    <t>INV_CODE</t>
  </si>
  <si>
    <t>TARG_MKT</t>
  </si>
  <si>
    <t>BATCH_NO</t>
  </si>
  <si>
    <t>TARGET_COUNTRY</t>
  </si>
  <si>
    <t>TARGET_REGION</t>
  </si>
  <si>
    <t>PALLET_ID</t>
  </si>
  <si>
    <t>FARM</t>
  </si>
  <si>
    <t>NAME</t>
  </si>
  <si>
    <t>ORG</t>
  </si>
  <si>
    <t>VAR</t>
  </si>
  <si>
    <t>TM</t>
  </si>
  <si>
    <t>GR</t>
  </si>
  <si>
    <t>BRAND</t>
  </si>
  <si>
    <t>INV</t>
  </si>
  <si>
    <t>REGION CODE</t>
  </si>
  <si>
    <t>COUNTRY CODE</t>
  </si>
  <si>
    <t>DEPOT</t>
  </si>
  <si>
    <t>STACK</t>
  </si>
  <si>
    <t xml:space="preserve">HIGH </t>
  </si>
  <si>
    <t>STD</t>
  </si>
  <si>
    <t>BATCH NR</t>
  </si>
  <si>
    <t>TOTAL</t>
  </si>
  <si>
    <t>ZESTFRUIT</t>
  </si>
  <si>
    <t>ZF</t>
  </si>
  <si>
    <t>A15C</t>
  </si>
  <si>
    <t>FPT DUR</t>
  </si>
  <si>
    <t>H</t>
  </si>
  <si>
    <t>MAHEL</t>
  </si>
  <si>
    <t>RUSSIA</t>
  </si>
  <si>
    <t>ZL</t>
  </si>
  <si>
    <t>RU</t>
  </si>
  <si>
    <t>RUS</t>
  </si>
  <si>
    <t>S</t>
  </si>
  <si>
    <t>SA</t>
  </si>
  <si>
    <t>MEA</t>
  </si>
  <si>
    <t>PICK_REF</t>
  </si>
  <si>
    <t>VARIETY_GROUP</t>
  </si>
  <si>
    <t>COMMENTS</t>
  </si>
  <si>
    <t>TERM</t>
  </si>
  <si>
    <t>FOB</t>
  </si>
  <si>
    <t>GRAND TOTAL</t>
  </si>
  <si>
    <t>All</t>
  </si>
  <si>
    <t>DISPATCH_MATCH</t>
  </si>
  <si>
    <t>REASON</t>
  </si>
  <si>
    <t>MALA</t>
  </si>
  <si>
    <t>RG</t>
  </si>
  <si>
    <t>Pallets Needed</t>
  </si>
  <si>
    <t>Pallets Outstanding</t>
  </si>
  <si>
    <t>Pallets in Stock</t>
  </si>
  <si>
    <t>Pallets Overpacked</t>
  </si>
  <si>
    <t>Pallets Dispatched</t>
  </si>
  <si>
    <t>STILL NEED</t>
  </si>
  <si>
    <t>E15D</t>
  </si>
  <si>
    <t>*</t>
  </si>
  <si>
    <t>LEM</t>
  </si>
  <si>
    <t>DZLW8</t>
  </si>
  <si>
    <t>ZLW8</t>
  </si>
  <si>
    <t>S0</t>
  </si>
  <si>
    <t>TFCW8</t>
  </si>
  <si>
    <t>DTFCW8</t>
  </si>
  <si>
    <t>ME</t>
  </si>
  <si>
    <t>P</t>
  </si>
  <si>
    <t>AE</t>
  </si>
  <si>
    <t>RC</t>
  </si>
  <si>
    <t>Z6</t>
  </si>
  <si>
    <t>AL</t>
  </si>
  <si>
    <t>UKI</t>
  </si>
  <si>
    <t>GB</t>
  </si>
  <si>
    <t>Z6W8</t>
  </si>
  <si>
    <t>GL</t>
  </si>
  <si>
    <t>DZ6W8</t>
  </si>
  <si>
    <t>SG</t>
  </si>
  <si>
    <t>SEA</t>
  </si>
  <si>
    <t>HK</t>
  </si>
  <si>
    <t>VDW8</t>
  </si>
  <si>
    <t>MARKET</t>
  </si>
  <si>
    <t>SINGAPORE</t>
  </si>
  <si>
    <t>CCSEPP</t>
  </si>
  <si>
    <t>CSSEPP</t>
  </si>
  <si>
    <t>HONG KONG</t>
  </si>
  <si>
    <t>SKUTWATER</t>
  </si>
  <si>
    <t>BOERDERY</t>
  </si>
  <si>
    <t>MALAYSIA</t>
  </si>
  <si>
    <t>MY</t>
  </si>
  <si>
    <t>KT</t>
  </si>
  <si>
    <t>UK</t>
  </si>
  <si>
    <t>Z6PFW8</t>
  </si>
  <si>
    <t>EUROPE</t>
  </si>
  <si>
    <t>EU</t>
  </si>
  <si>
    <t>EUN</t>
  </si>
  <si>
    <t>NL</t>
  </si>
  <si>
    <t>HILW8</t>
  </si>
  <si>
    <t>MIDDLE EAST</t>
  </si>
  <si>
    <t>RM</t>
  </si>
  <si>
    <t>MAURITIUS</t>
  </si>
  <si>
    <t>MU</t>
  </si>
  <si>
    <t>IOI</t>
  </si>
  <si>
    <t>FPTDUR</t>
  </si>
  <si>
    <t>ALFW8</t>
  </si>
  <si>
    <t>Utiwerk</t>
  </si>
  <si>
    <t>Veranderlikes is Batch en Pack</t>
  </si>
  <si>
    <t>If 0 then check veranderlikes</t>
  </si>
  <si>
    <t xml:space="preserve">if batch D then count together from one above </t>
  </si>
  <si>
    <t>counts bly dieselfde</t>
  </si>
  <si>
    <t>if pack then where star put count</t>
  </si>
  <si>
    <t>DEL/GSV/VAL</t>
  </si>
  <si>
    <t>LN</t>
  </si>
  <si>
    <t>ZLW33</t>
  </si>
  <si>
    <t>J50B Small 60-55, Medium 50-45, Large 40-35</t>
  </si>
  <si>
    <t>GF 23/27 en 32/35</t>
  </si>
  <si>
    <t>DEPOT (PALTRACK CODE)</t>
  </si>
  <si>
    <t>Z0</t>
  </si>
  <si>
    <t>1</t>
  </si>
  <si>
    <t/>
  </si>
  <si>
    <t>2</t>
  </si>
  <si>
    <t>328ICE</t>
  </si>
  <si>
    <t>EXW</t>
  </si>
  <si>
    <t>PACKHOUSE</t>
  </si>
  <si>
    <t>1X</t>
  </si>
  <si>
    <t>E10D</t>
  </si>
  <si>
    <t>3</t>
  </si>
  <si>
    <t>CATO</t>
  </si>
  <si>
    <t>MAHELA BDY</t>
  </si>
  <si>
    <t>TAG</t>
  </si>
  <si>
    <t>D10D</t>
  </si>
  <si>
    <t>BANGLADESH</t>
  </si>
  <si>
    <t>BD</t>
  </si>
  <si>
    <t>ASA</t>
  </si>
  <si>
    <t>WHITE WRAPPER ALTERNATE DIAGONAL ROWS IN TOP</t>
  </si>
  <si>
    <t>ZEST WRAPPER ALTERNATE DIAGONAL ROWS IN TOP</t>
  </si>
  <si>
    <t>LAYER ONLY, PACK ORCHARD RUN</t>
  </si>
  <si>
    <t>4</t>
  </si>
  <si>
    <t>INDIA</t>
  </si>
  <si>
    <t>IN</t>
  </si>
  <si>
    <t>MAKUL</t>
  </si>
  <si>
    <t>SAUDI CARTON LABEL</t>
  </si>
  <si>
    <t>FP</t>
  </si>
  <si>
    <t>Kindly note that in accordance with the latest SOP we require MRL test results per PUC.</t>
  </si>
  <si>
    <t xml:space="preserve">Kindly ensure that samples of all commodities from relevant PUC’s are submitted for testing. </t>
  </si>
  <si>
    <t xml:space="preserve">*Notes: </t>
  </si>
  <si>
    <t>*Zest Fruit acts as an agent on behalf of our suppliers</t>
  </si>
  <si>
    <t>*Zest Fruit will do it's best to optimize the return for the carton and manage the risk associated with the deal</t>
  </si>
  <si>
    <t>*Zest Fruit cannot be held responsible for "force majeure" incidents where Zest Fruit has no influence over events outside their control.</t>
  </si>
  <si>
    <t>*The risk remains with the carton</t>
  </si>
  <si>
    <t>D13867</t>
  </si>
  <si>
    <t>COBW37</t>
  </si>
  <si>
    <t>ZLW37</t>
  </si>
  <si>
    <t>VDW37</t>
  </si>
  <si>
    <t>8103</t>
  </si>
  <si>
    <t>060099004626835860</t>
  </si>
  <si>
    <t>060099004626835884</t>
  </si>
  <si>
    <t>060099004626835891</t>
  </si>
  <si>
    <t>060099004626835921</t>
  </si>
  <si>
    <t>060099004626835945</t>
  </si>
  <si>
    <t>060099004626835938</t>
  </si>
  <si>
    <t>060099004626835969</t>
  </si>
  <si>
    <t>060099004626835976</t>
  </si>
  <si>
    <t>060099004626835983</t>
  </si>
  <si>
    <t>060099004626835990</t>
  </si>
  <si>
    <t>060099004626836003</t>
  </si>
  <si>
    <t>060099004626836027</t>
  </si>
  <si>
    <t>060099004626836058</t>
  </si>
  <si>
    <t>060099004626836096</t>
  </si>
  <si>
    <t>060099004626836102</t>
  </si>
  <si>
    <t>060099004626836010</t>
  </si>
  <si>
    <t>060099004626836089</t>
  </si>
  <si>
    <t>060099004626836041</t>
  </si>
  <si>
    <t>060099004626836065</t>
  </si>
  <si>
    <t>060099004626836072</t>
  </si>
  <si>
    <t>060099004626836119</t>
  </si>
  <si>
    <t>060099004626836126</t>
  </si>
  <si>
    <t>060099004626836140</t>
  </si>
  <si>
    <t>060099004626836133</t>
  </si>
  <si>
    <t>060099004626836171</t>
  </si>
  <si>
    <t>060099004626836188</t>
  </si>
  <si>
    <t>060099004626836157</t>
  </si>
  <si>
    <t>060099004626836164</t>
  </si>
  <si>
    <t>IC63601309</t>
  </si>
  <si>
    <t>IC63601310</t>
  </si>
  <si>
    <t>IC63601313</t>
  </si>
  <si>
    <t>060099004626836270</t>
  </si>
  <si>
    <t>060099004626836287</t>
  </si>
  <si>
    <t>IC63601311</t>
  </si>
  <si>
    <t>060099004626836331</t>
  </si>
  <si>
    <t>060099004626836348</t>
  </si>
  <si>
    <t>060099004626836355</t>
  </si>
  <si>
    <t>060099004626836362</t>
  </si>
  <si>
    <t>060099004626836379</t>
  </si>
  <si>
    <t>IC63601314</t>
  </si>
  <si>
    <t>060099004626836454</t>
  </si>
  <si>
    <t>060099004626836461</t>
  </si>
  <si>
    <t>060099004626836478</t>
  </si>
  <si>
    <t>060099004626836485</t>
  </si>
  <si>
    <t>060099004626836515</t>
  </si>
  <si>
    <t>060099004626836522</t>
  </si>
  <si>
    <t>060099004626836539</t>
  </si>
  <si>
    <t>060099004626836553</t>
  </si>
  <si>
    <t>060099004626836560</t>
  </si>
  <si>
    <t>060099004626836638</t>
  </si>
  <si>
    <t>060099004626836645</t>
  </si>
  <si>
    <t>060099004626836669</t>
  </si>
  <si>
    <t>060099004626836690</t>
  </si>
  <si>
    <t>060099004626836713</t>
  </si>
  <si>
    <t>060099004626836720</t>
  </si>
  <si>
    <t>060099004626836737</t>
  </si>
  <si>
    <t>060099004626836195</t>
  </si>
  <si>
    <t>060099004626836201</t>
  </si>
  <si>
    <t>060099004626836218</t>
  </si>
  <si>
    <t>060099004626836225</t>
  </si>
  <si>
    <t>060099004626836232</t>
  </si>
  <si>
    <t>060099004626836249</t>
  </si>
  <si>
    <t>060099004626836256</t>
  </si>
  <si>
    <t>060099004626836263</t>
  </si>
  <si>
    <t>060099004626836294</t>
  </si>
  <si>
    <t>060099004626836300</t>
  </si>
  <si>
    <t>060099004626836317</t>
  </si>
  <si>
    <t>060099004626836324</t>
  </si>
  <si>
    <t>060099004626836430</t>
  </si>
  <si>
    <t>060099004626836447</t>
  </si>
  <si>
    <t>060099004626836492</t>
  </si>
  <si>
    <t>060099004626836508</t>
  </si>
  <si>
    <t>060099004626836546</t>
  </si>
  <si>
    <t>060099004626836577</t>
  </si>
  <si>
    <t>060099004626836652</t>
  </si>
  <si>
    <t>IC63601312</t>
  </si>
  <si>
    <t>IC63601315</t>
  </si>
  <si>
    <t>060099004626836386</t>
  </si>
  <si>
    <t>IC63601316</t>
  </si>
  <si>
    <t>060099004626836393</t>
  </si>
  <si>
    <t>060099004626836409</t>
  </si>
  <si>
    <t>060099004626836416</t>
  </si>
  <si>
    <t>060099004626836423</t>
  </si>
  <si>
    <t>060099004626836584</t>
  </si>
  <si>
    <t>060099004626836591</t>
  </si>
  <si>
    <t>060099004626836607</t>
  </si>
  <si>
    <t>060099004626836614</t>
  </si>
  <si>
    <t>060099004626836621</t>
  </si>
  <si>
    <t>060099004626836676</t>
  </si>
  <si>
    <t>060099004626836683</t>
  </si>
  <si>
    <t>060099004626836706</t>
  </si>
  <si>
    <t>(D10D)</t>
  </si>
  <si>
    <t>36(45)</t>
  </si>
  <si>
    <t>40(50)</t>
  </si>
  <si>
    <t>48(55)</t>
  </si>
  <si>
    <t>56(60)</t>
  </si>
  <si>
    <t>VAL</t>
  </si>
  <si>
    <t>TFCW38</t>
  </si>
  <si>
    <r>
      <t xml:space="preserve">WHITE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</si>
  <si>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t>MALAYSIA CARTON LABEL</t>
  </si>
  <si>
    <t>PR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</si>
  <si>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 xml:space="preserve">, </t>
    </r>
    <r>
      <rPr>
        <b/>
        <sz val="12"/>
        <color theme="1"/>
        <rFont val="Calibri"/>
        <family val="2"/>
        <scheme val="minor"/>
      </rPr>
      <t>INDIA STICKER</t>
    </r>
    <r>
      <rPr>
        <sz val="12"/>
        <color theme="1"/>
        <rFont val="Calibri"/>
        <family val="2"/>
        <scheme val="minor"/>
      </rPr>
      <t xml:space="preserve">, </t>
    </r>
    <r>
      <rPr>
        <i/>
        <sz val="12"/>
        <color theme="1"/>
        <rFont val="Calibri"/>
        <family val="2"/>
        <scheme val="minor"/>
      </rPr>
      <t>PACK AS ORDERED</t>
    </r>
  </si>
  <si>
    <t>GY</t>
  </si>
  <si>
    <r>
      <rPr>
        <sz val="12"/>
        <color theme="1"/>
        <rFont val="Calibri"/>
        <family val="2"/>
        <scheme val="minor"/>
      </rPr>
      <t xml:space="preserve">*ON INDIA CARTON LABELS-CHOOSE ONLY </t>
    </r>
    <r>
      <rPr>
        <b/>
        <sz val="12"/>
        <color theme="1"/>
        <rFont val="Calibri"/>
        <family val="2"/>
        <scheme val="minor"/>
      </rPr>
      <t>TREATED WITH WAX</t>
    </r>
  </si>
  <si>
    <t>SOMALIA</t>
  </si>
  <si>
    <t>SO</t>
  </si>
  <si>
    <t>AFR</t>
  </si>
  <si>
    <t>ZLW38</t>
  </si>
  <si>
    <r>
      <t xml:space="preserve">ZEST WRAPPER ALTERNATE DIAGONAL ROWS </t>
    </r>
    <r>
      <rPr>
        <b/>
        <u/>
        <sz val="12"/>
        <color theme="1"/>
        <rFont val="Calibri"/>
        <family val="2"/>
        <scheme val="minor"/>
      </rPr>
      <t>IN TOP</t>
    </r>
  </si>
  <si>
    <r>
      <t>LAYER ONLY</t>
    </r>
    <r>
      <rPr>
        <sz val="12"/>
        <color theme="1"/>
        <rFont val="Calibri"/>
        <family val="2"/>
        <scheme val="minor"/>
      </rPr>
      <t>, PACK ORCHARD RUN</t>
    </r>
  </si>
  <si>
    <t>VDW38</t>
  </si>
  <si>
    <r>
      <t>LAYER ONLY,</t>
    </r>
    <r>
      <rPr>
        <sz val="12"/>
        <color theme="1"/>
        <rFont val="Calibri"/>
        <family val="2"/>
        <scheme val="minor"/>
      </rPr>
      <t xml:space="preserve">  PACK ORCHARD RUN</t>
    </r>
  </si>
  <si>
    <r>
      <t>LAYER ONLY,</t>
    </r>
    <r>
      <rPr>
        <sz val="12"/>
        <color theme="1"/>
        <rFont val="Calibri"/>
        <family val="2"/>
        <scheme val="minor"/>
      </rPr>
      <t xml:space="preserve">  PACK 72-88 ORCHARD RUN, 105 AS ORDERED</t>
    </r>
  </si>
  <si>
    <t>MIDDLE</t>
  </si>
  <si>
    <t>EAST</t>
  </si>
  <si>
    <t>*SAUDI PACK</t>
  </si>
  <si>
    <t>RK</t>
  </si>
  <si>
    <r>
      <rPr>
        <b/>
        <u/>
        <sz val="12"/>
        <color theme="1"/>
        <rFont val="Calibri"/>
        <family val="2"/>
        <scheme val="minor"/>
      </rPr>
      <t>LAYER ONLY</t>
    </r>
    <r>
      <rPr>
        <sz val="12"/>
        <color theme="1"/>
        <rFont val="Calibri"/>
        <family val="2"/>
        <scheme val="minor"/>
      </rPr>
      <t>, RUSSIA CARTON LABEL</t>
    </r>
  </si>
  <si>
    <t>PACK 60 PLTS CNT 36-64 ORCHARD RUN</t>
  </si>
  <si>
    <t>LAYER ONLY, INDIA STICKER, PACK AS ORDERED</t>
  </si>
  <si>
    <t>*ON INDIA CARTON LABELS-CHOOSE ONLY TREATED WITH WAX</t>
  </si>
  <si>
    <t>LAYER ONLY,  PACK ORCHARD RUN</t>
  </si>
  <si>
    <t>LAYER ONLY,  PACK 72-88 ORCHARD RUN, 105 AS ORDERED</t>
  </si>
  <si>
    <t>LAYER ONLY, RUSSIA CARTON LABEL</t>
  </si>
  <si>
    <t>ON</t>
  </si>
  <si>
    <t>8203</t>
  </si>
  <si>
    <t>56</t>
  </si>
  <si>
    <t>D0991</t>
  </si>
  <si>
    <t>060099004626836744</t>
  </si>
  <si>
    <t>64</t>
  </si>
  <si>
    <t>060099004626836751</t>
  </si>
  <si>
    <t>060099004626836768</t>
  </si>
  <si>
    <t>060099004626836775</t>
  </si>
  <si>
    <t>060099004626836782</t>
  </si>
  <si>
    <t>55</t>
  </si>
  <si>
    <t>060099004626836799</t>
  </si>
  <si>
    <t>72</t>
  </si>
  <si>
    <t>060099004626836805</t>
  </si>
  <si>
    <t>060099004626836812</t>
  </si>
  <si>
    <t>88</t>
  </si>
  <si>
    <t>060099004626836829</t>
  </si>
  <si>
    <t>060099004626836836</t>
  </si>
  <si>
    <t>060099004626836843</t>
  </si>
  <si>
    <t>060099004626836850</t>
  </si>
  <si>
    <t>060099004626836867</t>
  </si>
  <si>
    <t>060099004626836874</t>
  </si>
  <si>
    <t>ZF/MAHEL</t>
  </si>
  <si>
    <t>MAHELA OHRIGSTAD ORANGE PACKING PLAN WEEK 38_2026</t>
  </si>
  <si>
    <t>060099004626836898</t>
  </si>
  <si>
    <t>060099004626836904</t>
  </si>
  <si>
    <t>060099004626836911</t>
  </si>
  <si>
    <t>060099004626836928</t>
  </si>
  <si>
    <t>060099004626836935</t>
  </si>
  <si>
    <t>060099004626836942</t>
  </si>
  <si>
    <t>060099004626836959</t>
  </si>
  <si>
    <t>060099004626837017</t>
  </si>
  <si>
    <t>105</t>
  </si>
  <si>
    <t>060099004626837024</t>
  </si>
  <si>
    <t>060099004626837048</t>
  </si>
  <si>
    <t>060099004626836966</t>
  </si>
  <si>
    <t>060099004626836973</t>
  </si>
  <si>
    <t>060099004626836980</t>
  </si>
  <si>
    <t>060099004626836997</t>
  </si>
  <si>
    <t>060099004626837000</t>
  </si>
  <si>
    <t>060099004626837031</t>
  </si>
  <si>
    <t>IC63601317</t>
  </si>
  <si>
    <t>IC63601318</t>
  </si>
  <si>
    <t>060099004626837062</t>
  </si>
  <si>
    <t>060099004626837154</t>
  </si>
  <si>
    <t>060099004626837055</t>
  </si>
  <si>
    <t>060099004626837079</t>
  </si>
  <si>
    <t>060099004626837086</t>
  </si>
  <si>
    <t>060099004626837093</t>
  </si>
  <si>
    <t>060099004626837109</t>
  </si>
  <si>
    <t>060099004626837116</t>
  </si>
  <si>
    <t>060099004626837123</t>
  </si>
  <si>
    <t>060099004626837130</t>
  </si>
  <si>
    <t>060099004626837147</t>
  </si>
  <si>
    <t>060099004626837161</t>
  </si>
  <si>
    <t>060099004626837178</t>
  </si>
  <si>
    <t>50</t>
  </si>
  <si>
    <t>060099004626837185</t>
  </si>
  <si>
    <t>060099004626837192</t>
  </si>
  <si>
    <t>060099004626837208</t>
  </si>
  <si>
    <t>060099004626837253</t>
  </si>
  <si>
    <t>060099004626837260</t>
  </si>
  <si>
    <t>060099004626837338</t>
  </si>
  <si>
    <t>IC63601319</t>
  </si>
  <si>
    <t>IC63601320</t>
  </si>
  <si>
    <t>060099004626837215</t>
  </si>
  <si>
    <t>060099004626837222</t>
  </si>
  <si>
    <t>060099004626837239</t>
  </si>
  <si>
    <t>060099004626837246</t>
  </si>
  <si>
    <t>060099004626837277</t>
  </si>
  <si>
    <t>060099004626837284</t>
  </si>
  <si>
    <t>060099004626837291</t>
  </si>
  <si>
    <t>060099004626837307</t>
  </si>
  <si>
    <t>060099004626837314</t>
  </si>
  <si>
    <t>060099004626837321</t>
  </si>
  <si>
    <t>060099004626837383</t>
  </si>
  <si>
    <t>060099004626837390</t>
  </si>
  <si>
    <t>060099004626837345</t>
  </si>
  <si>
    <t>060099004626837352</t>
  </si>
  <si>
    <t>060099004626837406</t>
  </si>
  <si>
    <t>060099004626837420</t>
  </si>
  <si>
    <t>060099004626837437</t>
  </si>
  <si>
    <t>060099004626837444</t>
  </si>
  <si>
    <t>060099004626837451</t>
  </si>
  <si>
    <t>060099004626837468</t>
  </si>
  <si>
    <t>8303</t>
  </si>
  <si>
    <t>060099004626837475</t>
  </si>
  <si>
    <t>060099004626837482</t>
  </si>
  <si>
    <t>060099004626837499</t>
  </si>
  <si>
    <t>060099004626837505</t>
  </si>
  <si>
    <t>060099004626837512</t>
  </si>
  <si>
    <t>060099004626837529</t>
  </si>
  <si>
    <t>060099004626837536</t>
  </si>
  <si>
    <t>060099004626837543</t>
  </si>
  <si>
    <t>060099004626837550</t>
  </si>
  <si>
    <t>060099004626837567</t>
  </si>
  <si>
    <t>060099004626837574</t>
  </si>
  <si>
    <t>060099004626837581</t>
  </si>
  <si>
    <t>060099004626837598</t>
  </si>
  <si>
    <t>060099004626837604</t>
  </si>
  <si>
    <t>060099004626837611</t>
  </si>
  <si>
    <t>060099004626837628</t>
  </si>
  <si>
    <t>060099004626837635</t>
  </si>
  <si>
    <t>060099004626837642</t>
  </si>
  <si>
    <t>060099004626837659</t>
  </si>
  <si>
    <t>060099004626837666</t>
  </si>
  <si>
    <t>060099004626837673</t>
  </si>
  <si>
    <t>060099004626837680</t>
  </si>
  <si>
    <t>060099004626837697</t>
  </si>
  <si>
    <t>060099004626837703</t>
  </si>
  <si>
    <t>060099004626837710</t>
  </si>
  <si>
    <t>060099004626837727</t>
  </si>
  <si>
    <t>060099004626837734</t>
  </si>
  <si>
    <t>060099004626837741</t>
  </si>
  <si>
    <t>060099004626837758</t>
  </si>
  <si>
    <t>060099004626837765</t>
  </si>
  <si>
    <t>060099004626837772</t>
  </si>
  <si>
    <t>060099004626837789</t>
  </si>
  <si>
    <t>060099004626837796</t>
  </si>
  <si>
    <t>060099004626837802</t>
  </si>
  <si>
    <t>060099004626837819</t>
  </si>
  <si>
    <t>RF</t>
  </si>
  <si>
    <t>IC63601323</t>
  </si>
  <si>
    <t>IC63601324</t>
  </si>
  <si>
    <t>060099004626837826</t>
  </si>
  <si>
    <t>060099004626837833</t>
  </si>
  <si>
    <t>060099004626837857</t>
  </si>
  <si>
    <t>060099004626837901</t>
  </si>
  <si>
    <t>060099004626837918</t>
  </si>
  <si>
    <t>060099004626837949</t>
  </si>
  <si>
    <t>060099004626837987</t>
  </si>
  <si>
    <t>060099004626838038</t>
  </si>
  <si>
    <t>060099004626838045</t>
  </si>
  <si>
    <t>060099004626838052</t>
  </si>
  <si>
    <t>060099004626837925</t>
  </si>
  <si>
    <t>060099004626837956</t>
  </si>
  <si>
    <t>060099004626837970</t>
  </si>
  <si>
    <t>060099004626838014</t>
  </si>
  <si>
    <t>060099004626838021</t>
  </si>
  <si>
    <t>IC63601321</t>
  </si>
  <si>
    <t>IC63601322</t>
  </si>
  <si>
    <t>060099004626837864</t>
  </si>
  <si>
    <t>060099004626837871</t>
  </si>
  <si>
    <t>060099004626837888</t>
  </si>
  <si>
    <t>060099004626837895</t>
  </si>
  <si>
    <t>060099004626837932</t>
  </si>
  <si>
    <t>060099004626837963</t>
  </si>
  <si>
    <t>060099004626837994</t>
  </si>
  <si>
    <t>060099004626838007</t>
  </si>
  <si>
    <t>060099004626838212</t>
  </si>
  <si>
    <t>060099004626838229</t>
  </si>
  <si>
    <t>060099004626838236</t>
  </si>
  <si>
    <t>060099004626838144</t>
  </si>
  <si>
    <t>060099004626838151</t>
  </si>
  <si>
    <t>060099004626838069</t>
  </si>
  <si>
    <t>060099004626838076</t>
  </si>
  <si>
    <t>060099004626838083</t>
  </si>
  <si>
    <t>45</t>
  </si>
  <si>
    <t>060099004626838106</t>
  </si>
  <si>
    <t>060099004626838113</t>
  </si>
  <si>
    <t>060099004626838120</t>
  </si>
  <si>
    <t>060099004626838137</t>
  </si>
  <si>
    <t>060099004626838168</t>
  </si>
  <si>
    <t>060099004626838175</t>
  </si>
  <si>
    <t>060099004626838182</t>
  </si>
  <si>
    <t>060099004626838199</t>
  </si>
  <si>
    <t>060099004626838205</t>
  </si>
  <si>
    <t>060099004626838243</t>
  </si>
  <si>
    <t>125</t>
  </si>
  <si>
    <t>060099004626838250</t>
  </si>
  <si>
    <t>060099004626838267</t>
  </si>
  <si>
    <t>060099004626838274</t>
  </si>
  <si>
    <t>060099004626838281</t>
  </si>
  <si>
    <t>IC63601325</t>
  </si>
  <si>
    <t>IC63601326</t>
  </si>
  <si>
    <t>060099004626838298</t>
  </si>
  <si>
    <t>060099004626838304</t>
  </si>
  <si>
    <t>060099004626838373</t>
  </si>
  <si>
    <t>060099004626838328</t>
  </si>
  <si>
    <t>060099004626838335</t>
  </si>
  <si>
    <t>060099004626838342</t>
  </si>
  <si>
    <t>060099004626838359</t>
  </si>
  <si>
    <t>060099004626838366</t>
  </si>
  <si>
    <t>060099004626838380</t>
  </si>
  <si>
    <t>060099004626838427</t>
  </si>
  <si>
    <t>060099004626838472</t>
  </si>
  <si>
    <t>060099004626838489</t>
  </si>
  <si>
    <t>060099004626838496</t>
  </si>
  <si>
    <t>060099004626838434</t>
  </si>
  <si>
    <t>060099004626838502</t>
  </si>
  <si>
    <t>IC63601327</t>
  </si>
  <si>
    <t>060099004626838403</t>
  </si>
  <si>
    <t>060099004626838397</t>
  </si>
  <si>
    <t>060099004626838410</t>
  </si>
  <si>
    <t>060099004626838441</t>
  </si>
  <si>
    <t>060099004626838458</t>
  </si>
  <si>
    <t>060099004626838465</t>
  </si>
  <si>
    <t>IC63601328</t>
  </si>
  <si>
    <t>GMAJ</t>
  </si>
  <si>
    <t>060099004626838526</t>
  </si>
  <si>
    <t>060099004626838533</t>
  </si>
  <si>
    <t>8403</t>
  </si>
  <si>
    <t>060099004626838540</t>
  </si>
  <si>
    <t>060099004626838595</t>
  </si>
  <si>
    <t>060099004626838601</t>
  </si>
  <si>
    <t>060099004626838618</t>
  </si>
  <si>
    <t>060099004626838625</t>
  </si>
  <si>
    <t>060099004626838632</t>
  </si>
  <si>
    <t>060099004626838687</t>
  </si>
  <si>
    <t>060099004626838571</t>
  </si>
  <si>
    <t>060099004626838694</t>
  </si>
  <si>
    <t>060099004626838557</t>
  </si>
  <si>
    <t>060099004626838564</t>
  </si>
  <si>
    <t>060099004626838588</t>
  </si>
  <si>
    <t>060099004626838649</t>
  </si>
  <si>
    <t>060099004626838656</t>
  </si>
  <si>
    <t>060099004626838663</t>
  </si>
  <si>
    <t>060099004626838670</t>
  </si>
  <si>
    <t>060099004626838519</t>
  </si>
  <si>
    <t>060099004626838700</t>
  </si>
  <si>
    <t>060099004626838717</t>
  </si>
  <si>
    <t>060099004626838724</t>
  </si>
  <si>
    <t>060099004626838731</t>
  </si>
  <si>
    <t>060099004626838762</t>
  </si>
  <si>
    <t>060099004626838779</t>
  </si>
  <si>
    <t>060099004626838786</t>
  </si>
  <si>
    <t>060099004626838793</t>
  </si>
  <si>
    <t>060099004626838748</t>
  </si>
  <si>
    <t>060099004626838755</t>
  </si>
  <si>
    <t>060099004626838809</t>
  </si>
  <si>
    <t>IC63601329</t>
  </si>
  <si>
    <t>IC63601330</t>
  </si>
  <si>
    <t>IC63601332</t>
  </si>
  <si>
    <t>060099004626838823</t>
  </si>
  <si>
    <t>060099004626838830</t>
  </si>
  <si>
    <t>060099004626838847</t>
  </si>
  <si>
    <t>060099004626838854</t>
  </si>
  <si>
    <t>060099004626838878</t>
  </si>
  <si>
    <t>060099004626838885</t>
  </si>
  <si>
    <t>060099004626838908</t>
  </si>
  <si>
    <t>060099004626838915</t>
  </si>
  <si>
    <t>060099004626838922</t>
  </si>
  <si>
    <t>IC63601331</t>
  </si>
  <si>
    <t>060099004626838861</t>
  </si>
  <si>
    <t>060099004626838816</t>
  </si>
  <si>
    <t>060099004626838892</t>
  </si>
  <si>
    <t>FR</t>
  </si>
  <si>
    <t>060099004626838939</t>
  </si>
  <si>
    <t>060099004626838946</t>
  </si>
  <si>
    <t>060099004626838960</t>
  </si>
  <si>
    <t>060099004626838977</t>
  </si>
  <si>
    <t>060099004626838984</t>
  </si>
  <si>
    <t>060099004626838991</t>
  </si>
  <si>
    <t>D6814</t>
  </si>
  <si>
    <t>060099004626839042</t>
  </si>
  <si>
    <t>060099004626839059</t>
  </si>
  <si>
    <t>060099004626839066</t>
  </si>
  <si>
    <t>060099004626839073</t>
  </si>
  <si>
    <t>060099004626839080</t>
  </si>
  <si>
    <t>060099004626839097</t>
  </si>
  <si>
    <t>060099004626839103</t>
  </si>
  <si>
    <t>060099004626839158</t>
  </si>
  <si>
    <t>060099004626838953</t>
  </si>
  <si>
    <t>060099004626839004</t>
  </si>
  <si>
    <t>060099004626839110</t>
  </si>
  <si>
    <t>IC63601333</t>
  </si>
  <si>
    <t>IC63601335</t>
  </si>
  <si>
    <t>IC63601336</t>
  </si>
  <si>
    <t>060099004626839035</t>
  </si>
  <si>
    <t>060099004626839165</t>
  </si>
  <si>
    <t>IC63601334</t>
  </si>
  <si>
    <t>060099004626839011</t>
  </si>
  <si>
    <t>060099004626839127</t>
  </si>
  <si>
    <t>060099004626839134</t>
  </si>
  <si>
    <t>060099004626839141</t>
  </si>
  <si>
    <t>060099004626839172</t>
  </si>
  <si>
    <t>060099004626839189</t>
  </si>
  <si>
    <t>IC63601338</t>
  </si>
  <si>
    <t>IC63601337</t>
  </si>
  <si>
    <t>060099004626839196</t>
  </si>
  <si>
    <t>060099004626839233</t>
  </si>
  <si>
    <t>060099004626839240</t>
  </si>
  <si>
    <t>060099004626839271</t>
  </si>
  <si>
    <t>IC63601339</t>
  </si>
  <si>
    <t>060099004626839226</t>
  </si>
  <si>
    <t>060099004626839202</t>
  </si>
  <si>
    <t>060099004626839219</t>
  </si>
  <si>
    <t>8503</t>
  </si>
  <si>
    <t>060099004626839264</t>
  </si>
  <si>
    <t>060099004626839301</t>
  </si>
  <si>
    <t>060099004626839325</t>
  </si>
  <si>
    <t>060099004626839332</t>
  </si>
  <si>
    <t>060099004626839318</t>
  </si>
  <si>
    <t>060099004626839288</t>
  </si>
  <si>
    <t>060099004626839295</t>
  </si>
  <si>
    <t>060099004626839387</t>
  </si>
  <si>
    <t>060099004626839370</t>
  </si>
  <si>
    <t>060099004626839349</t>
  </si>
  <si>
    <t>060099004626839356</t>
  </si>
  <si>
    <t>060099004626839363</t>
  </si>
  <si>
    <t>060099004626839394</t>
  </si>
  <si>
    <t>060099004626839400</t>
  </si>
  <si>
    <t>060099004626839424</t>
  </si>
  <si>
    <t>060099004626839431</t>
  </si>
  <si>
    <t>060099004626839448</t>
  </si>
  <si>
    <t>060099004626839509</t>
  </si>
  <si>
    <t>060099004626839516</t>
  </si>
  <si>
    <t>060099004626839455</t>
  </si>
  <si>
    <t>060099004626839417</t>
  </si>
  <si>
    <t>060099004626839462</t>
  </si>
  <si>
    <t>060099004626839479</t>
  </si>
  <si>
    <t>060099004626839486</t>
  </si>
  <si>
    <t>060099004626839493</t>
  </si>
  <si>
    <t>IC63601342</t>
  </si>
  <si>
    <t>IC63601341</t>
  </si>
  <si>
    <t>060099004626839592</t>
  </si>
  <si>
    <t>060099004626839608</t>
  </si>
  <si>
    <t>IC63601340</t>
  </si>
  <si>
    <t>060099004626839523</t>
  </si>
  <si>
    <t>060099004626839554</t>
  </si>
  <si>
    <t>060099004626839561</t>
  </si>
  <si>
    <t>060099004626839585</t>
  </si>
  <si>
    <t>060099004626839615</t>
  </si>
  <si>
    <t>060099004626839622</t>
  </si>
  <si>
    <t>060099004626839639</t>
  </si>
  <si>
    <t>060099004626839653</t>
  </si>
  <si>
    <t>060099004626839738</t>
  </si>
  <si>
    <t>060099004626839745</t>
  </si>
  <si>
    <t>060099004626839752</t>
  </si>
  <si>
    <t>060099004626839776</t>
  </si>
  <si>
    <t>060099004626839783</t>
  </si>
  <si>
    <t>060099004626839868</t>
  </si>
  <si>
    <t>060099004626839875</t>
  </si>
  <si>
    <t>060099004626839882</t>
  </si>
  <si>
    <t>060099004626839790</t>
  </si>
  <si>
    <t>060099004626839899</t>
  </si>
  <si>
    <t>060099004626839769</t>
  </si>
  <si>
    <t>060099004626839677</t>
  </si>
  <si>
    <t>060099004626839684</t>
  </si>
  <si>
    <t>060099004626839691</t>
  </si>
  <si>
    <t>060099004626839707</t>
  </si>
  <si>
    <t>060099004626839721</t>
  </si>
  <si>
    <t>060099004626839806</t>
  </si>
  <si>
    <t>060099004626839813</t>
  </si>
  <si>
    <t>060099004626839820</t>
  </si>
  <si>
    <t>060099004626839837</t>
  </si>
  <si>
    <t>060099004626839844</t>
  </si>
  <si>
    <t>060099004626839851</t>
  </si>
  <si>
    <t>X5</t>
  </si>
  <si>
    <r>
      <rPr>
        <b/>
        <u/>
        <sz val="12"/>
        <color theme="1"/>
        <rFont val="Calibri"/>
        <family val="2"/>
        <scheme val="minor"/>
      </rPr>
      <t>NO WRAPPING</t>
    </r>
    <r>
      <rPr>
        <sz val="12"/>
        <color theme="1"/>
        <rFont val="Calibri"/>
        <family val="2"/>
        <scheme val="minor"/>
      </rPr>
      <t>, RUSSIA X5 CARTON LABEL</t>
    </r>
  </si>
  <si>
    <t>ZLW39</t>
  </si>
  <si>
    <t>ZF/MAHEL/MAKUL</t>
  </si>
  <si>
    <r>
      <t>LAYER ONLY</t>
    </r>
    <r>
      <rPr>
        <sz val="12"/>
        <color theme="1"/>
        <rFont val="Calibri"/>
        <family val="2"/>
        <scheme val="minor"/>
      </rPr>
      <t xml:space="preserve">, PACK AS ORDERED </t>
    </r>
    <r>
      <rPr>
        <i/>
        <sz val="12"/>
        <color theme="1"/>
        <rFont val="Calibri"/>
        <family val="2"/>
        <scheme val="minor"/>
      </rPr>
      <t>(72 ORCHARD RUN)</t>
    </r>
  </si>
  <si>
    <t>(72 ORCHARD RUN)</t>
  </si>
  <si>
    <t>LAYER ONLY, PACK AS ORDERED (72 ORCHARD RUN)</t>
  </si>
  <si>
    <t>NO WRAPPING, RUSSIA X5 CARTON LABEL</t>
  </si>
  <si>
    <t>060099004626839929</t>
  </si>
  <si>
    <t>060099004626839943</t>
  </si>
  <si>
    <t>060099004626839950</t>
  </si>
  <si>
    <t>060099004626839967</t>
  </si>
  <si>
    <t>060099004626839936</t>
  </si>
  <si>
    <t>060099004626839974</t>
  </si>
  <si>
    <t>IC63601343</t>
  </si>
  <si>
    <t>IC63601344</t>
  </si>
  <si>
    <t>060099004626839905</t>
  </si>
  <si>
    <t>060099004626839912</t>
  </si>
  <si>
    <t>060099004626840017</t>
  </si>
  <si>
    <t>060099004626840031</t>
  </si>
  <si>
    <t>060099004626840048</t>
  </si>
  <si>
    <t>060099004626840024</t>
  </si>
  <si>
    <t>060099004626840000</t>
  </si>
  <si>
    <t>060099004626839981</t>
  </si>
  <si>
    <t>060099004626839998</t>
  </si>
  <si>
    <t>060099004626840055</t>
  </si>
  <si>
    <t>060099004626840062</t>
  </si>
  <si>
    <t>060099004626840079</t>
  </si>
  <si>
    <t>Last Updated: 18/09/2026 17:22:46</t>
  </si>
  <si>
    <t>Last Sent: 18/09/2026 17:22:53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</si>
</sst>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;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4"/>
      <name val="Calibri"/>
      <family val="2"/>
      <scheme val="minor"/>
    </font>
    <font>
      <b/>
      <u/>
      <sz val="10"/>
      <name val="Calibri"/>
      <family val="2"/>
      <scheme val="minor"/>
    </font>
    <font>
      <sz val="8"/>
      <name val="Calibri"/>
      <family val="2"/>
      <scheme val="minor"/>
    </font>
    <font>
      <sz val="1"/>
      <color rgb="FFFFFFFF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12"/>
      <name val="Calibri"/>
      <family val="2"/>
    </font>
    <font>
      <sz val="12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2D2D2"/>
        <bgColor indexed="64"/>
      </patternFill>
    </fill>
    <fill>
      <patternFill patternType="solid">
        <fgColor rgb="FFA5AFC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46AA64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dotted">
        <color indexed="64"/>
      </bottom>
      <diagonal/>
    </border>
  </borders>
  <cellStyleXfs count="5">
    <xf numFmtId="0" fontId="0" fillId="0" borderId="0"/>
    <xf numFmtId="0" fontId="2" fillId="0" borderId="0"/>
    <xf numFmtId="0" fontId="1" fillId="0" borderId="0"/>
    <xf numFmtId="0" fontId="3" fillId="0" borderId="0">
      <alignment vertical="center"/>
    </xf>
    <xf numFmtId="9" fontId="1" fillId="0" borderId="0" applyFont="0" applyFill="0" applyBorder="0" applyAlignment="0" applyProtection="0"/>
  </cellStyleXfs>
  <cellXfs count="151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164" fontId="0" fillId="0" borderId="0" xfId="0" applyNumberFormat="1" applyAlignment="1">
      <alignment horizontal="center"/>
    </xf>
    <xf numFmtId="0" fontId="0" fillId="4" borderId="7" xfId="0" applyFill="1" applyBorder="1"/>
    <xf numFmtId="0" fontId="0" fillId="4" borderId="7" xfId="0" applyFill="1" applyBorder="1" applyAlignment="1">
      <alignment horizontal="center"/>
    </xf>
    <xf numFmtId="0" fontId="0" fillId="4" borderId="7" xfId="0" applyFill="1" applyBorder="1" applyAlignment="1">
      <alignment horizontal="centerContinuous" vertical="center"/>
    </xf>
    <xf numFmtId="164" fontId="0" fillId="4" borderId="7" xfId="0" applyNumberFormat="1" applyFill="1" applyBorder="1" applyAlignment="1">
      <alignment horizontal="center"/>
    </xf>
    <xf numFmtId="0" fontId="4" fillId="5" borderId="7" xfId="0" applyFont="1" applyFill="1" applyBorder="1"/>
    <xf numFmtId="0" fontId="4" fillId="5" borderId="7" xfId="0" applyFont="1" applyFill="1" applyBorder="1" applyAlignment="1">
      <alignment horizontal="center"/>
    </xf>
    <xf numFmtId="0" fontId="4" fillId="5" borderId="7" xfId="0" applyFont="1" applyFill="1" applyBorder="1" applyAlignment="1">
      <alignment horizontal="centerContinuous" vertical="center"/>
    </xf>
    <xf numFmtId="164" fontId="4" fillId="5" borderId="7" xfId="0" applyNumberFormat="1" applyFont="1" applyFill="1" applyBorder="1" applyAlignment="1">
      <alignment horizontal="center"/>
    </xf>
    <xf numFmtId="0" fontId="4" fillId="5" borderId="15" xfId="0" applyFont="1" applyFill="1" applyBorder="1"/>
    <xf numFmtId="0" fontId="4" fillId="5" borderId="15" xfId="0" applyFont="1" applyFill="1" applyBorder="1" applyAlignment="1">
      <alignment horizontal="center"/>
    </xf>
    <xf numFmtId="0" fontId="4" fillId="5" borderId="15" xfId="0" applyFont="1" applyFill="1" applyBorder="1" applyAlignment="1">
      <alignment horizontal="centerContinuous" vertical="center"/>
    </xf>
    <xf numFmtId="164" fontId="4" fillId="5" borderId="15" xfId="0" applyNumberFormat="1" applyFont="1" applyFill="1" applyBorder="1" applyAlignment="1">
      <alignment horizontal="center"/>
    </xf>
    <xf numFmtId="0" fontId="4" fillId="5" borderId="8" xfId="0" applyFont="1" applyFill="1" applyBorder="1"/>
    <xf numFmtId="0" fontId="4" fillId="5" borderId="8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Continuous" vertical="center"/>
    </xf>
    <xf numFmtId="164" fontId="4" fillId="5" borderId="8" xfId="0" applyNumberFormat="1" applyFont="1" applyFill="1" applyBorder="1" applyAlignment="1">
      <alignment horizontal="center"/>
    </xf>
    <xf numFmtId="164" fontId="8" fillId="0" borderId="0" xfId="0" applyNumberFormat="1" applyFont="1" applyAlignment="1">
      <alignment horizontal="center"/>
    </xf>
    <xf numFmtId="0" fontId="0" fillId="7" borderId="0" xfId="0" applyFill="1"/>
    <xf numFmtId="0" fontId="0" fillId="4" borderId="16" xfId="0" applyFill="1" applyBorder="1"/>
    <xf numFmtId="0" fontId="0" fillId="4" borderId="16" xfId="0" applyFill="1" applyBorder="1" applyAlignment="1">
      <alignment horizontal="center"/>
    </xf>
    <xf numFmtId="0" fontId="0" fillId="4" borderId="16" xfId="0" applyFill="1" applyBorder="1" applyAlignment="1">
      <alignment horizontal="centerContinuous" vertical="center"/>
    </xf>
    <xf numFmtId="164" fontId="0" fillId="4" borderId="16" xfId="0" applyNumberFormat="1" applyFill="1" applyBorder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3" fontId="0" fillId="0" borderId="0" xfId="0" applyNumberFormat="1" applyAlignment="1">
      <alignment horizontal="center"/>
    </xf>
    <xf numFmtId="0" fontId="9" fillId="0" borderId="1" xfId="0" applyFont="1" applyBorder="1"/>
    <xf numFmtId="0" fontId="11" fillId="0" borderId="2" xfId="0" applyFont="1" applyBorder="1"/>
    <xf numFmtId="0" fontId="11" fillId="0" borderId="3" xfId="0" applyFont="1" applyBorder="1" applyAlignment="1">
      <alignment horizontal="center"/>
    </xf>
    <xf numFmtId="3" fontId="11" fillId="0" borderId="3" xfId="0" applyNumberFormat="1" applyFont="1" applyBorder="1" applyAlignment="1">
      <alignment horizontal="center"/>
    </xf>
    <xf numFmtId="0" fontId="13" fillId="0" borderId="4" xfId="0" applyFont="1" applyBorder="1"/>
    <xf numFmtId="0" fontId="12" fillId="0" borderId="4" xfId="0" applyFont="1" applyBorder="1" applyAlignment="1">
      <alignment horizontal="left" vertical="center"/>
    </xf>
    <xf numFmtId="0" fontId="11" fillId="6" borderId="4" xfId="0" applyFont="1" applyFill="1" applyBorder="1" applyAlignment="1">
      <alignment horizontal="center"/>
    </xf>
    <xf numFmtId="0" fontId="11" fillId="0" borderId="4" xfId="0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0" fontId="11" fillId="0" borderId="4" xfId="0" applyFont="1" applyBorder="1"/>
    <xf numFmtId="0" fontId="11" fillId="6" borderId="2" xfId="0" applyFont="1" applyFill="1" applyBorder="1"/>
    <xf numFmtId="0" fontId="11" fillId="6" borderId="2" xfId="0" applyFont="1" applyFill="1" applyBorder="1" applyAlignment="1">
      <alignment horizontal="center"/>
    </xf>
    <xf numFmtId="0" fontId="11" fillId="0" borderId="2" xfId="0" applyFont="1" applyBorder="1" applyAlignment="1">
      <alignment horizontal="center"/>
    </xf>
    <xf numFmtId="3" fontId="11" fillId="0" borderId="2" xfId="0" applyNumberFormat="1" applyFont="1" applyBorder="1" applyAlignment="1">
      <alignment horizontal="center"/>
    </xf>
    <xf numFmtId="0" fontId="11" fillId="0" borderId="3" xfId="0" applyFont="1" applyBorder="1"/>
    <xf numFmtId="1" fontId="12" fillId="0" borderId="4" xfId="0" quotePrefix="1" applyNumberFormat="1" applyFont="1" applyBorder="1" applyAlignment="1">
      <alignment horizontal="left" vertical="center"/>
    </xf>
    <xf numFmtId="0" fontId="9" fillId="0" borderId="4" xfId="0" applyFont="1" applyBorder="1"/>
    <xf numFmtId="0" fontId="11" fillId="0" borderId="5" xfId="0" applyFont="1" applyBorder="1" applyAlignment="1">
      <alignment horizontal="center"/>
    </xf>
    <xf numFmtId="3" fontId="11" fillId="0" borderId="5" xfId="0" applyNumberFormat="1" applyFont="1" applyBorder="1" applyAlignment="1">
      <alignment horizontal="center"/>
    </xf>
    <xf numFmtId="3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4" xfId="0" applyBorder="1"/>
    <xf numFmtId="0" fontId="14" fillId="0" borderId="4" xfId="0" applyFont="1" applyBorder="1"/>
    <xf numFmtId="0" fontId="9" fillId="6" borderId="2" xfId="0" applyFont="1" applyFill="1" applyBorder="1" applyAlignment="1">
      <alignment horizontal="center"/>
    </xf>
    <xf numFmtId="164" fontId="4" fillId="8" borderId="7" xfId="0" applyNumberFormat="1" applyFont="1" applyFill="1" applyBorder="1" applyAlignment="1">
      <alignment horizontal="center"/>
    </xf>
    <xf numFmtId="164" fontId="0" fillId="9" borderId="7" xfId="0" applyNumberFormat="1" applyFill="1" applyBorder="1" applyAlignment="1">
      <alignment horizontal="center"/>
    </xf>
    <xf numFmtId="164" fontId="0" fillId="9" borderId="16" xfId="0" applyNumberFormat="1" applyFill="1" applyBorder="1" applyAlignment="1">
      <alignment horizontal="center"/>
    </xf>
    <xf numFmtId="0" fontId="11" fillId="10" borderId="4" xfId="0" applyFont="1" applyFill="1" applyBorder="1" applyAlignment="1">
      <alignment horizontal="center"/>
    </xf>
    <xf numFmtId="3" fontId="11" fillId="0" borderId="4" xfId="0" applyNumberFormat="1" applyFont="1" applyBorder="1" applyAlignment="1">
      <alignment horizontal="left"/>
    </xf>
    <xf numFmtId="0" fontId="0" fillId="0" borderId="2" xfId="0" applyBorder="1"/>
    <xf numFmtId="0" fontId="11" fillId="0" borderId="5" xfId="0" applyFont="1" applyBorder="1"/>
    <xf numFmtId="0" fontId="11" fillId="0" borderId="6" xfId="0" applyFont="1" applyBorder="1" applyAlignment="1">
      <alignment horizontal="center"/>
    </xf>
    <xf numFmtId="3" fontId="11" fillId="0" borderId="6" xfId="0" applyNumberFormat="1" applyFont="1" applyBorder="1" applyAlignment="1">
      <alignment horizontal="center"/>
    </xf>
    <xf numFmtId="0" fontId="11" fillId="0" borderId="6" xfId="0" applyFont="1" applyBorder="1"/>
    <xf numFmtId="0" fontId="11" fillId="0" borderId="6" xfId="0" applyFont="1" applyBorder="1" applyAlignment="1">
      <alignment horizontal="left"/>
    </xf>
    <xf numFmtId="0" fontId="0" fillId="0" borderId="6" xfId="0" applyBorder="1"/>
    <xf numFmtId="3" fontId="16" fillId="0" borderId="0" xfId="0" applyNumberFormat="1" applyFont="1" applyAlignment="1">
      <alignment horizontal="left"/>
    </xf>
    <xf numFmtId="9" fontId="0" fillId="0" borderId="0" xfId="4" applyFont="1" applyAlignment="1">
      <alignment horizontal="center"/>
    </xf>
    <xf numFmtId="0" fontId="4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3" fontId="17" fillId="0" borderId="0" xfId="0" applyNumberFormat="1" applyFont="1" applyAlignment="1">
      <alignment horizontal="center"/>
    </xf>
    <xf numFmtId="0" fontId="9" fillId="0" borderId="2" xfId="0" applyFont="1" applyBorder="1"/>
    <xf numFmtId="0" fontId="10" fillId="0" borderId="2" xfId="0" applyFont="1" applyBorder="1"/>
    <xf numFmtId="0" fontId="10" fillId="0" borderId="2" xfId="0" applyFont="1" applyBorder="1" applyAlignment="1">
      <alignment horizontal="center"/>
    </xf>
    <xf numFmtId="0" fontId="10" fillId="0" borderId="2" xfId="0" applyFont="1" applyBorder="1" applyAlignment="1">
      <alignment horizontal="center" wrapText="1"/>
    </xf>
    <xf numFmtId="3" fontId="10" fillId="0" borderId="2" xfId="0" applyNumberFormat="1" applyFont="1" applyBorder="1" applyAlignment="1">
      <alignment horizontal="center"/>
    </xf>
    <xf numFmtId="3" fontId="10" fillId="0" borderId="2" xfId="0" applyNumberFormat="1" applyFont="1" applyBorder="1" applyAlignment="1">
      <alignment horizontal="center" wrapText="1"/>
    </xf>
    <xf numFmtId="0" fontId="9" fillId="0" borderId="2" xfId="0" applyFont="1" applyBorder="1" applyAlignment="1">
      <alignment horizontal="center"/>
    </xf>
    <xf numFmtId="0" fontId="11" fillId="6" borderId="4" xfId="0" applyFont="1" applyFill="1" applyBorder="1"/>
    <xf numFmtId="0" fontId="18" fillId="0" borderId="4" xfId="0" applyFont="1" applyBorder="1" applyAlignment="1">
      <alignment horizontal="left"/>
    </xf>
    <xf numFmtId="0" fontId="0" fillId="0" borderId="17" xfId="0" applyBorder="1"/>
    <xf numFmtId="0" fontId="11" fillId="6" borderId="3" xfId="0" applyFont="1" applyFill="1" applyBorder="1" applyAlignment="1">
      <alignment horizontal="center"/>
    </xf>
    <xf numFmtId="0" fontId="9" fillId="6" borderId="3" xfId="0" applyFont="1" applyFill="1" applyBorder="1" applyAlignment="1">
      <alignment horizontal="center"/>
    </xf>
    <xf numFmtId="3" fontId="0" fillId="0" borderId="0" xfId="0" applyNumberFormat="1"/>
    <xf numFmtId="0" fontId="9" fillId="0" borderId="4" xfId="0" applyFont="1" applyBorder="1" applyAlignment="1">
      <alignment horizontal="center"/>
    </xf>
    <xf numFmtId="0" fontId="11" fillId="0" borderId="4" xfId="0" applyFont="1" applyBorder="1" applyAlignment="1">
      <alignment horizontal="left"/>
    </xf>
    <xf numFmtId="0" fontId="14" fillId="6" borderId="4" xfId="0" applyFont="1" applyFill="1" applyBorder="1"/>
    <xf numFmtId="0" fontId="11" fillId="6" borderId="3" xfId="0" applyFont="1" applyFill="1" applyBorder="1"/>
    <xf numFmtId="0" fontId="0" fillId="0" borderId="3" xfId="0" applyBorder="1"/>
    <xf numFmtId="3" fontId="11" fillId="0" borderId="4" xfId="0" applyNumberFormat="1" applyFont="1" applyBorder="1"/>
    <xf numFmtId="0" fontId="9" fillId="0" borderId="4" xfId="0" quotePrefix="1" applyFont="1" applyBorder="1"/>
    <xf numFmtId="0" fontId="18" fillId="0" borderId="4" xfId="0" applyFont="1" applyBorder="1"/>
    <xf numFmtId="0" fontId="11" fillId="6" borderId="5" xfId="0" applyFont="1" applyFill="1" applyBorder="1"/>
    <xf numFmtId="0" fontId="11" fillId="6" borderId="5" xfId="0" applyFont="1" applyFill="1" applyBorder="1" applyAlignment="1">
      <alignment horizontal="center"/>
    </xf>
    <xf numFmtId="0" fontId="15" fillId="0" borderId="0" xfId="0" applyFont="1" applyAlignment="1">
      <alignment vertical="center"/>
    </xf>
    <xf numFmtId="0" fontId="11" fillId="0" borderId="0" xfId="0" applyFont="1"/>
    <xf numFmtId="0" fontId="11" fillId="0" borderId="0" xfId="0" applyFont="1" applyAlignment="1">
      <alignment horizontal="center"/>
    </xf>
    <xf numFmtId="0" fontId="15" fillId="0" borderId="0" xfId="0" applyFont="1"/>
    <xf numFmtId="9" fontId="11" fillId="0" borderId="0" xfId="4" applyFont="1"/>
    <xf numFmtId="0" fontId="10" fillId="0" borderId="0" xfId="0" applyFont="1" applyAlignment="1">
      <alignment horizontal="left"/>
    </xf>
    <xf numFmtId="0" fontId="12" fillId="0" borderId="0" xfId="0" applyFont="1" applyAlignment="1">
      <alignment horizontal="left"/>
    </xf>
    <xf numFmtId="3" fontId="16" fillId="0" borderId="0" xfId="0" applyNumberFormat="1" applyFont="1" applyAlignment="1">
      <alignment horizontal="center"/>
    </xf>
    <xf numFmtId="164" fontId="0" fillId="0" borderId="0" xfId="4" applyNumberFormat="1" applyFont="1" applyAlignment="1">
      <alignment horizontal="center"/>
    </xf>
    <xf numFmtId="164" fontId="10" fillId="0" borderId="2" xfId="0" applyNumberFormat="1" applyFont="1" applyBorder="1" applyAlignment="1">
      <alignment horizontal="center" wrapText="1"/>
    </xf>
    <xf numFmtId="164" fontId="10" fillId="0" borderId="2" xfId="0" applyNumberFormat="1" applyFont="1" applyBorder="1" applyAlignment="1">
      <alignment horizontal="center"/>
    </xf>
    <xf numFmtId="0" fontId="11" fillId="6" borderId="6" xfId="0" applyFont="1" applyFill="1" applyBorder="1"/>
    <xf numFmtId="0" fontId="11" fillId="6" borderId="6" xfId="0" applyFont="1" applyFill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6" borderId="6" xfId="0" applyFont="1" applyFill="1" applyBorder="1" applyAlignment="1">
      <alignment horizontal="center"/>
    </xf>
    <xf numFmtId="0" fontId="11" fillId="6" borderId="6" xfId="0" applyFont="1" applyFill="1" applyBorder="1" applyAlignment="1">
      <alignment horizontal="left"/>
    </xf>
    <xf numFmtId="0" fontId="9" fillId="0" borderId="9" xfId="0" applyFont="1" applyBorder="1"/>
    <xf numFmtId="0" fontId="10" fillId="0" borderId="9" xfId="0" applyFont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 wrapText="1"/>
    </xf>
    <xf numFmtId="3" fontId="10" fillId="0" borderId="9" xfId="0" applyNumberFormat="1" applyFont="1" applyBorder="1" applyAlignment="1">
      <alignment horizontal="center"/>
    </xf>
    <xf numFmtId="164" fontId="10" fillId="0" borderId="9" xfId="0" applyNumberFormat="1" applyFont="1" applyBorder="1" applyAlignment="1">
      <alignment horizontal="center" wrapText="1"/>
    </xf>
    <xf numFmtId="164" fontId="10" fillId="0" borderId="9" xfId="0" applyNumberFormat="1" applyFont="1" applyBorder="1" applyAlignment="1">
      <alignment horizontal="center"/>
    </xf>
    <xf numFmtId="0" fontId="0" fillId="0" borderId="7" xfId="0" applyBorder="1"/>
    <xf numFmtId="0" fontId="0" fillId="0" borderId="10" xfId="0" applyBorder="1"/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/>
    <xf numFmtId="0" fontId="0" fillId="0" borderId="12" xfId="0" applyBorder="1"/>
    <xf numFmtId="0" fontId="0" fillId="0" borderId="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/>
    <xf numFmtId="164" fontId="0" fillId="4" borderId="7" xfId="0" applyNumberFormat="1" applyFill="1" applyBorder="1" applyAlignment="1">
      <alignment horizontal="left"/>
    </xf>
    <xf numFmtId="0" fontId="4" fillId="8" borderId="7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0" fontId="0" fillId="9" borderId="16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11" fillId="10" borderId="2" xfId="0" applyFont="1" applyFill="1" applyBorder="1" applyAlignment="1">
      <alignment horizontal="center"/>
    </xf>
    <xf numFmtId="0" fontId="11" fillId="0" borderId="18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11" fillId="10" borderId="18" xfId="0" applyFont="1" applyFill="1" applyBorder="1" applyAlignment="1">
      <alignment horizontal="center"/>
    </xf>
    <xf numFmtId="0" fontId="0" fillId="0" borderId="18" xfId="0" applyBorder="1"/>
    <xf numFmtId="3" fontId="11" fillId="0" borderId="18" xfId="0" applyNumberFormat="1" applyFont="1" applyBorder="1" applyAlignment="1">
      <alignment horizontal="center"/>
    </xf>
    <xf numFmtId="0" fontId="11" fillId="0" borderId="18" xfId="0" applyFont="1" applyBorder="1"/>
    <xf numFmtId="0" fontId="13" fillId="0" borderId="18" xfId="0" applyFont="1" applyBorder="1"/>
    <xf numFmtId="0" fontId="11" fillId="10" borderId="6" xfId="0" applyFont="1" applyFill="1" applyBorder="1" applyAlignment="1">
      <alignment horizontal="center"/>
    </xf>
    <xf numFmtId="0" fontId="11" fillId="0" borderId="19" xfId="0" applyFont="1" applyBorder="1" applyAlignment="1">
      <alignment horizontal="center"/>
    </xf>
    <xf numFmtId="0" fontId="9" fillId="0" borderId="19" xfId="0" applyFont="1" applyBorder="1" applyAlignment="1">
      <alignment horizontal="center"/>
    </xf>
    <xf numFmtId="0" fontId="11" fillId="10" borderId="19" xfId="0" applyFont="1" applyFill="1" applyBorder="1" applyAlignment="1">
      <alignment horizontal="center"/>
    </xf>
    <xf numFmtId="0" fontId="0" fillId="0" borderId="19" xfId="0" applyBorder="1"/>
    <xf numFmtId="3" fontId="11" fillId="0" borderId="19" xfId="0" applyNumberFormat="1" applyFont="1" applyBorder="1" applyAlignment="1">
      <alignment horizontal="center"/>
    </xf>
    <xf numFmtId="0" fontId="11" fillId="0" borderId="19" xfId="0" applyFont="1" applyBorder="1"/>
    <xf numFmtId="0" fontId="11" fillId="0" borderId="19" xfId="0" applyFont="1" applyBorder="1" applyAlignment="1">
      <alignment horizontal="left"/>
    </xf>
    <xf numFmtId="0" fontId="18" fillId="0" borderId="6" xfId="0" applyFont="1" applyBorder="1" applyAlignment="1">
      <alignment horizontal="left"/>
    </xf>
  </cellXfs>
  <cellStyles count="5">
    <cellStyle name="Normal" xfId="0" builtinId="0"/>
    <cellStyle name="Normal 2" xfId="1" xr:uid="{BF7BA70D-8630-4068-9839-1415E45A5ED9}"/>
    <cellStyle name="Normal 2 4" xfId="2" xr:uid="{5B0B22D0-F7E9-4CE5-9E92-72FC219E20FF}"/>
    <cellStyle name="Normal 4" xfId="3" xr:uid="{2BA5256A-AA98-49BF-A8AE-16479D5F50A8}"/>
    <cellStyle name="Percent" xfId="4" builtinId="5"/>
  </cellStyles>
  <dxfs count="102"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E6505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  <dxf>
      <fill>
        <patternFill>
          <bgColor rgb="FFFFFF00"/>
        </patternFill>
      </fill>
    </dxf>
    <dxf>
      <fill>
        <patternFill>
          <bgColor rgb="FFE65050"/>
        </patternFill>
      </fill>
    </dxf>
    <dxf>
      <fill>
        <patternFill>
          <bgColor rgb="FF46AA64"/>
        </patternFill>
      </fill>
    </dxf>
  </dxfs>
  <tableStyles count="0" defaultTableStyle="TableStyleMedium2" defaultPivotStyle="PivotStyleLight16"/>
  <colors>
    <mruColors>
      <color rgb="FFD2D2D2"/>
      <color rgb="FFE6E6E6"/>
      <color rgb="FFFFCCCC"/>
      <color rgb="FFFF5050"/>
      <color rgb="FFFF9999"/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MY - Grade 1 - TFCW38 - FP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2B-42D1-AE31-C1EE7F44F035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2B-42D1-AE31-C1EE7F44F035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2B-42D1-AE31-C1EE7F44F035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2B-42D1-AE31-C1EE7F44F03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2B-42D1-AE31-C1EE7F44F0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PR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F00D-417D-AEA5-D4D41C4F303D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F00D-417D-AEA5-D4D41C4F303D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F00D-417D-AEA5-D4D41C4F303D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00D-417D-AEA5-D4D41C4F30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14</c:v>
              </c:pt>
              <c:pt idx="1">
                <c:v>6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F00D-417D-AEA5-D4D41C4F30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Z0 - IN - Grade 1 - TFCW38 - GY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D02D-4471-9B29-A4544CBFF91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D02D-4471-9B29-A4544CBFF91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D02D-4471-9B29-A4544CBFF914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2D-4471-9B29-A4544CBFF91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12</c:v>
              </c:pt>
              <c:pt idx="1">
                <c:v>8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02D-4471-9B29-A4544CBFF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SO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97F6-47D6-998B-1B83553261A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97F6-47D6-998B-1B83553261A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97F6-47D6-998B-1B83553261A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7F6-47D6-998B-1B83553261A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7F6-47D6-998B-1B83553261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7F6-47D6-998B-1B83553261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VDW38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09E0-4A3A-A0A4-DD91F39B16BF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09E0-4A3A-A0A4-DD91F39B16BF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09E0-4A3A-A0A4-DD91F39B16BF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E0-4A3A-A0A4-DD91F39B16BF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E0-4A3A-A0A4-DD91F39B16B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100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09E0-4A3A-A0A4-DD91F39B16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C3C-48E9-AD32-B95E30B49F0A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C3C-48E9-AD32-B95E30B49F0A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C3C-48E9-AD32-B95E30B49F0A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C3C-48E9-AD32-B95E30B49F0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27</c:v>
              </c:pt>
              <c:pt idx="1">
                <c:v>13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C3C-48E9-AD32-B95E30B49F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BD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A19E-41CF-ADBA-9C5427BC76FB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A19E-41CF-ADBA-9C5427BC76FB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A19E-41CF-ADBA-9C5427BC76FB}"/>
              </c:ext>
            </c:extLst>
          </c:dPt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19E-41CF-ADBA-9C5427BC76F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</c:v>
              </c:pt>
              <c:pt idx="1">
                <c:v>59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A19E-41CF-ADBA-9C5427BC7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BD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3E5-416C-8323-24BD0C416520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3E5-416C-8323-24BD0C416520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3E5-416C-8323-24BD0C416520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3E5-416C-8323-24BD0C416520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3E5-416C-8323-24BD0C4165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3E5-416C-8323-24BD0C4165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ZL - SA - Grade 1 - ZLW38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539F-46CF-B5CE-6B6DF88D441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539F-46CF-B5CE-6B6DF88D441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539F-46CF-B5CE-6B6DF88D441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39F-46CF-B5CE-6B6DF88D441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39F-46CF-B5CE-6B6DF88D441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40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539F-46CF-B5CE-6B6DF88D44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GB" sz="1000"/>
              <a:t>Z0 - SA - Grade 1 - TFCW38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722F-4B3C-8184-E94222751CEE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722F-4B3C-8184-E94222751CEE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722F-4B3C-8184-E94222751CEE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22F-4B3C-8184-E94222751CE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22F-4B3C-8184-E94222751CE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20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722F-4B3C-8184-E94222751C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4DFD-4DCF-95C7-4F17AF270474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4DFD-4DCF-95C7-4F17AF270474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4DFD-4DCF-95C7-4F17AF270474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DFD-4DCF-95C7-4F17AF270474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DFD-4DCF-95C7-4F17AF27047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15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4DFD-4DCF-95C7-4F17AF270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RK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3A1-4442-8970-A2D032FA31B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3A1-4442-8970-A2D032FA31B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3A1-4442-8970-A2D032FA31B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3A1-4442-8970-A2D032FA31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3A1-4442-8970-A2D032FA31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45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3A1-4442-8970-A2D032FA3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B1DD-4B26-B5C3-F14AC670230C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B1DD-4B26-B5C3-F14AC670230C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B1DD-4B26-B5C3-F14AC670230C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DD-4B26-B5C3-F14AC670230C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1DD-4B26-B5C3-F14AC67023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6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B1DD-4B26-B5C3-F14AC6702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RF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EDC9-41E7-872D-0EE21D67D88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EDC9-41E7-872D-0EE21D67D88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EDC9-41E7-872D-0EE21D67D88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EDC9-41E7-872D-0EE21D67D88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DC9-41E7-872D-0EE21D67D88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24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EDC9-41E7-872D-0EE21D67D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60B1-4CCD-AF16-35FCC787DBC6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60B1-4CCD-AF16-35FCC787DBC6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60B1-4CCD-AF16-35FCC787DBC6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0B1-4CCD-AF16-35FCC787DBC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0B1-4CCD-AF16-35FCC787DBC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7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60B1-4CCD-AF16-35FCC787D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ZLW38 - FR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8D05-4D94-A409-22814473F22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8D05-4D94-A409-22814473F22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8D05-4D94-A409-22814473F228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05-4D94-A409-22814473F22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D05-4D94-A409-22814473F22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33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8D05-4D94-A409-22814473F2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/>
            </a:pPr>
            <a:r>
              <a:rPr lang="en-US" sz="1000"/>
              <a:t>ZL - RU - Grade 1 - ZLW39 - X5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AA00"/>
              </a:solidFill>
            </c:spPr>
            <c:extLst>
              <c:ext xmlns:c16="http://schemas.microsoft.com/office/drawing/2014/chart" uri="{C3380CC4-5D6E-409C-BE32-E72D297353CC}">
                <c16:uniqueId val="{00000001-C4F2-493B-9936-1E4013DD8A48}"/>
              </c:ext>
            </c:extLst>
          </c:dPt>
          <c:dPt>
            <c:idx val="1"/>
            <c:bubble3D val="0"/>
            <c:spPr>
              <a:solidFill>
                <a:srgbClr val="DCDC00"/>
              </a:solidFill>
            </c:spPr>
            <c:extLst>
              <c:ext xmlns:c16="http://schemas.microsoft.com/office/drawing/2014/chart" uri="{C3380CC4-5D6E-409C-BE32-E72D297353CC}">
                <c16:uniqueId val="{00000002-C4F2-493B-9936-1E4013DD8A48}"/>
              </c:ext>
            </c:extLst>
          </c:dPt>
          <c:dPt>
            <c:idx val="2"/>
            <c:bubble3D val="0"/>
            <c:spPr>
              <a:solidFill>
                <a:srgbClr val="DC0000"/>
              </a:solidFill>
            </c:spPr>
            <c:extLst>
              <c:ext xmlns:c16="http://schemas.microsoft.com/office/drawing/2014/chart" uri="{C3380CC4-5D6E-409C-BE32-E72D297353CC}">
                <c16:uniqueId val="{00000003-C4F2-493B-9936-1E4013DD8A48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4F2-493B-9936-1E4013DD8A48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4F2-493B-9936-1E4013DD8A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Packed</c:v>
              </c:pt>
              <c:pt idx="1">
                <c:v>Outstanding</c:v>
              </c:pt>
              <c:pt idx="2">
                <c:v>Overpack</c:v>
              </c:pt>
            </c:strLit>
          </c:cat>
          <c:val>
            <c:numLit>
              <c:formatCode>General</c:formatCode>
              <c:ptCount val="3"/>
              <c:pt idx="0">
                <c:v>0</c:v>
              </c:pt>
              <c:pt idx="1">
                <c:v>80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C4F2-493B-9936-1E4013DD8A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</xdr:col>
      <xdr:colOff>457200</xdr:colOff>
      <xdr:row>9</xdr:row>
      <xdr:rowOff>132080</xdr:rowOff>
    </xdr:to>
    <xdr:graphicFrame macro="">
      <xdr:nvGraphicFramePr>
        <xdr:cNvPr id="516" name="Chart 515">
          <a:extLst>
            <a:ext uri="{FF2B5EF4-FFF2-40B4-BE49-F238E27FC236}">
              <a16:creationId xmlns:a16="http://schemas.microsoft.com/office/drawing/2014/main" id="{0084FB4A-7B59-76B0-65F3-DC2A38DD93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520700</xdr:colOff>
      <xdr:row>0</xdr:row>
      <xdr:rowOff>0</xdr:rowOff>
    </xdr:from>
    <xdr:to>
      <xdr:col>7</xdr:col>
      <xdr:colOff>368300</xdr:colOff>
      <xdr:row>9</xdr:row>
      <xdr:rowOff>132080</xdr:rowOff>
    </xdr:to>
    <xdr:graphicFrame macro="">
      <xdr:nvGraphicFramePr>
        <xdr:cNvPr id="517" name="Chart 516">
          <a:extLst>
            <a:ext uri="{FF2B5EF4-FFF2-40B4-BE49-F238E27FC236}">
              <a16:creationId xmlns:a16="http://schemas.microsoft.com/office/drawing/2014/main" id="{5D5AB4F5-C603-EEE3-E6A3-7B8AEDD49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431800</xdr:colOff>
      <xdr:row>0</xdr:row>
      <xdr:rowOff>0</xdr:rowOff>
    </xdr:from>
    <xdr:to>
      <xdr:col>11</xdr:col>
      <xdr:colOff>279400</xdr:colOff>
      <xdr:row>9</xdr:row>
      <xdr:rowOff>132080</xdr:rowOff>
    </xdr:to>
    <xdr:graphicFrame macro="">
      <xdr:nvGraphicFramePr>
        <xdr:cNvPr id="518" name="Chart 517">
          <a:extLst>
            <a:ext uri="{FF2B5EF4-FFF2-40B4-BE49-F238E27FC236}">
              <a16:creationId xmlns:a16="http://schemas.microsoft.com/office/drawing/2014/main" id="{6AAF5AB7-FE5B-216C-8ACC-634B4E39AD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342900</xdr:colOff>
      <xdr:row>0</xdr:row>
      <xdr:rowOff>0</xdr:rowOff>
    </xdr:from>
    <xdr:to>
      <xdr:col>15</xdr:col>
      <xdr:colOff>190500</xdr:colOff>
      <xdr:row>9</xdr:row>
      <xdr:rowOff>132080</xdr:rowOff>
    </xdr:to>
    <xdr:graphicFrame macro="">
      <xdr:nvGraphicFramePr>
        <xdr:cNvPr id="519" name="Chart 518">
          <a:extLst>
            <a:ext uri="{FF2B5EF4-FFF2-40B4-BE49-F238E27FC236}">
              <a16:creationId xmlns:a16="http://schemas.microsoft.com/office/drawing/2014/main" id="{741F4B4F-0C2F-E103-6303-88A7EC58BE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15</xdr:col>
      <xdr:colOff>254000</xdr:colOff>
      <xdr:row>0</xdr:row>
      <xdr:rowOff>0</xdr:rowOff>
    </xdr:from>
    <xdr:to>
      <xdr:col>19</xdr:col>
      <xdr:colOff>101600</xdr:colOff>
      <xdr:row>9</xdr:row>
      <xdr:rowOff>132080</xdr:rowOff>
    </xdr:to>
    <xdr:graphicFrame macro="">
      <xdr:nvGraphicFramePr>
        <xdr:cNvPr id="520" name="Chart 519">
          <a:extLst>
            <a:ext uri="{FF2B5EF4-FFF2-40B4-BE49-F238E27FC236}">
              <a16:creationId xmlns:a16="http://schemas.microsoft.com/office/drawing/2014/main" id="{CDC6E75B-9A66-6010-FD68-EE58BA467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165100</xdr:colOff>
      <xdr:row>0</xdr:row>
      <xdr:rowOff>0</xdr:rowOff>
    </xdr:from>
    <xdr:to>
      <xdr:col>23</xdr:col>
      <xdr:colOff>12700</xdr:colOff>
      <xdr:row>9</xdr:row>
      <xdr:rowOff>132080</xdr:rowOff>
    </xdr:to>
    <xdr:graphicFrame macro="">
      <xdr:nvGraphicFramePr>
        <xdr:cNvPr id="521" name="Chart 520">
          <a:extLst>
            <a:ext uri="{FF2B5EF4-FFF2-40B4-BE49-F238E27FC236}">
              <a16:creationId xmlns:a16="http://schemas.microsoft.com/office/drawing/2014/main" id="{E805CD70-4B76-6EB5-B7D0-7A1A485526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10</xdr:row>
      <xdr:rowOff>12700</xdr:rowOff>
    </xdr:from>
    <xdr:to>
      <xdr:col>3</xdr:col>
      <xdr:colOff>457200</xdr:colOff>
      <xdr:row>19</xdr:row>
      <xdr:rowOff>144780</xdr:rowOff>
    </xdr:to>
    <xdr:graphicFrame macro="">
      <xdr:nvGraphicFramePr>
        <xdr:cNvPr id="522" name="Chart 521">
          <a:extLst>
            <a:ext uri="{FF2B5EF4-FFF2-40B4-BE49-F238E27FC236}">
              <a16:creationId xmlns:a16="http://schemas.microsoft.com/office/drawing/2014/main" id="{3A941697-70D7-CD6A-5CAC-ABD939C9C96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520700</xdr:colOff>
      <xdr:row>10</xdr:row>
      <xdr:rowOff>12700</xdr:rowOff>
    </xdr:from>
    <xdr:to>
      <xdr:col>7</xdr:col>
      <xdr:colOff>368300</xdr:colOff>
      <xdr:row>19</xdr:row>
      <xdr:rowOff>144780</xdr:rowOff>
    </xdr:to>
    <xdr:graphicFrame macro="">
      <xdr:nvGraphicFramePr>
        <xdr:cNvPr id="523" name="Chart 522">
          <a:extLst>
            <a:ext uri="{FF2B5EF4-FFF2-40B4-BE49-F238E27FC236}">
              <a16:creationId xmlns:a16="http://schemas.microsoft.com/office/drawing/2014/main" id="{F7B2C377-B3EB-1865-911B-A72C6ADED0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7</xdr:col>
      <xdr:colOff>431800</xdr:colOff>
      <xdr:row>10</xdr:row>
      <xdr:rowOff>12700</xdr:rowOff>
    </xdr:from>
    <xdr:to>
      <xdr:col>11</xdr:col>
      <xdr:colOff>279400</xdr:colOff>
      <xdr:row>19</xdr:row>
      <xdr:rowOff>144780</xdr:rowOff>
    </xdr:to>
    <xdr:graphicFrame macro="">
      <xdr:nvGraphicFramePr>
        <xdr:cNvPr id="524" name="Chart 523">
          <a:extLst>
            <a:ext uri="{FF2B5EF4-FFF2-40B4-BE49-F238E27FC236}">
              <a16:creationId xmlns:a16="http://schemas.microsoft.com/office/drawing/2014/main" id="{73CB9C95-5FAF-6274-BADB-D5CC9E4D8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342900</xdr:colOff>
      <xdr:row>10</xdr:row>
      <xdr:rowOff>12700</xdr:rowOff>
    </xdr:from>
    <xdr:to>
      <xdr:col>15</xdr:col>
      <xdr:colOff>190500</xdr:colOff>
      <xdr:row>19</xdr:row>
      <xdr:rowOff>144780</xdr:rowOff>
    </xdr:to>
    <xdr:graphicFrame macro="">
      <xdr:nvGraphicFramePr>
        <xdr:cNvPr id="525" name="Chart 524">
          <a:extLst>
            <a:ext uri="{FF2B5EF4-FFF2-40B4-BE49-F238E27FC236}">
              <a16:creationId xmlns:a16="http://schemas.microsoft.com/office/drawing/2014/main" id="{0283C50A-7475-05F6-CE3A-722E4B3B91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254000</xdr:colOff>
      <xdr:row>10</xdr:row>
      <xdr:rowOff>12700</xdr:rowOff>
    </xdr:from>
    <xdr:to>
      <xdr:col>19</xdr:col>
      <xdr:colOff>101600</xdr:colOff>
      <xdr:row>19</xdr:row>
      <xdr:rowOff>144780</xdr:rowOff>
    </xdr:to>
    <xdr:graphicFrame macro="">
      <xdr:nvGraphicFramePr>
        <xdr:cNvPr id="526" name="Chart 525">
          <a:extLst>
            <a:ext uri="{FF2B5EF4-FFF2-40B4-BE49-F238E27FC236}">
              <a16:creationId xmlns:a16="http://schemas.microsoft.com/office/drawing/2014/main" id="{9DDE26A0-B401-E2FB-7691-5D8E5706C2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165100</xdr:colOff>
      <xdr:row>10</xdr:row>
      <xdr:rowOff>12700</xdr:rowOff>
    </xdr:from>
    <xdr:to>
      <xdr:col>23</xdr:col>
      <xdr:colOff>12700</xdr:colOff>
      <xdr:row>19</xdr:row>
      <xdr:rowOff>144780</xdr:rowOff>
    </xdr:to>
    <xdr:graphicFrame macro="">
      <xdr:nvGraphicFramePr>
        <xdr:cNvPr id="527" name="Chart 526">
          <a:extLst>
            <a:ext uri="{FF2B5EF4-FFF2-40B4-BE49-F238E27FC236}">
              <a16:creationId xmlns:a16="http://schemas.microsoft.com/office/drawing/2014/main" id="{CBE24A5D-8DD2-C63F-FB7B-4DE0BBD8B3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20</xdr:row>
      <xdr:rowOff>25400</xdr:rowOff>
    </xdr:from>
    <xdr:to>
      <xdr:col>3</xdr:col>
      <xdr:colOff>457200</xdr:colOff>
      <xdr:row>29</xdr:row>
      <xdr:rowOff>157480</xdr:rowOff>
    </xdr:to>
    <xdr:graphicFrame macro="">
      <xdr:nvGraphicFramePr>
        <xdr:cNvPr id="528" name="Chart 527">
          <a:extLst>
            <a:ext uri="{FF2B5EF4-FFF2-40B4-BE49-F238E27FC236}">
              <a16:creationId xmlns:a16="http://schemas.microsoft.com/office/drawing/2014/main" id="{05F25A45-3004-018E-0F82-46E6A714B0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</xdr:col>
      <xdr:colOff>520700</xdr:colOff>
      <xdr:row>20</xdr:row>
      <xdr:rowOff>25400</xdr:rowOff>
    </xdr:from>
    <xdr:to>
      <xdr:col>7</xdr:col>
      <xdr:colOff>368300</xdr:colOff>
      <xdr:row>29</xdr:row>
      <xdr:rowOff>157480</xdr:rowOff>
    </xdr:to>
    <xdr:graphicFrame macro="">
      <xdr:nvGraphicFramePr>
        <xdr:cNvPr id="529" name="Chart 528">
          <a:extLst>
            <a:ext uri="{FF2B5EF4-FFF2-40B4-BE49-F238E27FC236}">
              <a16:creationId xmlns:a16="http://schemas.microsoft.com/office/drawing/2014/main" id="{F6D4A5AE-9823-D999-3222-F03607DDC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431800</xdr:colOff>
      <xdr:row>20</xdr:row>
      <xdr:rowOff>25400</xdr:rowOff>
    </xdr:from>
    <xdr:to>
      <xdr:col>11</xdr:col>
      <xdr:colOff>279400</xdr:colOff>
      <xdr:row>29</xdr:row>
      <xdr:rowOff>157480</xdr:rowOff>
    </xdr:to>
    <xdr:graphicFrame macro="">
      <xdr:nvGraphicFramePr>
        <xdr:cNvPr id="530" name="Chart 529">
          <a:extLst>
            <a:ext uri="{FF2B5EF4-FFF2-40B4-BE49-F238E27FC236}">
              <a16:creationId xmlns:a16="http://schemas.microsoft.com/office/drawing/2014/main" id="{F5E6FEBE-8E3C-EEEF-C719-6C233E634AD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11</xdr:col>
      <xdr:colOff>342900</xdr:colOff>
      <xdr:row>20</xdr:row>
      <xdr:rowOff>25400</xdr:rowOff>
    </xdr:from>
    <xdr:to>
      <xdr:col>15</xdr:col>
      <xdr:colOff>190500</xdr:colOff>
      <xdr:row>29</xdr:row>
      <xdr:rowOff>157480</xdr:rowOff>
    </xdr:to>
    <xdr:graphicFrame macro="">
      <xdr:nvGraphicFramePr>
        <xdr:cNvPr id="531" name="Chart 530">
          <a:extLst>
            <a:ext uri="{FF2B5EF4-FFF2-40B4-BE49-F238E27FC236}">
              <a16:creationId xmlns:a16="http://schemas.microsoft.com/office/drawing/2014/main" id="{BC716EAB-E49A-18E2-23ED-DBEE1BEFC7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15</xdr:col>
      <xdr:colOff>254000</xdr:colOff>
      <xdr:row>20</xdr:row>
      <xdr:rowOff>25400</xdr:rowOff>
    </xdr:from>
    <xdr:to>
      <xdr:col>19</xdr:col>
      <xdr:colOff>101600</xdr:colOff>
      <xdr:row>29</xdr:row>
      <xdr:rowOff>157480</xdr:rowOff>
    </xdr:to>
    <xdr:graphicFrame macro="">
      <xdr:nvGraphicFramePr>
        <xdr:cNvPr id="532" name="Chart 531">
          <a:extLst>
            <a:ext uri="{FF2B5EF4-FFF2-40B4-BE49-F238E27FC236}">
              <a16:creationId xmlns:a16="http://schemas.microsoft.com/office/drawing/2014/main" id="{3EE4B30E-BBDD-3AD0-7333-2770425483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DECAF4DE-DD20-4A3A-99FD-B9B88F1AC283}" autoFormatId="16" applyNumberFormats="0" applyBorderFormats="0" applyFontFormats="0" applyPatternFormats="0" applyAlignmentFormats="0" applyWidthHeightFormats="0">
  <queryTableRefresh nextId="19">
    <queryTableFields count="18">
      <queryTableField id="1" name="PICK_REF" tableColumnId="1"/>
      <queryTableField id="2" name="CONS_NO" tableColumnId="2"/>
      <queryTableField id="3" name="ORGZN" tableColumnId="3"/>
      <queryTableField id="4" name="VARIETY" tableColumnId="4"/>
      <queryTableField id="5" name="TARG_MKT" tableColumnId="5"/>
      <queryTableField id="6" name="GRADE" tableColumnId="6"/>
      <queryTableField id="7" name="MARK" tableColumnId="7"/>
      <queryTableField id="8" name="PACK" tableColumnId="8"/>
      <queryTableField id="9" name="INV_CODE" tableColumnId="9"/>
      <queryTableField id="10" name="TARGET_REGION" tableColumnId="10"/>
      <queryTableField id="11" name="TARGET_COUNTRY" tableColumnId="11"/>
      <queryTableField id="12" name="BATCH_NO" tableColumnId="12"/>
      <queryTableField id="13" name="SIZE_COUNT" tableColumnId="13"/>
      <queryTableField id="14" name="FARM" tableColumnId="14"/>
      <queryTableField id="15" name="PALLET_ID" tableColumnId="15"/>
      <queryTableField id="16" name="VARIETY_GROUP" tableColumnId="16"/>
      <queryTableField id="17" name="DISPATCH_MATCH" tableColumnId="17"/>
      <queryTableField id="18" name="REASON" tableColumnId="18"/>
    </queryTableFields>
  </queryTableRefresh>
  <extLst>
    <ext xmlns:x15="http://schemas.microsoft.com/office/spreadsheetml/2010/11/main" uri="{883FBD77-0823-4a55-B5E3-86C4891E6966}">
      <x15:queryTable sourceDataName="Query - DataQuery"/>
    </ext>
  </extLst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BE3AC88-8C82-403E-B310-2A58E0FD64CF}" name="DataQuery" displayName="DataQuery" ref="A1:R403" tableType="queryTable" totalsRowShown="0">
  <autoFilter ref="A1:R403" xr:uid="{2BE3AC88-8C82-403E-B310-2A58E0FD64CF}"/>
  <tableColumns count="18">
    <tableColumn id="1" xr3:uid="{1C329077-5D22-4627-BE99-35D9AF0241CE}" uniqueName="1" name="PICK_REF" queryTableFieldId="1"/>
    <tableColumn id="2" xr3:uid="{013D454A-EC96-43BA-994B-209F7D275329}" uniqueName="2" name="CONS_NO" queryTableFieldId="2"/>
    <tableColumn id="3" xr3:uid="{763AFB22-DEBE-4199-8A23-B26AC12D08A2}" uniqueName="3" name="ORGZN" queryTableFieldId="3"/>
    <tableColumn id="4" xr3:uid="{02CCCB92-D6B2-43B9-931F-0B3989BD3C48}" uniqueName="4" name="VARIETY" queryTableFieldId="4"/>
    <tableColumn id="5" xr3:uid="{325C535D-6F37-4B4A-8612-3997FACB01A0}" uniqueName="5" name="TARG_MKT" queryTableFieldId="5"/>
    <tableColumn id="6" xr3:uid="{F18782DD-1F78-4EED-8E5D-8702E849A658}" uniqueName="6" name="GRADE" queryTableFieldId="6"/>
    <tableColumn id="7" xr3:uid="{BE6161F0-DD5B-41B5-9A1D-11D1A3ED9397}" uniqueName="7" name="MARK" queryTableFieldId="7"/>
    <tableColumn id="8" xr3:uid="{E272A335-DF69-4B8C-BCEE-DA5B30F2C083}" uniqueName="8" name="PACK" queryTableFieldId="8"/>
    <tableColumn id="9" xr3:uid="{C5903827-0760-4589-B063-8463EC27BE62}" uniqueName="9" name="INV_CODE" queryTableFieldId="9"/>
    <tableColumn id="10" xr3:uid="{752A5A7A-0B3F-4FF4-B13D-68BD326D57D3}" uniqueName="10" name="TARGET_REGION" queryTableFieldId="10"/>
    <tableColumn id="11" xr3:uid="{1C55B367-F2DF-4853-BBF7-4CEDF8706F0B}" uniqueName="11" name="TARGET_COUNTRY" queryTableFieldId="11"/>
    <tableColumn id="12" xr3:uid="{35AD5171-8BE0-477A-A48C-29F3E7E8315F}" uniqueName="12" name="BATCH_NO" queryTableFieldId="12"/>
    <tableColumn id="13" xr3:uid="{3D2B73E4-BC67-4536-94B5-A76B3C7B3543}" uniqueName="13" name="SIZE_COUNT" queryTableFieldId="13"/>
    <tableColumn id="14" xr3:uid="{03C116F0-E210-4296-B278-5947770EB8EB}" uniqueName="14" name="FARM" queryTableFieldId="14"/>
    <tableColumn id="15" xr3:uid="{2F239F3B-1A31-4B22-BC63-CF8366072383}" uniqueName="15" name="PALLET_ID" queryTableFieldId="15"/>
    <tableColumn id="16" xr3:uid="{34AD652F-37E2-4CA9-8081-BFC7BD2FCC1D}" uniqueName="16" name="VARIETY_GROUP" queryTableFieldId="16"/>
    <tableColumn id="17" xr3:uid="{738EE3B6-92C3-45B7-8FAE-96E3B559BEBD}" uniqueName="17" name="DISPATCH_MATCH" queryTableFieldId="17"/>
    <tableColumn id="18" xr3:uid="{EFCE7021-A34D-40B4-91BF-20404B0DC91F}" uniqueName="18" name="REASON" queryTableFieldId="1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91C95-5BCF-43F7-BDCC-55D9A9907406}">
  <sheetPr codeName="Sheet7">
    <pageSetUpPr fitToPage="1"/>
  </sheetPr>
  <dimension ref="A1:AF51"/>
  <sheetViews>
    <sheetView tabSelected="1" zoomScale="85" zoomScaleNormal="85" workbookViewId="0">
      <selection activeCell="I22" sqref="I22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52.6640625" customWidth="1"/>
    <col min="28" max="28" width="6" style="1" bestFit="1" customWidth="1"/>
  </cols>
  <sheetData>
    <row r="1" spans="1:32" ht="18" x14ac:dyDescent="0.35">
      <c r="A1" s="30" t="s">
        <v>663</v>
      </c>
      <c r="C1" s="31"/>
      <c r="D1" s="1"/>
      <c r="E1" s="1"/>
      <c r="F1" s="1"/>
      <c r="G1" s="1"/>
      <c r="H1" s="1"/>
      <c r="I1" s="1"/>
      <c r="J1" s="1"/>
      <c r="K1" s="1"/>
      <c r="L1" s="1"/>
      <c r="M1" s="1"/>
      <c r="N1" s="69"/>
      <c r="O1" s="32"/>
      <c r="P1" s="1"/>
      <c r="Q1" s="32"/>
      <c r="R1" s="32"/>
      <c r="S1" s="70"/>
      <c r="T1" s="32"/>
      <c r="U1" s="32"/>
      <c r="V1" s="32"/>
      <c r="W1" s="32"/>
      <c r="X1" s="32"/>
      <c r="Y1" s="32"/>
      <c r="Z1" s="32"/>
    </row>
    <row r="2" spans="1:32" ht="18" x14ac:dyDescent="0.35">
      <c r="A2" s="30"/>
      <c r="C2" s="31"/>
      <c r="D2" s="71"/>
      <c r="E2" s="1"/>
      <c r="F2" s="1"/>
      <c r="G2" s="1"/>
      <c r="H2" s="1"/>
      <c r="I2" s="1"/>
      <c r="J2" s="1"/>
      <c r="K2" s="1"/>
      <c r="L2" s="1"/>
      <c r="M2" s="1"/>
      <c r="N2" s="32"/>
      <c r="O2" s="32"/>
      <c r="P2" s="72" t="s">
        <v>607</v>
      </c>
      <c r="Q2" s="73">
        <v>24</v>
      </c>
      <c r="R2" s="73">
        <v>28</v>
      </c>
      <c r="S2" s="73">
        <v>32</v>
      </c>
      <c r="T2" s="73">
        <v>36</v>
      </c>
      <c r="U2" s="73">
        <v>40</v>
      </c>
      <c r="V2" s="32"/>
      <c r="W2" s="32"/>
      <c r="X2" s="32"/>
      <c r="Y2" s="32"/>
      <c r="Z2" s="32"/>
    </row>
    <row r="3" spans="1:32" ht="46.8" x14ac:dyDescent="0.3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79" t="s">
        <v>608</v>
      </c>
      <c r="R3" s="79" t="s">
        <v>609</v>
      </c>
      <c r="S3" s="79" t="s">
        <v>610</v>
      </c>
      <c r="T3" s="79" t="s">
        <v>611</v>
      </c>
      <c r="U3" s="79">
        <v>64</v>
      </c>
      <c r="V3" s="78">
        <v>72</v>
      </c>
      <c r="W3" s="78">
        <v>88</v>
      </c>
      <c r="X3" s="78">
        <v>105</v>
      </c>
      <c r="Y3" s="78">
        <v>125</v>
      </c>
      <c r="Z3" s="78" t="s">
        <v>388</v>
      </c>
      <c r="AA3" s="75" t="s">
        <v>404</v>
      </c>
      <c r="AB3" s="76" t="s">
        <v>405</v>
      </c>
    </row>
    <row r="4" spans="1:32" ht="15.6" x14ac:dyDescent="0.3">
      <c r="A4" s="34" t="s">
        <v>449</v>
      </c>
      <c r="B4" s="43" t="s">
        <v>489</v>
      </c>
      <c r="C4" s="44" t="s">
        <v>478</v>
      </c>
      <c r="D4" s="45" t="s">
        <v>612</v>
      </c>
      <c r="E4" s="45" t="s">
        <v>450</v>
      </c>
      <c r="F4" s="45">
        <v>1</v>
      </c>
      <c r="G4" s="45" t="s">
        <v>394</v>
      </c>
      <c r="H4" s="45" t="s">
        <v>391</v>
      </c>
      <c r="I4" s="80" t="s">
        <v>503</v>
      </c>
      <c r="J4" s="45" t="s">
        <v>439</v>
      </c>
      <c r="K4" s="45" t="s">
        <v>450</v>
      </c>
      <c r="L4" s="45" t="s">
        <v>488</v>
      </c>
      <c r="M4" s="45" t="s">
        <v>393</v>
      </c>
      <c r="N4" s="45">
        <f>+Z4/80</f>
        <v>20</v>
      </c>
      <c r="O4" s="45"/>
      <c r="P4" s="45" t="s">
        <v>613</v>
      </c>
      <c r="Q4" s="46"/>
      <c r="R4" s="46"/>
      <c r="S4" s="46"/>
      <c r="T4" s="46"/>
      <c r="U4" s="62"/>
      <c r="V4" s="46">
        <f>8*80</f>
        <v>640</v>
      </c>
      <c r="W4" s="46">
        <f>3*80</f>
        <v>240</v>
      </c>
      <c r="X4" s="46">
        <f>9*80</f>
        <v>720</v>
      </c>
      <c r="Y4" s="46"/>
      <c r="Z4" s="46">
        <f>SUM(Q4:Y4)</f>
        <v>1600</v>
      </c>
      <c r="AA4" s="34" t="s">
        <v>614</v>
      </c>
      <c r="AB4" s="45" t="s">
        <v>483</v>
      </c>
    </row>
    <row r="5" spans="1:32" ht="15.6" x14ac:dyDescent="0.3">
      <c r="A5" s="42"/>
      <c r="B5" s="42"/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54"/>
      <c r="V5" s="42"/>
      <c r="W5" s="42"/>
      <c r="X5" s="42"/>
      <c r="Y5" s="42"/>
      <c r="Z5" s="42"/>
      <c r="AA5" s="55" t="s">
        <v>992</v>
      </c>
      <c r="AB5" s="40"/>
    </row>
    <row r="6" spans="1:32" ht="15.6" x14ac:dyDescent="0.3">
      <c r="A6" s="42"/>
      <c r="B6" s="81"/>
      <c r="C6" s="39"/>
      <c r="D6" s="40"/>
      <c r="E6" s="40"/>
      <c r="F6" s="40"/>
      <c r="G6" s="42"/>
      <c r="H6" s="40"/>
      <c r="I6" s="40"/>
      <c r="J6" s="40"/>
      <c r="K6" s="40"/>
      <c r="L6" s="40"/>
      <c r="M6" s="40"/>
      <c r="N6" s="82"/>
      <c r="O6" s="40"/>
      <c r="P6" s="40"/>
      <c r="Q6" s="41"/>
      <c r="R6" s="41"/>
      <c r="S6" s="41"/>
      <c r="T6" s="41"/>
      <c r="U6" s="54"/>
      <c r="V6" s="41"/>
      <c r="W6" s="41"/>
      <c r="X6" s="41"/>
      <c r="Y6" s="41"/>
      <c r="Z6" s="41"/>
      <c r="AA6" s="49" t="s">
        <v>615</v>
      </c>
      <c r="AB6" s="40"/>
    </row>
    <row r="7" spans="1:32" ht="15.6" x14ac:dyDescent="0.3">
      <c r="A7" s="42"/>
      <c r="B7" s="81"/>
      <c r="C7" s="39"/>
      <c r="D7" s="40"/>
      <c r="E7" s="40"/>
      <c r="F7" s="40"/>
      <c r="G7" s="42"/>
      <c r="H7" s="40"/>
      <c r="I7" s="40"/>
      <c r="J7" s="40"/>
      <c r="K7" s="40"/>
      <c r="L7" s="40"/>
      <c r="M7" s="40"/>
      <c r="N7" s="82"/>
      <c r="O7" s="40"/>
      <c r="P7" s="40"/>
      <c r="Q7" s="41"/>
      <c r="R7" s="41"/>
      <c r="S7" s="41"/>
      <c r="T7" s="41"/>
      <c r="U7" s="54"/>
      <c r="V7" s="41"/>
      <c r="W7" s="41"/>
      <c r="X7" s="41"/>
      <c r="Y7" s="41"/>
      <c r="Z7" s="41"/>
      <c r="AA7" s="49"/>
      <c r="AB7" s="40"/>
    </row>
    <row r="8" spans="1:32" ht="15.6" x14ac:dyDescent="0.3">
      <c r="A8" s="34" t="s">
        <v>499</v>
      </c>
      <c r="B8" s="43" t="s">
        <v>489</v>
      </c>
      <c r="C8" s="44" t="s">
        <v>478</v>
      </c>
      <c r="D8" s="45" t="s">
        <v>612</v>
      </c>
      <c r="E8" s="45" t="s">
        <v>500</v>
      </c>
      <c r="F8" s="45">
        <v>1</v>
      </c>
      <c r="G8" s="45" t="s">
        <v>394</v>
      </c>
      <c r="H8" s="45" t="s">
        <v>391</v>
      </c>
      <c r="I8" s="56" t="s">
        <v>616</v>
      </c>
      <c r="J8" s="44" t="s">
        <v>494</v>
      </c>
      <c r="K8" s="44" t="s">
        <v>500</v>
      </c>
      <c r="L8" s="44" t="s">
        <v>392</v>
      </c>
      <c r="M8" s="44" t="s">
        <v>393</v>
      </c>
      <c r="N8" s="45">
        <f>+Z8/80</f>
        <v>20</v>
      </c>
      <c r="O8" s="45"/>
      <c r="P8" s="45" t="s">
        <v>613</v>
      </c>
      <c r="Q8" s="46"/>
      <c r="R8" s="46"/>
      <c r="S8" s="46"/>
      <c r="T8" s="46"/>
      <c r="U8" s="46"/>
      <c r="V8" s="46">
        <f>10*80</f>
        <v>800</v>
      </c>
      <c r="W8" s="46">
        <f>10*80</f>
        <v>800</v>
      </c>
      <c r="X8" s="45"/>
      <c r="Y8" s="45"/>
      <c r="Z8" s="46">
        <f>SUM(Q8:Y8)</f>
        <v>1600</v>
      </c>
      <c r="AA8" s="34" t="s">
        <v>614</v>
      </c>
      <c r="AB8" s="45" t="s">
        <v>483</v>
      </c>
    </row>
    <row r="9" spans="1:32" ht="15.6" x14ac:dyDescent="0.3">
      <c r="A9" s="42"/>
      <c r="B9" s="81"/>
      <c r="C9" s="83"/>
      <c r="D9" s="83"/>
      <c r="E9" s="83"/>
      <c r="F9" s="83"/>
      <c r="G9" s="83"/>
      <c r="H9" s="83"/>
      <c r="I9" s="83"/>
      <c r="J9" s="83"/>
      <c r="K9" s="83"/>
      <c r="L9" s="83"/>
      <c r="M9" s="83"/>
      <c r="N9" s="83"/>
      <c r="O9" s="83"/>
      <c r="P9" s="83"/>
      <c r="Q9" s="83"/>
      <c r="R9" s="83"/>
      <c r="S9" s="83"/>
      <c r="T9" s="83"/>
      <c r="U9" s="83"/>
      <c r="V9" s="83"/>
      <c r="W9" s="83"/>
      <c r="X9" s="83"/>
      <c r="Y9" s="83"/>
      <c r="Z9" s="83"/>
      <c r="AA9" s="42" t="s">
        <v>617</v>
      </c>
      <c r="AB9" s="42"/>
    </row>
    <row r="10" spans="1:32" ht="15.6" x14ac:dyDescent="0.3">
      <c r="A10" s="42"/>
      <c r="B10" s="81"/>
      <c r="C10" s="84" t="s">
        <v>478</v>
      </c>
      <c r="D10" s="35" t="s">
        <v>612</v>
      </c>
      <c r="E10" s="35" t="s">
        <v>500</v>
      </c>
      <c r="F10" s="35">
        <v>1</v>
      </c>
      <c r="G10" s="35" t="s">
        <v>394</v>
      </c>
      <c r="H10" s="35" t="s">
        <v>391</v>
      </c>
      <c r="I10" s="85" t="s">
        <v>618</v>
      </c>
      <c r="J10" s="84" t="s">
        <v>494</v>
      </c>
      <c r="K10" s="84" t="s">
        <v>500</v>
      </c>
      <c r="L10" s="84" t="s">
        <v>392</v>
      </c>
      <c r="M10" s="84" t="s">
        <v>393</v>
      </c>
      <c r="N10" s="35">
        <f>+Z10/80</f>
        <v>20</v>
      </c>
      <c r="O10" s="35"/>
      <c r="P10" s="35" t="s">
        <v>613</v>
      </c>
      <c r="Q10" s="36"/>
      <c r="R10" s="36"/>
      <c r="S10" s="36"/>
      <c r="T10" s="36"/>
      <c r="U10" s="36"/>
      <c r="V10" s="36">
        <f>8*80</f>
        <v>640</v>
      </c>
      <c r="W10" s="36">
        <f>4*80</f>
        <v>320</v>
      </c>
      <c r="X10" s="35">
        <f>8*80</f>
        <v>640</v>
      </c>
      <c r="Y10" s="35"/>
      <c r="Z10" s="36">
        <f>SUM(Q10:Y10)</f>
        <v>1600</v>
      </c>
      <c r="AA10" s="49" t="s">
        <v>619</v>
      </c>
      <c r="AB10" s="40"/>
      <c r="AF10" s="86"/>
    </row>
    <row r="11" spans="1:32" ht="15.6" x14ac:dyDescent="0.3">
      <c r="A11" s="42"/>
      <c r="B11" s="81"/>
      <c r="C11" s="39"/>
      <c r="D11" s="40"/>
      <c r="E11" s="40"/>
      <c r="F11" s="40"/>
      <c r="G11" s="42"/>
      <c r="H11" s="40"/>
      <c r="I11" s="40"/>
      <c r="J11" s="40"/>
      <c r="K11" s="40"/>
      <c r="L11" s="40"/>
      <c r="M11" s="40"/>
      <c r="N11" s="82"/>
      <c r="O11" s="40"/>
      <c r="P11" s="40"/>
      <c r="Q11" s="41"/>
      <c r="R11" s="41"/>
      <c r="S11" s="41"/>
      <c r="T11" s="41"/>
      <c r="U11" s="54"/>
      <c r="V11" s="41"/>
      <c r="W11" s="41"/>
      <c r="X11" s="41"/>
      <c r="Y11" s="41"/>
      <c r="Z11" s="41"/>
      <c r="AA11" s="94" t="s">
        <v>993</v>
      </c>
      <c r="AB11" s="40"/>
    </row>
    <row r="12" spans="1:32" ht="15.6" x14ac:dyDescent="0.3">
      <c r="A12" s="34" t="s">
        <v>620</v>
      </c>
      <c r="B12" s="43" t="s">
        <v>389</v>
      </c>
      <c r="C12" s="44" t="s">
        <v>396</v>
      </c>
      <c r="D12" s="45" t="s">
        <v>612</v>
      </c>
      <c r="E12" s="45" t="s">
        <v>621</v>
      </c>
      <c r="F12" s="45">
        <v>1</v>
      </c>
      <c r="G12" s="45" t="s">
        <v>390</v>
      </c>
      <c r="H12" s="45" t="s">
        <v>391</v>
      </c>
      <c r="I12" s="80"/>
      <c r="J12" s="45" t="s">
        <v>622</v>
      </c>
      <c r="K12" s="45" t="s">
        <v>621</v>
      </c>
      <c r="L12" s="45" t="s">
        <v>482</v>
      </c>
      <c r="M12" s="45" t="s">
        <v>393</v>
      </c>
      <c r="N12" s="45">
        <f>+Z12/80</f>
        <v>20</v>
      </c>
      <c r="O12" s="45"/>
      <c r="P12" s="45" t="s">
        <v>623</v>
      </c>
      <c r="Q12" s="46"/>
      <c r="R12" s="46"/>
      <c r="S12" s="46"/>
      <c r="T12" s="46"/>
      <c r="U12" s="46"/>
      <c r="V12" s="46"/>
      <c r="W12" s="62"/>
      <c r="X12" s="46">
        <f>12*80</f>
        <v>960</v>
      </c>
      <c r="Y12" s="46">
        <f>8*80</f>
        <v>640</v>
      </c>
      <c r="Z12" s="46">
        <f>SUM(Q12:Y12)</f>
        <v>1600</v>
      </c>
      <c r="AA12" s="34" t="s">
        <v>624</v>
      </c>
      <c r="AB12" s="45" t="s">
        <v>406</v>
      </c>
    </row>
    <row r="13" spans="1:32" ht="15.6" x14ac:dyDescent="0.3">
      <c r="A13" s="42"/>
      <c r="B13" s="81"/>
      <c r="C13" s="39"/>
      <c r="D13" s="40"/>
      <c r="E13" s="40"/>
      <c r="F13" s="87"/>
      <c r="G13" s="40"/>
      <c r="H13" s="40"/>
      <c r="I13" s="88"/>
      <c r="J13" s="40"/>
      <c r="K13" s="40"/>
      <c r="L13" s="82"/>
      <c r="M13" s="40"/>
      <c r="N13" s="40"/>
      <c r="O13" s="40"/>
      <c r="P13" s="40"/>
      <c r="Q13" s="41"/>
      <c r="R13" s="41"/>
      <c r="S13" s="61"/>
      <c r="T13" s="41"/>
      <c r="U13" s="41"/>
      <c r="V13" s="41"/>
      <c r="W13" s="54"/>
      <c r="X13" s="41"/>
      <c r="Y13" s="41"/>
      <c r="Z13" s="41"/>
      <c r="AA13" s="55" t="s">
        <v>625</v>
      </c>
      <c r="AB13" s="40"/>
    </row>
    <row r="14" spans="1:32" ht="15.6" x14ac:dyDescent="0.3">
      <c r="A14" s="42"/>
      <c r="B14" s="81"/>
      <c r="C14" s="39"/>
      <c r="D14" s="40"/>
      <c r="E14" s="40"/>
      <c r="F14" s="87"/>
      <c r="G14" s="40"/>
      <c r="H14" s="40"/>
      <c r="I14" s="88"/>
      <c r="J14" s="40"/>
      <c r="K14" s="40"/>
      <c r="L14" s="82"/>
      <c r="M14" s="40"/>
      <c r="N14" s="40"/>
      <c r="O14" s="40"/>
      <c r="P14" s="40"/>
      <c r="Q14" s="41"/>
      <c r="R14" s="41"/>
      <c r="S14" s="61"/>
      <c r="T14" s="41"/>
      <c r="U14" s="41"/>
      <c r="V14" s="41"/>
      <c r="W14" s="41"/>
      <c r="X14" s="41"/>
      <c r="Y14" s="41"/>
      <c r="Z14" s="41"/>
      <c r="AA14" s="55"/>
      <c r="AB14" s="40"/>
    </row>
    <row r="15" spans="1:32" ht="15.6" x14ac:dyDescent="0.3">
      <c r="A15" s="34" t="s">
        <v>492</v>
      </c>
      <c r="B15" s="43" t="s">
        <v>489</v>
      </c>
      <c r="C15" s="44" t="s">
        <v>478</v>
      </c>
      <c r="D15" s="45" t="s">
        <v>612</v>
      </c>
      <c r="E15" s="45" t="s">
        <v>493</v>
      </c>
      <c r="F15" s="45">
        <v>1</v>
      </c>
      <c r="G15" s="45" t="s">
        <v>394</v>
      </c>
      <c r="H15" s="45" t="s">
        <v>391</v>
      </c>
      <c r="I15" s="45"/>
      <c r="J15" s="45" t="s">
        <v>494</v>
      </c>
      <c r="K15" s="45" t="s">
        <v>493</v>
      </c>
      <c r="L15" s="45" t="s">
        <v>482</v>
      </c>
      <c r="M15" s="45" t="s">
        <v>393</v>
      </c>
      <c r="N15" s="45">
        <f>+Z15/80</f>
        <v>100</v>
      </c>
      <c r="O15" s="45"/>
      <c r="P15" s="45" t="s">
        <v>626</v>
      </c>
      <c r="Q15" s="34"/>
      <c r="R15" s="34"/>
      <c r="S15" s="34"/>
      <c r="T15" s="46"/>
      <c r="U15" s="46"/>
      <c r="V15" s="46">
        <f>60*80</f>
        <v>4800</v>
      </c>
      <c r="W15" s="46">
        <f>40*80</f>
        <v>3200</v>
      </c>
      <c r="X15" s="46"/>
      <c r="Y15" s="46"/>
      <c r="Z15" s="46">
        <f>SUM(Q15:Y15)</f>
        <v>8000</v>
      </c>
      <c r="AA15" s="43" t="s">
        <v>614</v>
      </c>
      <c r="AB15" s="44" t="s">
        <v>483</v>
      </c>
    </row>
    <row r="16" spans="1:32" ht="15.6" x14ac:dyDescent="0.3">
      <c r="A16" s="42"/>
      <c r="B16" s="81"/>
      <c r="C16" s="39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88"/>
      <c r="O16" s="40"/>
      <c r="P16" s="40"/>
      <c r="Q16" s="42"/>
      <c r="R16" s="42"/>
      <c r="S16" s="42"/>
      <c r="T16" s="41"/>
      <c r="U16" s="54"/>
      <c r="V16" s="41"/>
      <c r="W16" s="41"/>
      <c r="X16" s="41"/>
      <c r="Y16" s="41"/>
      <c r="Z16" s="41"/>
      <c r="AA16" s="89" t="s">
        <v>627</v>
      </c>
      <c r="AB16" s="39"/>
    </row>
    <row r="17" spans="1:28" ht="15.6" x14ac:dyDescent="0.3">
      <c r="A17" s="42"/>
      <c r="B17" s="81"/>
      <c r="C17" s="39"/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88"/>
      <c r="O17" s="40"/>
      <c r="P17" s="40"/>
      <c r="Q17" s="42"/>
      <c r="R17" s="42"/>
      <c r="S17" s="42"/>
      <c r="T17" s="41"/>
      <c r="U17" s="54"/>
      <c r="V17" s="41"/>
      <c r="W17" s="41"/>
      <c r="X17" s="41"/>
      <c r="Y17" s="41"/>
      <c r="Z17" s="41"/>
      <c r="AA17" s="89"/>
      <c r="AB17" s="39"/>
    </row>
    <row r="18" spans="1:28" ht="15.6" x14ac:dyDescent="0.3">
      <c r="A18" s="42"/>
      <c r="B18" s="90" t="s">
        <v>389</v>
      </c>
      <c r="C18" s="84" t="s">
        <v>396</v>
      </c>
      <c r="D18" s="35" t="s">
        <v>612</v>
      </c>
      <c r="E18" s="35" t="s">
        <v>493</v>
      </c>
      <c r="F18" s="35">
        <v>1</v>
      </c>
      <c r="G18" s="35" t="s">
        <v>390</v>
      </c>
      <c r="H18" s="35" t="s">
        <v>391</v>
      </c>
      <c r="I18" s="35"/>
      <c r="J18" s="35" t="s">
        <v>494</v>
      </c>
      <c r="K18" s="35" t="s">
        <v>493</v>
      </c>
      <c r="L18" s="35" t="s">
        <v>482</v>
      </c>
      <c r="M18" s="35" t="s">
        <v>393</v>
      </c>
      <c r="N18" s="35">
        <f>+Z18/80</f>
        <v>40</v>
      </c>
      <c r="O18" s="35"/>
      <c r="P18" s="35" t="s">
        <v>623</v>
      </c>
      <c r="Q18" s="47"/>
      <c r="R18" s="47"/>
      <c r="S18" s="47"/>
      <c r="T18" s="36"/>
      <c r="U18" s="91"/>
      <c r="V18" s="36">
        <f>20*80</f>
        <v>1600</v>
      </c>
      <c r="W18" s="36">
        <f>20*80</f>
        <v>1600</v>
      </c>
      <c r="X18" s="36"/>
      <c r="Y18" s="36"/>
      <c r="Z18" s="36">
        <f>SUM(Q18:Y18)</f>
        <v>3200</v>
      </c>
      <c r="AA18" s="90" t="s">
        <v>624</v>
      </c>
      <c r="AB18" s="84" t="s">
        <v>406</v>
      </c>
    </row>
    <row r="19" spans="1:28" ht="15.6" x14ac:dyDescent="0.3">
      <c r="A19" s="42"/>
      <c r="B19" s="38"/>
      <c r="C19" s="39"/>
      <c r="D19" s="40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2"/>
      <c r="R19" s="42"/>
      <c r="S19" s="42"/>
      <c r="T19" s="41"/>
      <c r="U19" s="54"/>
      <c r="V19" s="41"/>
      <c r="W19" s="41"/>
      <c r="X19" s="41"/>
      <c r="Y19" s="41"/>
      <c r="Z19" s="41"/>
      <c r="AA19" s="89" t="s">
        <v>627</v>
      </c>
      <c r="AB19" s="39"/>
    </row>
    <row r="20" spans="1:28" ht="15.6" x14ac:dyDescent="0.3">
      <c r="A20" s="42"/>
      <c r="B20" s="81"/>
      <c r="C20" s="39"/>
      <c r="D20" s="40"/>
      <c r="E20" s="40"/>
      <c r="F20" s="40"/>
      <c r="G20" s="40"/>
      <c r="H20" s="40"/>
      <c r="I20" s="40"/>
      <c r="J20" s="40"/>
      <c r="K20" s="40"/>
      <c r="L20" s="40"/>
      <c r="M20" s="40"/>
      <c r="N20" s="88"/>
      <c r="O20" s="40"/>
      <c r="P20" s="40"/>
      <c r="Q20" s="42"/>
      <c r="R20" s="42"/>
      <c r="S20" s="42"/>
      <c r="T20" s="41"/>
      <c r="U20" s="54"/>
      <c r="V20" s="41"/>
      <c r="W20" s="41"/>
      <c r="X20" s="41"/>
      <c r="Y20" s="41"/>
      <c r="Z20" s="41"/>
      <c r="AA20" s="89"/>
      <c r="AB20" s="39"/>
    </row>
    <row r="21" spans="1:28" ht="15.6" x14ac:dyDescent="0.3">
      <c r="A21" s="42"/>
      <c r="B21" s="90" t="s">
        <v>489</v>
      </c>
      <c r="C21" s="84" t="s">
        <v>478</v>
      </c>
      <c r="D21" s="35" t="s">
        <v>612</v>
      </c>
      <c r="E21" s="35" t="s">
        <v>493</v>
      </c>
      <c r="F21" s="35">
        <v>1</v>
      </c>
      <c r="G21" s="35" t="s">
        <v>411</v>
      </c>
      <c r="H21" s="35" t="s">
        <v>391</v>
      </c>
      <c r="I21" s="35"/>
      <c r="J21" s="35" t="s">
        <v>494</v>
      </c>
      <c r="K21" s="35" t="s">
        <v>493</v>
      </c>
      <c r="L21" s="35" t="s">
        <v>482</v>
      </c>
      <c r="M21" s="35" t="s">
        <v>393</v>
      </c>
      <c r="N21" s="35">
        <f>+Z21/80</f>
        <v>60</v>
      </c>
      <c r="O21" s="35"/>
      <c r="P21" s="35" t="s">
        <v>613</v>
      </c>
      <c r="Q21" s="47"/>
      <c r="R21" s="47"/>
      <c r="S21" s="47"/>
      <c r="T21" s="36"/>
      <c r="U21" s="36"/>
      <c r="V21" s="36">
        <f>25*80</f>
        <v>2000</v>
      </c>
      <c r="W21" s="36">
        <f>25*80</f>
        <v>2000</v>
      </c>
      <c r="X21" s="36">
        <f>10*80</f>
        <v>800</v>
      </c>
      <c r="Y21" s="36"/>
      <c r="Z21" s="36">
        <f>SUM(Q21:Y21)</f>
        <v>4800</v>
      </c>
      <c r="AA21" s="90" t="s">
        <v>614</v>
      </c>
      <c r="AB21" s="84" t="s">
        <v>483</v>
      </c>
    </row>
    <row r="22" spans="1:28" ht="15.6" x14ac:dyDescent="0.3">
      <c r="A22" s="42"/>
      <c r="B22" s="81"/>
      <c r="C22" s="39"/>
      <c r="D22" s="40"/>
      <c r="E22" s="40"/>
      <c r="F22" s="40"/>
      <c r="G22" s="40"/>
      <c r="H22" s="40"/>
      <c r="I22" s="40"/>
      <c r="J22" s="40"/>
      <c r="K22" s="40"/>
      <c r="L22" s="40"/>
      <c r="M22" s="40"/>
      <c r="N22" s="88"/>
      <c r="O22" s="40"/>
      <c r="P22" s="40"/>
      <c r="Q22" s="42"/>
      <c r="R22" s="42"/>
      <c r="S22" s="42"/>
      <c r="T22" s="41"/>
      <c r="U22" s="54"/>
      <c r="V22" s="41"/>
      <c r="W22" s="41"/>
      <c r="X22" s="41"/>
      <c r="Y22" s="41"/>
      <c r="Z22" s="41"/>
      <c r="AA22" s="89" t="s">
        <v>628</v>
      </c>
      <c r="AB22" s="39"/>
    </row>
    <row r="23" spans="1:28" ht="15.6" x14ac:dyDescent="0.3">
      <c r="A23" s="42"/>
      <c r="B23" s="81"/>
      <c r="C23" s="42"/>
      <c r="D23" s="42"/>
      <c r="E23" s="42"/>
      <c r="F23" s="42"/>
      <c r="G23" s="42"/>
      <c r="H23" s="42"/>
      <c r="I23" s="42"/>
      <c r="J23" s="42"/>
      <c r="K23" s="49"/>
      <c r="L23" s="42"/>
      <c r="M23" s="42"/>
      <c r="N23" s="42"/>
      <c r="O23" s="42"/>
      <c r="P23" s="42"/>
      <c r="Q23" s="42"/>
      <c r="R23" s="42"/>
      <c r="S23" s="42"/>
      <c r="T23" s="42"/>
      <c r="U23" s="54"/>
      <c r="V23" s="42"/>
      <c r="W23" s="42"/>
      <c r="X23" s="42"/>
      <c r="Y23" s="42"/>
      <c r="Z23" s="42"/>
      <c r="AA23" s="55"/>
      <c r="AB23" s="40"/>
    </row>
    <row r="24" spans="1:28" ht="15.6" x14ac:dyDescent="0.3">
      <c r="A24" s="42"/>
      <c r="B24" s="90" t="s">
        <v>389</v>
      </c>
      <c r="C24" s="84" t="s">
        <v>396</v>
      </c>
      <c r="D24" s="35" t="s">
        <v>612</v>
      </c>
      <c r="E24" s="35" t="s">
        <v>493</v>
      </c>
      <c r="F24" s="35">
        <v>1</v>
      </c>
      <c r="G24" s="35" t="s">
        <v>390</v>
      </c>
      <c r="H24" s="35" t="s">
        <v>391</v>
      </c>
      <c r="I24" s="35"/>
      <c r="J24" s="35" t="s">
        <v>494</v>
      </c>
      <c r="K24" s="35" t="s">
        <v>493</v>
      </c>
      <c r="L24" s="35" t="s">
        <v>482</v>
      </c>
      <c r="M24" s="35" t="s">
        <v>393</v>
      </c>
      <c r="N24" s="35">
        <f>+Z24/80</f>
        <v>40</v>
      </c>
      <c r="O24" s="35"/>
      <c r="P24" s="35" t="s">
        <v>623</v>
      </c>
      <c r="Q24" s="47"/>
      <c r="R24" s="47"/>
      <c r="S24" s="47"/>
      <c r="T24" s="36"/>
      <c r="U24" s="91"/>
      <c r="V24" s="36">
        <f>20*80</f>
        <v>1600</v>
      </c>
      <c r="W24" s="36">
        <f>20*80</f>
        <v>1600</v>
      </c>
      <c r="X24" s="36"/>
      <c r="Y24" s="36"/>
      <c r="Z24" s="36">
        <f>SUM(Q24:Y24)</f>
        <v>3200</v>
      </c>
      <c r="AA24" s="90" t="s">
        <v>624</v>
      </c>
      <c r="AB24" s="84" t="s">
        <v>406</v>
      </c>
    </row>
    <row r="25" spans="1:28" ht="15.6" x14ac:dyDescent="0.3">
      <c r="A25" s="42"/>
      <c r="B25" s="38"/>
      <c r="C25" s="39"/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2"/>
      <c r="R25" s="42"/>
      <c r="S25" s="42"/>
      <c r="T25" s="41"/>
      <c r="U25" s="54"/>
      <c r="V25" s="41"/>
      <c r="W25" s="41"/>
      <c r="X25" s="41"/>
      <c r="Y25" s="41"/>
      <c r="Z25" s="41"/>
      <c r="AA25" s="89" t="s">
        <v>627</v>
      </c>
      <c r="AB25" s="39"/>
    </row>
    <row r="26" spans="1:28" ht="15.6" x14ac:dyDescent="0.3">
      <c r="A26" s="42"/>
      <c r="B26" s="81"/>
      <c r="C26" s="39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88"/>
      <c r="O26" s="40"/>
      <c r="P26" s="40"/>
      <c r="Q26" s="42"/>
      <c r="R26" s="42"/>
      <c r="S26" s="42"/>
      <c r="T26" s="41"/>
      <c r="U26" s="54"/>
      <c r="V26" s="41"/>
      <c r="W26" s="41"/>
      <c r="X26" s="41"/>
      <c r="Y26" s="41"/>
      <c r="Z26" s="41"/>
      <c r="AA26" s="89"/>
      <c r="AB26" s="39"/>
    </row>
    <row r="27" spans="1:28" ht="15.6" x14ac:dyDescent="0.3">
      <c r="A27" s="34" t="s">
        <v>629</v>
      </c>
      <c r="B27" s="43" t="s">
        <v>389</v>
      </c>
      <c r="C27" s="44" t="s">
        <v>396</v>
      </c>
      <c r="D27" s="45" t="s">
        <v>612</v>
      </c>
      <c r="E27" s="45" t="s">
        <v>400</v>
      </c>
      <c r="F27" s="45">
        <v>1</v>
      </c>
      <c r="G27" s="45" t="s">
        <v>390</v>
      </c>
      <c r="H27" s="45" t="s">
        <v>391</v>
      </c>
      <c r="I27" s="45"/>
      <c r="J27" s="45" t="s">
        <v>401</v>
      </c>
      <c r="K27" s="45" t="s">
        <v>400</v>
      </c>
      <c r="L27" s="45" t="s">
        <v>482</v>
      </c>
      <c r="M27" s="45" t="s">
        <v>393</v>
      </c>
      <c r="N27" s="45">
        <f>+Z27/80</f>
        <v>40</v>
      </c>
      <c r="O27" s="45"/>
      <c r="P27" s="45" t="s">
        <v>623</v>
      </c>
      <c r="Q27" s="46"/>
      <c r="R27" s="46"/>
      <c r="S27" s="46"/>
      <c r="T27" s="46"/>
      <c r="U27" s="45"/>
      <c r="V27" s="46">
        <f>20*80</f>
        <v>1600</v>
      </c>
      <c r="W27" s="46">
        <f>20*80</f>
        <v>1600</v>
      </c>
      <c r="X27" s="46"/>
      <c r="Y27" s="46"/>
      <c r="Z27" s="46">
        <f>SUM(Q27:Y27)</f>
        <v>3200</v>
      </c>
      <c r="AA27" s="34" t="s">
        <v>624</v>
      </c>
      <c r="AB27" s="45" t="s">
        <v>406</v>
      </c>
    </row>
    <row r="28" spans="1:28" ht="15.6" x14ac:dyDescent="0.3">
      <c r="A28" s="48" t="s">
        <v>630</v>
      </c>
      <c r="B28" s="81"/>
      <c r="C28" s="39"/>
      <c r="D28" s="40"/>
      <c r="E28" s="40"/>
      <c r="F28" s="40"/>
      <c r="G28" s="40"/>
      <c r="H28" s="40"/>
      <c r="I28" s="40"/>
      <c r="J28" s="40"/>
      <c r="K28" s="49" t="s">
        <v>631</v>
      </c>
      <c r="L28" s="40"/>
      <c r="M28" s="40"/>
      <c r="N28" s="40"/>
      <c r="O28" s="40"/>
      <c r="P28" s="40"/>
      <c r="Q28" s="41"/>
      <c r="R28" s="41"/>
      <c r="S28" s="41"/>
      <c r="T28" s="41"/>
      <c r="U28" s="40"/>
      <c r="V28" s="54"/>
      <c r="W28" s="41"/>
      <c r="X28" s="41"/>
      <c r="Y28" s="40"/>
      <c r="Z28" s="41"/>
      <c r="AA28" s="55" t="s">
        <v>625</v>
      </c>
      <c r="AB28" s="40"/>
    </row>
    <row r="29" spans="1:28" ht="15.6" x14ac:dyDescent="0.3">
      <c r="A29" s="42"/>
      <c r="B29" s="81"/>
      <c r="C29" s="39"/>
      <c r="D29" s="42"/>
      <c r="E29" s="42"/>
      <c r="F29" s="42"/>
      <c r="G29" s="42"/>
      <c r="H29" s="42"/>
      <c r="I29" s="42"/>
      <c r="J29" s="42"/>
      <c r="K29" s="54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54"/>
      <c r="W29" s="92"/>
      <c r="X29" s="92"/>
      <c r="Y29" s="42"/>
      <c r="Z29" s="42"/>
      <c r="AA29" s="93" t="s">
        <v>502</v>
      </c>
      <c r="AB29" s="40"/>
    </row>
    <row r="30" spans="1:28" ht="15.6" x14ac:dyDescent="0.3">
      <c r="A30" s="42"/>
      <c r="B30" s="81"/>
      <c r="C30" s="42"/>
      <c r="D30" s="42"/>
      <c r="E30" s="42"/>
      <c r="F30" s="42"/>
      <c r="G30" s="42"/>
      <c r="H30" s="42"/>
      <c r="I30" s="42"/>
      <c r="J30" s="42"/>
      <c r="K30" s="49"/>
      <c r="L30" s="42"/>
      <c r="M30" s="42"/>
      <c r="N30" s="42"/>
      <c r="O30" s="42"/>
      <c r="P30" s="42"/>
      <c r="Q30" s="42"/>
      <c r="R30" s="42"/>
      <c r="S30" s="42"/>
      <c r="T30" s="42"/>
      <c r="U30" s="54"/>
      <c r="V30" s="42"/>
      <c r="W30" s="42"/>
      <c r="X30" s="42"/>
      <c r="Y30" s="42"/>
      <c r="Z30" s="42"/>
      <c r="AA30" s="55"/>
      <c r="AB30" s="40"/>
    </row>
    <row r="31" spans="1:28" ht="15.6" x14ac:dyDescent="0.3">
      <c r="A31" s="54"/>
      <c r="B31" s="90" t="s">
        <v>489</v>
      </c>
      <c r="C31" s="84" t="s">
        <v>478</v>
      </c>
      <c r="D31" s="35" t="s">
        <v>612</v>
      </c>
      <c r="E31" s="35" t="s">
        <v>400</v>
      </c>
      <c r="F31" s="35">
        <v>1</v>
      </c>
      <c r="G31" s="35" t="s">
        <v>411</v>
      </c>
      <c r="H31" s="35" t="s">
        <v>391</v>
      </c>
      <c r="I31" s="35"/>
      <c r="J31" s="35" t="s">
        <v>401</v>
      </c>
      <c r="K31" s="35" t="s">
        <v>400</v>
      </c>
      <c r="L31" s="35" t="s">
        <v>482</v>
      </c>
      <c r="M31" s="35" t="s">
        <v>393</v>
      </c>
      <c r="N31" s="35">
        <f>+Z31/80</f>
        <v>20</v>
      </c>
      <c r="O31" s="35"/>
      <c r="P31" s="35" t="s">
        <v>613</v>
      </c>
      <c r="Q31" s="36"/>
      <c r="R31" s="36"/>
      <c r="S31" s="36"/>
      <c r="T31" s="36"/>
      <c r="U31" s="35"/>
      <c r="V31" s="36">
        <f>10*80</f>
        <v>800</v>
      </c>
      <c r="W31" s="36">
        <f>10*80</f>
        <v>800</v>
      </c>
      <c r="X31" s="36"/>
      <c r="Y31" s="36"/>
      <c r="Z31" s="36">
        <f>SUM(Q31:Y31)</f>
        <v>1600</v>
      </c>
      <c r="AA31" s="47" t="s">
        <v>614</v>
      </c>
      <c r="AB31" s="35" t="s">
        <v>483</v>
      </c>
    </row>
    <row r="32" spans="1:28" ht="15.6" x14ac:dyDescent="0.3">
      <c r="A32" s="54"/>
      <c r="B32" s="81"/>
      <c r="C32" s="39"/>
      <c r="D32" s="40"/>
      <c r="E32" s="40"/>
      <c r="F32" s="40"/>
      <c r="G32" s="40"/>
      <c r="H32" s="40"/>
      <c r="I32" s="40"/>
      <c r="J32" s="40"/>
      <c r="K32" s="49" t="s">
        <v>631</v>
      </c>
      <c r="L32" s="40"/>
      <c r="M32" s="40"/>
      <c r="N32" s="40"/>
      <c r="O32" s="40"/>
      <c r="P32" s="40"/>
      <c r="Q32" s="41"/>
      <c r="R32" s="41"/>
      <c r="S32" s="41"/>
      <c r="T32" s="41"/>
      <c r="U32" s="40"/>
      <c r="V32" s="41"/>
      <c r="W32" s="41"/>
      <c r="X32" s="40"/>
      <c r="Y32" s="40"/>
      <c r="Z32" s="41"/>
      <c r="AA32" s="55" t="s">
        <v>625</v>
      </c>
      <c r="AB32" s="40"/>
    </row>
    <row r="33" spans="1:28" ht="15.6" x14ac:dyDescent="0.3">
      <c r="A33" s="42"/>
      <c r="B33" s="81"/>
      <c r="C33" s="39"/>
      <c r="D33" s="42"/>
      <c r="E33" s="42"/>
      <c r="F33" s="42"/>
      <c r="G33" s="42"/>
      <c r="H33" s="42"/>
      <c r="I33" s="42"/>
      <c r="J33" s="42"/>
      <c r="K33" s="54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54"/>
      <c r="W33" s="92"/>
      <c r="X33" s="42"/>
      <c r="Y33" s="42"/>
      <c r="Z33" s="42"/>
      <c r="AA33" s="93" t="s">
        <v>502</v>
      </c>
      <c r="AB33" s="40"/>
    </row>
    <row r="34" spans="1:28" ht="15.6" x14ac:dyDescent="0.3">
      <c r="A34" s="42"/>
      <c r="B34" s="81"/>
      <c r="C34" s="39"/>
      <c r="D34" s="42"/>
      <c r="E34" s="42"/>
      <c r="F34" s="42"/>
      <c r="G34" s="42"/>
      <c r="H34" s="42"/>
      <c r="I34" s="42"/>
      <c r="J34" s="42"/>
      <c r="K34" s="54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54"/>
      <c r="W34" s="92"/>
      <c r="X34" s="42"/>
      <c r="Y34" s="42"/>
      <c r="Z34" s="42"/>
      <c r="AA34" s="93"/>
      <c r="AB34" s="40"/>
    </row>
    <row r="35" spans="1:28" ht="15.6" x14ac:dyDescent="0.3">
      <c r="A35" s="34" t="s">
        <v>395</v>
      </c>
      <c r="B35" s="43" t="s">
        <v>389</v>
      </c>
      <c r="C35" s="44" t="s">
        <v>396</v>
      </c>
      <c r="D35" s="45" t="s">
        <v>612</v>
      </c>
      <c r="E35" s="45" t="s">
        <v>397</v>
      </c>
      <c r="F35" s="45">
        <v>1</v>
      </c>
      <c r="G35" s="45" t="s">
        <v>662</v>
      </c>
      <c r="H35" s="80" t="s">
        <v>419</v>
      </c>
      <c r="I35" s="80" t="s">
        <v>632</v>
      </c>
      <c r="J35" s="45" t="s">
        <v>398</v>
      </c>
      <c r="K35" s="45" t="s">
        <v>397</v>
      </c>
      <c r="L35" s="45" t="s">
        <v>392</v>
      </c>
      <c r="M35" s="45" t="s">
        <v>399</v>
      </c>
      <c r="N35" s="45"/>
      <c r="O35" s="134">
        <f>+Z35/55</f>
        <v>15</v>
      </c>
      <c r="P35" s="45" t="s">
        <v>623</v>
      </c>
      <c r="Q35" s="46">
        <f>2*55</f>
        <v>110</v>
      </c>
      <c r="R35" s="46">
        <f>3*55</f>
        <v>165</v>
      </c>
      <c r="S35" s="46">
        <f>10*55</f>
        <v>550</v>
      </c>
      <c r="T35" s="46"/>
      <c r="U35" s="46"/>
      <c r="V35" s="46"/>
      <c r="W35" s="46"/>
      <c r="X35" s="46"/>
      <c r="Y35" s="34"/>
      <c r="Z35" s="46">
        <f t="shared" ref="Z35:Z40" si="0">SUM(Q35:X35)</f>
        <v>825</v>
      </c>
      <c r="AA35" s="34" t="s">
        <v>624</v>
      </c>
      <c r="AB35" s="45" t="s">
        <v>406</v>
      </c>
    </row>
    <row r="36" spans="1:28" ht="15.6" x14ac:dyDescent="0.3">
      <c r="A36" s="42"/>
      <c r="B36" s="81"/>
      <c r="C36" s="135" t="s">
        <v>396</v>
      </c>
      <c r="D36" s="135" t="s">
        <v>612</v>
      </c>
      <c r="E36" s="135" t="s">
        <v>397</v>
      </c>
      <c r="F36" s="135">
        <v>1</v>
      </c>
      <c r="G36" s="135" t="s">
        <v>390</v>
      </c>
      <c r="H36" s="135" t="s">
        <v>391</v>
      </c>
      <c r="I36" s="136" t="s">
        <v>632</v>
      </c>
      <c r="J36" s="135" t="s">
        <v>398</v>
      </c>
      <c r="K36" s="135" t="s">
        <v>397</v>
      </c>
      <c r="L36" s="135" t="s">
        <v>392</v>
      </c>
      <c r="M36" s="135" t="s">
        <v>399</v>
      </c>
      <c r="N36" s="135"/>
      <c r="O36" s="137">
        <f>+Z36/70</f>
        <v>45</v>
      </c>
      <c r="P36" s="135" t="s">
        <v>623</v>
      </c>
      <c r="Q36" s="138"/>
      <c r="R36" s="139"/>
      <c r="S36" s="139"/>
      <c r="T36" s="139">
        <f>22*70</f>
        <v>1540</v>
      </c>
      <c r="U36" s="139">
        <f>23*70</f>
        <v>1610</v>
      </c>
      <c r="V36" s="139"/>
      <c r="W36" s="139"/>
      <c r="X36" s="139"/>
      <c r="Y36" s="140"/>
      <c r="Z36" s="139">
        <f t="shared" si="0"/>
        <v>3150</v>
      </c>
      <c r="AA36" s="141" t="s">
        <v>633</v>
      </c>
      <c r="AB36" s="40"/>
    </row>
    <row r="37" spans="1:28" ht="15.6" x14ac:dyDescent="0.3">
      <c r="A37" s="42"/>
      <c r="B37" s="81"/>
      <c r="C37" s="40" t="s">
        <v>396</v>
      </c>
      <c r="D37" s="40" t="s">
        <v>612</v>
      </c>
      <c r="E37" s="40" t="s">
        <v>397</v>
      </c>
      <c r="F37" s="40">
        <v>1</v>
      </c>
      <c r="G37" s="40" t="s">
        <v>662</v>
      </c>
      <c r="H37" s="87" t="s">
        <v>419</v>
      </c>
      <c r="I37" s="87" t="s">
        <v>761</v>
      </c>
      <c r="J37" s="40" t="s">
        <v>398</v>
      </c>
      <c r="K37" s="40" t="s">
        <v>397</v>
      </c>
      <c r="L37" s="40" t="s">
        <v>392</v>
      </c>
      <c r="M37" s="40" t="s">
        <v>399</v>
      </c>
      <c r="N37" s="40"/>
      <c r="O37" s="60">
        <f>+Z37/55</f>
        <v>6</v>
      </c>
      <c r="P37" s="40" t="s">
        <v>623</v>
      </c>
      <c r="Q37" s="41">
        <f>2*55</f>
        <v>110</v>
      </c>
      <c r="R37" s="41">
        <f t="shared" ref="R37:S37" si="1">2*55</f>
        <v>110</v>
      </c>
      <c r="S37" s="41">
        <f t="shared" si="1"/>
        <v>110</v>
      </c>
      <c r="T37" s="41"/>
      <c r="U37" s="41"/>
      <c r="V37" s="41"/>
      <c r="W37" s="41"/>
      <c r="X37" s="41"/>
      <c r="Y37" s="42"/>
      <c r="Z37" s="41">
        <f t="shared" si="0"/>
        <v>330</v>
      </c>
      <c r="AA37" s="94" t="s">
        <v>634</v>
      </c>
      <c r="AB37" s="40"/>
    </row>
    <row r="38" spans="1:28" ht="15.6" x14ac:dyDescent="0.3">
      <c r="A38" s="42"/>
      <c r="B38" s="81"/>
      <c r="C38" s="135" t="s">
        <v>396</v>
      </c>
      <c r="D38" s="135" t="s">
        <v>612</v>
      </c>
      <c r="E38" s="135" t="s">
        <v>397</v>
      </c>
      <c r="F38" s="135">
        <v>1</v>
      </c>
      <c r="G38" s="135" t="s">
        <v>390</v>
      </c>
      <c r="H38" s="135" t="s">
        <v>391</v>
      </c>
      <c r="I38" s="136" t="s">
        <v>761</v>
      </c>
      <c r="J38" s="135" t="s">
        <v>398</v>
      </c>
      <c r="K38" s="135" t="s">
        <v>397</v>
      </c>
      <c r="L38" s="135" t="s">
        <v>392</v>
      </c>
      <c r="M38" s="135" t="s">
        <v>399</v>
      </c>
      <c r="N38" s="135"/>
      <c r="O38" s="137">
        <f>+Z38/70</f>
        <v>24</v>
      </c>
      <c r="P38" s="135" t="s">
        <v>623</v>
      </c>
      <c r="Q38" s="138"/>
      <c r="R38" s="139"/>
      <c r="S38" s="139"/>
      <c r="T38" s="139">
        <f>12*70</f>
        <v>840</v>
      </c>
      <c r="U38" s="139">
        <f>12*70</f>
        <v>840</v>
      </c>
      <c r="V38" s="139"/>
      <c r="W38" s="139"/>
      <c r="X38" s="139"/>
      <c r="Y38" s="140"/>
      <c r="Z38" s="139">
        <f t="shared" si="0"/>
        <v>1680</v>
      </c>
      <c r="AA38" s="37"/>
      <c r="AB38" s="40"/>
    </row>
    <row r="39" spans="1:28" ht="15.6" x14ac:dyDescent="0.3">
      <c r="A39" s="42"/>
      <c r="B39" s="81"/>
      <c r="C39" s="40" t="s">
        <v>396</v>
      </c>
      <c r="D39" s="40" t="s">
        <v>612</v>
      </c>
      <c r="E39" s="40" t="s">
        <v>397</v>
      </c>
      <c r="F39" s="40">
        <v>1</v>
      </c>
      <c r="G39" s="40" t="s">
        <v>991</v>
      </c>
      <c r="H39" s="87" t="s">
        <v>419</v>
      </c>
      <c r="I39" s="87" t="s">
        <v>886</v>
      </c>
      <c r="J39" s="40" t="s">
        <v>398</v>
      </c>
      <c r="K39" s="40" t="s">
        <v>397</v>
      </c>
      <c r="L39" s="40" t="s">
        <v>392</v>
      </c>
      <c r="M39" s="40" t="s">
        <v>399</v>
      </c>
      <c r="N39" s="40"/>
      <c r="O39" s="40">
        <f>+Z39/55</f>
        <v>6</v>
      </c>
      <c r="P39" s="40" t="s">
        <v>623</v>
      </c>
      <c r="Q39" s="41">
        <f>2*55</f>
        <v>110</v>
      </c>
      <c r="R39" s="41">
        <f t="shared" ref="R39:S39" si="2">2*55</f>
        <v>110</v>
      </c>
      <c r="S39" s="41">
        <f t="shared" si="2"/>
        <v>110</v>
      </c>
      <c r="T39" s="41"/>
      <c r="U39" s="41"/>
      <c r="V39" s="41"/>
      <c r="W39" s="41"/>
      <c r="X39" s="41"/>
      <c r="Y39" s="42"/>
      <c r="Z39" s="41">
        <f t="shared" si="0"/>
        <v>330</v>
      </c>
      <c r="AA39" s="94"/>
      <c r="AB39" s="40"/>
    </row>
    <row r="40" spans="1:28" ht="15.6" x14ac:dyDescent="0.3">
      <c r="A40" s="42"/>
      <c r="B40" s="81"/>
      <c r="C40" s="39" t="s">
        <v>396</v>
      </c>
      <c r="D40" s="40" t="s">
        <v>612</v>
      </c>
      <c r="E40" s="40" t="s">
        <v>397</v>
      </c>
      <c r="F40" s="40">
        <v>1</v>
      </c>
      <c r="G40" s="40" t="s">
        <v>390</v>
      </c>
      <c r="H40" s="40" t="s">
        <v>391</v>
      </c>
      <c r="I40" s="87" t="s">
        <v>886</v>
      </c>
      <c r="J40" s="40" t="s">
        <v>398</v>
      </c>
      <c r="K40" s="40" t="s">
        <v>397</v>
      </c>
      <c r="L40" s="40" t="s">
        <v>392</v>
      </c>
      <c r="M40" s="40" t="s">
        <v>399</v>
      </c>
      <c r="N40" s="40"/>
      <c r="O40" s="40">
        <f>+Z40/70</f>
        <v>34</v>
      </c>
      <c r="P40" s="40" t="s">
        <v>623</v>
      </c>
      <c r="Q40" s="41"/>
      <c r="R40" s="41"/>
      <c r="S40" s="41"/>
      <c r="T40" s="41">
        <f>17*70</f>
        <v>1190</v>
      </c>
      <c r="U40" s="41">
        <f>17*70</f>
        <v>1190</v>
      </c>
      <c r="V40" s="41"/>
      <c r="W40" s="41"/>
      <c r="X40" s="40"/>
      <c r="Y40" s="40"/>
      <c r="Z40" s="41">
        <f t="shared" si="0"/>
        <v>2380</v>
      </c>
      <c r="AA40" s="55"/>
      <c r="AB40" s="40"/>
    </row>
    <row r="41" spans="1:28" ht="15.6" x14ac:dyDescent="0.3">
      <c r="A41" s="42"/>
      <c r="B41" s="81"/>
      <c r="C41" s="135"/>
      <c r="D41" s="135"/>
      <c r="E41" s="135"/>
      <c r="F41" s="135"/>
      <c r="G41" s="135"/>
      <c r="H41" s="135"/>
      <c r="I41" s="136"/>
      <c r="J41" s="135"/>
      <c r="K41" s="135"/>
      <c r="L41" s="135"/>
      <c r="M41" s="135"/>
      <c r="N41" s="135"/>
      <c r="O41" s="135"/>
      <c r="P41" s="135"/>
      <c r="Q41" s="138"/>
      <c r="R41" s="139"/>
      <c r="S41" s="139"/>
      <c r="T41" s="139"/>
      <c r="U41" s="139"/>
      <c r="V41" s="139"/>
      <c r="W41" s="139"/>
      <c r="X41" s="139"/>
      <c r="Y41" s="140"/>
      <c r="Z41" s="139"/>
      <c r="AA41" s="141"/>
      <c r="AB41" s="40"/>
    </row>
    <row r="42" spans="1:28" ht="15.6" x14ac:dyDescent="0.3">
      <c r="A42" s="42"/>
      <c r="B42" s="81"/>
      <c r="C42" s="40" t="s">
        <v>396</v>
      </c>
      <c r="D42" s="40" t="s">
        <v>612</v>
      </c>
      <c r="E42" s="40" t="s">
        <v>397</v>
      </c>
      <c r="F42" s="40">
        <v>1</v>
      </c>
      <c r="G42" s="40" t="s">
        <v>390</v>
      </c>
      <c r="H42" s="40" t="s">
        <v>391</v>
      </c>
      <c r="I42" s="87" t="s">
        <v>988</v>
      </c>
      <c r="J42" s="40" t="s">
        <v>398</v>
      </c>
      <c r="K42" s="40" t="s">
        <v>397</v>
      </c>
      <c r="L42" s="40" t="s">
        <v>392</v>
      </c>
      <c r="M42" s="40" t="s">
        <v>399</v>
      </c>
      <c r="N42" s="40"/>
      <c r="O42" s="40">
        <f>+Z42/70</f>
        <v>80</v>
      </c>
      <c r="P42" s="40" t="s">
        <v>990</v>
      </c>
      <c r="Q42" s="54"/>
      <c r="R42" s="41"/>
      <c r="S42" s="41">
        <f>26*70</f>
        <v>1820</v>
      </c>
      <c r="T42" s="41">
        <f t="shared" ref="T42:U42" si="3">27*70</f>
        <v>1890</v>
      </c>
      <c r="U42" s="41">
        <f t="shared" si="3"/>
        <v>1890</v>
      </c>
      <c r="V42" s="41"/>
      <c r="W42" s="41"/>
      <c r="X42" s="41"/>
      <c r="Y42" s="42"/>
      <c r="Z42" s="41">
        <f>SUM(Q42:X42)</f>
        <v>5600</v>
      </c>
      <c r="AA42" s="37" t="s">
        <v>989</v>
      </c>
      <c r="AB42" s="40"/>
    </row>
    <row r="43" spans="1:28" ht="15.6" x14ac:dyDescent="0.3">
      <c r="A43" s="63"/>
      <c r="B43" s="63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1"/>
      <c r="R43" s="51"/>
      <c r="S43" s="51"/>
      <c r="T43" s="63"/>
      <c r="U43" s="63"/>
      <c r="V43" s="51"/>
      <c r="W43" s="51"/>
      <c r="X43" s="51"/>
      <c r="Y43" s="51"/>
      <c r="Z43" s="51"/>
      <c r="AA43" s="95"/>
      <c r="AB43" s="96"/>
    </row>
    <row r="44" spans="1:28" ht="15.6" x14ac:dyDescent="0.3">
      <c r="A44" s="33" t="s">
        <v>407</v>
      </c>
      <c r="B44" s="33"/>
      <c r="C44" s="53"/>
      <c r="D44" s="53"/>
      <c r="E44" s="33"/>
      <c r="F44" s="33"/>
      <c r="G44" s="53"/>
      <c r="H44" s="33"/>
      <c r="I44" s="53"/>
      <c r="J44" s="53"/>
      <c r="K44" s="53"/>
      <c r="L44" s="33"/>
      <c r="M44" s="33"/>
      <c r="N44" s="52">
        <f>SUM(N4:N43)</f>
        <v>380</v>
      </c>
      <c r="O44" s="52">
        <f>SUM(O4:O43)</f>
        <v>210</v>
      </c>
      <c r="P44" s="52"/>
      <c r="Q44" s="52">
        <f t="shared" ref="Q44:Z44" si="4">SUM(Q4:Q43)</f>
        <v>330</v>
      </c>
      <c r="R44" s="52">
        <f t="shared" si="4"/>
        <v>385</v>
      </c>
      <c r="S44" s="52">
        <f t="shared" si="4"/>
        <v>2590</v>
      </c>
      <c r="T44" s="52">
        <f t="shared" si="4"/>
        <v>5460</v>
      </c>
      <c r="U44" s="52">
        <f t="shared" si="4"/>
        <v>5530</v>
      </c>
      <c r="V44" s="52">
        <f t="shared" si="4"/>
        <v>14480</v>
      </c>
      <c r="W44" s="52">
        <f t="shared" si="4"/>
        <v>12160</v>
      </c>
      <c r="X44" s="52">
        <f t="shared" si="4"/>
        <v>3120</v>
      </c>
      <c r="Y44" s="52">
        <f t="shared" si="4"/>
        <v>640</v>
      </c>
      <c r="Z44" s="52">
        <f t="shared" si="4"/>
        <v>44695</v>
      </c>
      <c r="AA44" s="52"/>
      <c r="AB44" s="52"/>
    </row>
    <row r="45" spans="1:28" ht="15.6" x14ac:dyDescent="0.3">
      <c r="A45" s="97" t="s">
        <v>504</v>
      </c>
      <c r="B45" s="98"/>
      <c r="C45" s="98"/>
      <c r="D45" s="98"/>
      <c r="E45" s="98"/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9"/>
    </row>
    <row r="46" spans="1:28" ht="15.6" x14ac:dyDescent="0.3">
      <c r="A46" s="100" t="s">
        <v>505</v>
      </c>
      <c r="B46" s="98"/>
      <c r="C46" s="98"/>
      <c r="D46" s="98"/>
      <c r="E46" s="98"/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101"/>
      <c r="R46" s="101"/>
      <c r="S46" s="101"/>
      <c r="T46" s="101"/>
      <c r="U46" s="101"/>
      <c r="V46" s="101"/>
      <c r="W46" s="101"/>
      <c r="X46" s="101"/>
      <c r="Y46" s="101"/>
      <c r="Z46" s="101"/>
      <c r="AA46" s="98"/>
      <c r="AB46" s="99"/>
    </row>
    <row r="47" spans="1:28" ht="15.6" x14ac:dyDescent="0.3">
      <c r="A47" s="102" t="s">
        <v>506</v>
      </c>
      <c r="B47" s="98"/>
      <c r="C47" s="98"/>
      <c r="D47" s="98"/>
      <c r="E47" s="98"/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9"/>
    </row>
    <row r="48" spans="1:28" ht="15.6" x14ac:dyDescent="0.3">
      <c r="A48" s="103" t="s">
        <v>507</v>
      </c>
      <c r="B48" s="98"/>
      <c r="C48" s="98"/>
      <c r="D48" s="98"/>
      <c r="E48" s="98"/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9"/>
    </row>
    <row r="49" spans="1:28" ht="15.6" x14ac:dyDescent="0.3">
      <c r="A49" s="103" t="s">
        <v>508</v>
      </c>
      <c r="B49" s="98"/>
      <c r="C49" s="98"/>
      <c r="D49" s="98"/>
      <c r="E49" s="98"/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9"/>
    </row>
    <row r="50" spans="1:28" ht="15.6" x14ac:dyDescent="0.3">
      <c r="A50" s="103" t="s">
        <v>509</v>
      </c>
      <c r="B50" s="98"/>
      <c r="C50" s="98"/>
      <c r="D50" s="98"/>
      <c r="E50" s="98"/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9"/>
    </row>
    <row r="51" spans="1:28" ht="15.6" x14ac:dyDescent="0.3">
      <c r="A51" s="103" t="s">
        <v>510</v>
      </c>
      <c r="B51" s="98"/>
      <c r="C51" s="98"/>
      <c r="D51" s="98"/>
      <c r="E51" s="98"/>
      <c r="F51" s="98"/>
      <c r="G51" s="98"/>
      <c r="H51" s="98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9"/>
    </row>
  </sheetData>
  <phoneticPr fontId="7" type="noConversion"/>
  <pageMargins left="0.31496062992126" right="0.118110236220472" top="5.1181101999999999E-2" bottom="0.25" header="0.31496062992126" footer="0.31496062992126"/>
  <pageSetup paperSize="9" scale="5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A4F03-67DC-4A3C-A257-9B5F9B4629D8}">
  <sheetPr codeName="Sheet1"/>
  <dimension ref="A1:AX403"/>
  <sheetViews>
    <sheetView topLeftCell="A113" zoomScale="70" zoomScaleNormal="70" workbookViewId="0">
      <selection activeCell="H85" sqref="H85:H149"/>
    </sheetView>
  </sheetViews>
  <sheetFormatPr defaultRowHeight="14.4" x14ac:dyDescent="0.3"/>
  <cols>
    <col min="1" max="1" width="12" bestFit="1" customWidth="1"/>
    <col min="2" max="2" width="13" bestFit="1" customWidth="1"/>
    <col min="3" max="3" width="10.44140625" bestFit="1" customWidth="1"/>
    <col min="4" max="4" width="11.33203125" bestFit="1" customWidth="1"/>
    <col min="5" max="5" width="13.5546875" bestFit="1" customWidth="1"/>
    <col min="6" max="6" width="10.109375" bestFit="1" customWidth="1"/>
    <col min="7" max="7" width="9.44140625" bestFit="1" customWidth="1"/>
    <col min="8" max="8" width="8.88671875" bestFit="1" customWidth="1"/>
    <col min="9" max="9" width="13.109375" bestFit="1" customWidth="1"/>
    <col min="10" max="10" width="18.5546875" bestFit="1" customWidth="1"/>
    <col min="11" max="11" width="20.21875" bestFit="1" customWidth="1"/>
    <col min="12" max="12" width="13.77734375" bestFit="1" customWidth="1"/>
    <col min="13" max="13" width="14.6640625" bestFit="1" customWidth="1"/>
    <col min="14" max="14" width="9.33203125" bestFit="1" customWidth="1"/>
    <col min="15" max="15" width="21.33203125" bestFit="1" customWidth="1"/>
    <col min="16" max="16" width="18.6640625" bestFit="1" customWidth="1"/>
    <col min="17" max="17" width="20.109375" bestFit="1" customWidth="1"/>
    <col min="18" max="18" width="11.33203125" bestFit="1" customWidth="1"/>
  </cols>
  <sheetData>
    <row r="1" spans="1:50" x14ac:dyDescent="0.3">
      <c r="A1" t="s">
        <v>402</v>
      </c>
      <c r="B1" t="s">
        <v>361</v>
      </c>
      <c r="C1" t="s">
        <v>362</v>
      </c>
      <c r="D1" t="s">
        <v>363</v>
      </c>
      <c r="E1" t="s">
        <v>368</v>
      </c>
      <c r="F1" t="s">
        <v>364</v>
      </c>
      <c r="G1" t="s">
        <v>365</v>
      </c>
      <c r="H1" t="s">
        <v>360</v>
      </c>
      <c r="I1" t="s">
        <v>367</v>
      </c>
      <c r="J1" t="s">
        <v>371</v>
      </c>
      <c r="K1" t="s">
        <v>370</v>
      </c>
      <c r="L1" t="s">
        <v>369</v>
      </c>
      <c r="M1" t="s">
        <v>366</v>
      </c>
      <c r="N1" t="s">
        <v>373</v>
      </c>
      <c r="O1" t="s">
        <v>372</v>
      </c>
      <c r="P1" t="s">
        <v>403</v>
      </c>
      <c r="Q1" t="s">
        <v>409</v>
      </c>
      <c r="R1" t="s">
        <v>410</v>
      </c>
      <c r="U1" t="s">
        <v>408</v>
      </c>
      <c r="V1" t="s">
        <v>640</v>
      </c>
      <c r="W1" t="s">
        <v>1016</v>
      </c>
      <c r="X1" t="s">
        <v>1017</v>
      </c>
      <c r="Y1" t="s">
        <v>640</v>
      </c>
      <c r="Z1">
        <v>7103</v>
      </c>
      <c r="AA1">
        <v>8603</v>
      </c>
    </row>
    <row r="2" spans="1:50" x14ac:dyDescent="0.3">
      <c r="A2" t="s">
        <v>641</v>
      </c>
      <c r="B2" t="s">
        <v>682</v>
      </c>
      <c r="C2" t="s">
        <v>478</v>
      </c>
      <c r="D2" t="s">
        <v>612</v>
      </c>
      <c r="E2" t="s">
        <v>493</v>
      </c>
      <c r="F2" t="s">
        <v>479</v>
      </c>
      <c r="G2" t="s">
        <v>394</v>
      </c>
      <c r="H2" t="s">
        <v>391</v>
      </c>
      <c r="I2" t="s">
        <v>480</v>
      </c>
      <c r="J2" t="s">
        <v>494</v>
      </c>
      <c r="K2" t="s">
        <v>493</v>
      </c>
      <c r="L2" t="s">
        <v>626</v>
      </c>
      <c r="M2" t="s">
        <v>652</v>
      </c>
      <c r="N2" t="s">
        <v>643</v>
      </c>
      <c r="O2" t="s">
        <v>653</v>
      </c>
      <c r="P2" t="s">
        <v>612</v>
      </c>
      <c r="Q2">
        <v>1</v>
      </c>
      <c r="R2" t="s">
        <v>480</v>
      </c>
    </row>
    <row r="3" spans="1:50" x14ac:dyDescent="0.3">
      <c r="A3" t="s">
        <v>641</v>
      </c>
      <c r="B3" t="s">
        <v>682</v>
      </c>
      <c r="C3" t="s">
        <v>478</v>
      </c>
      <c r="D3" t="s">
        <v>612</v>
      </c>
      <c r="E3" t="s">
        <v>493</v>
      </c>
      <c r="F3" t="s">
        <v>479</v>
      </c>
      <c r="G3" t="s">
        <v>394</v>
      </c>
      <c r="H3" t="s">
        <v>391</v>
      </c>
      <c r="I3" t="s">
        <v>480</v>
      </c>
      <c r="J3" t="s">
        <v>494</v>
      </c>
      <c r="K3" t="s">
        <v>493</v>
      </c>
      <c r="L3" t="s">
        <v>626</v>
      </c>
      <c r="M3" t="s">
        <v>652</v>
      </c>
      <c r="N3" t="s">
        <v>643</v>
      </c>
      <c r="O3" t="s">
        <v>654</v>
      </c>
      <c r="P3" t="s">
        <v>612</v>
      </c>
      <c r="Q3">
        <v>1</v>
      </c>
      <c r="R3" t="s">
        <v>480</v>
      </c>
      <c r="U3" t="s">
        <v>442</v>
      </c>
      <c r="V3" t="s">
        <v>374</v>
      </c>
      <c r="W3" t="s">
        <v>375</v>
      </c>
      <c r="X3" t="s">
        <v>376</v>
      </c>
      <c r="Y3" t="s">
        <v>377</v>
      </c>
      <c r="Z3" t="s">
        <v>378</v>
      </c>
      <c r="AA3" t="s">
        <v>379</v>
      </c>
      <c r="AB3" t="s">
        <v>360</v>
      </c>
      <c r="AC3" t="s">
        <v>380</v>
      </c>
      <c r="AD3" t="s">
        <v>381</v>
      </c>
      <c r="AE3" t="s">
        <v>382</v>
      </c>
      <c r="AF3" t="s">
        <v>383</v>
      </c>
      <c r="AG3" t="s">
        <v>384</v>
      </c>
      <c r="AH3" t="s">
        <v>385</v>
      </c>
      <c r="AI3" t="s">
        <v>386</v>
      </c>
      <c r="AJ3" t="s">
        <v>387</v>
      </c>
      <c r="AK3">
        <v>56</v>
      </c>
      <c r="AL3">
        <v>64</v>
      </c>
      <c r="AM3">
        <v>75</v>
      </c>
      <c r="AN3">
        <v>88</v>
      </c>
      <c r="AO3">
        <v>100</v>
      </c>
      <c r="AP3">
        <v>113</v>
      </c>
      <c r="AQ3">
        <v>138</v>
      </c>
      <c r="AR3">
        <v>162</v>
      </c>
      <c r="AS3">
        <v>189</v>
      </c>
      <c r="AT3">
        <v>216</v>
      </c>
      <c r="AU3" t="s">
        <v>388</v>
      </c>
      <c r="AV3" t="s">
        <v>466</v>
      </c>
      <c r="AW3" t="s">
        <v>467</v>
      </c>
    </row>
    <row r="4" spans="1:50" x14ac:dyDescent="0.3">
      <c r="A4" t="s">
        <v>641</v>
      </c>
      <c r="B4" t="s">
        <v>682</v>
      </c>
      <c r="C4" t="s">
        <v>478</v>
      </c>
      <c r="D4" t="s">
        <v>612</v>
      </c>
      <c r="E4" t="s">
        <v>493</v>
      </c>
      <c r="F4" t="s">
        <v>479</v>
      </c>
      <c r="G4" t="s">
        <v>394</v>
      </c>
      <c r="H4" t="s">
        <v>391</v>
      </c>
      <c r="I4" t="s">
        <v>480</v>
      </c>
      <c r="J4" t="s">
        <v>494</v>
      </c>
      <c r="K4" t="s">
        <v>493</v>
      </c>
      <c r="L4" t="s">
        <v>626</v>
      </c>
      <c r="M4" t="s">
        <v>652</v>
      </c>
      <c r="N4" t="s">
        <v>643</v>
      </c>
      <c r="O4" t="s">
        <v>657</v>
      </c>
      <c r="P4" t="s">
        <v>612</v>
      </c>
      <c r="Q4">
        <v>1</v>
      </c>
      <c r="R4" t="s">
        <v>480</v>
      </c>
      <c r="U4" t="s">
        <v>443</v>
      </c>
      <c r="V4" t="s">
        <v>389</v>
      </c>
      <c r="W4" t="s">
        <v>396</v>
      </c>
      <c r="X4" t="s">
        <v>421</v>
      </c>
      <c r="Y4" t="s">
        <v>438</v>
      </c>
      <c r="Z4">
        <v>1</v>
      </c>
      <c r="AA4" t="s">
        <v>390</v>
      </c>
      <c r="AB4" t="s">
        <v>391</v>
      </c>
      <c r="AD4" t="s">
        <v>439</v>
      </c>
      <c r="AE4" t="s">
        <v>438</v>
      </c>
      <c r="AF4" t="s">
        <v>392</v>
      </c>
      <c r="AG4" t="s">
        <v>393</v>
      </c>
      <c r="AH4">
        <v>12</v>
      </c>
      <c r="AJ4" t="s">
        <v>423</v>
      </c>
      <c r="AN4">
        <v>240</v>
      </c>
      <c r="AO4">
        <v>160</v>
      </c>
      <c r="AP4">
        <v>560</v>
      </c>
      <c r="AU4">
        <v>960</v>
      </c>
      <c r="AV4">
        <f>AU4/(AH4+AI4)</f>
        <v>80</v>
      </c>
      <c r="AW4" t="s">
        <v>468</v>
      </c>
    </row>
    <row r="5" spans="1:50" x14ac:dyDescent="0.3">
      <c r="A5" t="s">
        <v>641</v>
      </c>
      <c r="B5" t="s">
        <v>682</v>
      </c>
      <c r="C5" t="s">
        <v>478</v>
      </c>
      <c r="D5" t="s">
        <v>612</v>
      </c>
      <c r="E5" t="s">
        <v>493</v>
      </c>
      <c r="F5" t="s">
        <v>479</v>
      </c>
      <c r="G5" t="s">
        <v>394</v>
      </c>
      <c r="H5" t="s">
        <v>391</v>
      </c>
      <c r="I5" t="s">
        <v>480</v>
      </c>
      <c r="J5" t="s">
        <v>494</v>
      </c>
      <c r="K5" t="s">
        <v>493</v>
      </c>
      <c r="L5" t="s">
        <v>626</v>
      </c>
      <c r="M5" t="s">
        <v>652</v>
      </c>
      <c r="N5" t="s">
        <v>643</v>
      </c>
      <c r="O5" t="s">
        <v>664</v>
      </c>
      <c r="P5" t="s">
        <v>612</v>
      </c>
      <c r="Q5">
        <v>1</v>
      </c>
      <c r="R5" t="s">
        <v>480</v>
      </c>
      <c r="U5" t="s">
        <v>395</v>
      </c>
      <c r="V5" t="s">
        <v>389</v>
      </c>
      <c r="W5" t="s">
        <v>396</v>
      </c>
      <c r="X5" t="s">
        <v>421</v>
      </c>
      <c r="Y5" t="s">
        <v>397</v>
      </c>
      <c r="Z5">
        <v>1</v>
      </c>
      <c r="AA5" t="s">
        <v>390</v>
      </c>
      <c r="AB5" t="s">
        <v>391</v>
      </c>
      <c r="AC5" t="s">
        <v>436</v>
      </c>
      <c r="AD5" t="s">
        <v>398</v>
      </c>
      <c r="AE5" t="s">
        <v>397</v>
      </c>
      <c r="AF5" t="s">
        <v>444</v>
      </c>
      <c r="AG5" t="s">
        <v>399</v>
      </c>
      <c r="AI5">
        <v>6</v>
      </c>
      <c r="AJ5" t="s">
        <v>423</v>
      </c>
      <c r="AK5">
        <v>70</v>
      </c>
      <c r="AL5">
        <v>70</v>
      </c>
      <c r="AM5">
        <v>70</v>
      </c>
      <c r="AN5">
        <v>70</v>
      </c>
      <c r="AO5">
        <v>140</v>
      </c>
      <c r="AU5">
        <v>420</v>
      </c>
      <c r="AV5">
        <f t="shared" ref="AV5:AV37" si="0">AU5/(AH5+AI5)</f>
        <v>70</v>
      </c>
      <c r="AW5" t="s">
        <v>469</v>
      </c>
      <c r="AX5" t="s">
        <v>470</v>
      </c>
    </row>
    <row r="6" spans="1:50" x14ac:dyDescent="0.3">
      <c r="A6" t="s">
        <v>641</v>
      </c>
      <c r="B6" t="s">
        <v>682</v>
      </c>
      <c r="C6" t="s">
        <v>478</v>
      </c>
      <c r="D6" t="s">
        <v>612</v>
      </c>
      <c r="E6" t="s">
        <v>493</v>
      </c>
      <c r="F6" t="s">
        <v>479</v>
      </c>
      <c r="G6" t="s">
        <v>394</v>
      </c>
      <c r="H6" t="s">
        <v>391</v>
      </c>
      <c r="I6" t="s">
        <v>480</v>
      </c>
      <c r="J6" t="s">
        <v>494</v>
      </c>
      <c r="K6" t="s">
        <v>493</v>
      </c>
      <c r="L6" t="s">
        <v>626</v>
      </c>
      <c r="M6" t="s">
        <v>652</v>
      </c>
      <c r="N6" t="s">
        <v>643</v>
      </c>
      <c r="O6" t="s">
        <v>669</v>
      </c>
      <c r="P6" t="s">
        <v>612</v>
      </c>
      <c r="Q6">
        <v>1</v>
      </c>
      <c r="R6" t="s">
        <v>480</v>
      </c>
      <c r="W6" t="s">
        <v>396</v>
      </c>
      <c r="X6" t="s">
        <v>421</v>
      </c>
      <c r="Y6" t="s">
        <v>397</v>
      </c>
      <c r="Z6">
        <v>1</v>
      </c>
      <c r="AA6" t="s">
        <v>390</v>
      </c>
      <c r="AB6" t="s">
        <v>391</v>
      </c>
      <c r="AC6" t="s">
        <v>430</v>
      </c>
      <c r="AD6" t="s">
        <v>398</v>
      </c>
      <c r="AE6" t="s">
        <v>397</v>
      </c>
      <c r="AF6" t="s">
        <v>445</v>
      </c>
      <c r="AG6" t="s">
        <v>399</v>
      </c>
      <c r="AI6">
        <v>14</v>
      </c>
      <c r="AJ6" t="s">
        <v>423</v>
      </c>
      <c r="AK6">
        <v>70</v>
      </c>
      <c r="AL6">
        <v>140</v>
      </c>
      <c r="AM6">
        <v>210</v>
      </c>
      <c r="AN6">
        <v>280</v>
      </c>
      <c r="AO6">
        <v>280</v>
      </c>
      <c r="AU6">
        <v>980</v>
      </c>
      <c r="AV6">
        <f t="shared" si="0"/>
        <v>70</v>
      </c>
      <c r="AW6" t="s">
        <v>471</v>
      </c>
    </row>
    <row r="7" spans="1:50" x14ac:dyDescent="0.3">
      <c r="A7" t="s">
        <v>641</v>
      </c>
      <c r="B7" t="s">
        <v>682</v>
      </c>
      <c r="C7" t="s">
        <v>478</v>
      </c>
      <c r="D7" t="s">
        <v>612</v>
      </c>
      <c r="E7" t="s">
        <v>493</v>
      </c>
      <c r="F7" t="s">
        <v>479</v>
      </c>
      <c r="G7" t="s">
        <v>394</v>
      </c>
      <c r="H7" t="s">
        <v>391</v>
      </c>
      <c r="I7" t="s">
        <v>480</v>
      </c>
      <c r="J7" t="s">
        <v>494</v>
      </c>
      <c r="K7" t="s">
        <v>493</v>
      </c>
      <c r="L7" t="s">
        <v>626</v>
      </c>
      <c r="M7" t="s">
        <v>652</v>
      </c>
      <c r="N7" t="s">
        <v>643</v>
      </c>
      <c r="O7" t="s">
        <v>670</v>
      </c>
      <c r="P7" t="s">
        <v>612</v>
      </c>
      <c r="Q7">
        <v>1</v>
      </c>
      <c r="R7" t="s">
        <v>480</v>
      </c>
      <c r="W7" t="s">
        <v>396</v>
      </c>
      <c r="X7" t="s">
        <v>421</v>
      </c>
      <c r="Y7" t="s">
        <v>397</v>
      </c>
      <c r="Z7">
        <v>1</v>
      </c>
      <c r="AA7" t="s">
        <v>390</v>
      </c>
      <c r="AB7" t="s">
        <v>391</v>
      </c>
      <c r="AC7" t="s">
        <v>430</v>
      </c>
      <c r="AD7" t="s">
        <v>398</v>
      </c>
      <c r="AE7" t="s">
        <v>397</v>
      </c>
      <c r="AF7" t="s">
        <v>445</v>
      </c>
      <c r="AG7" t="s">
        <v>399</v>
      </c>
      <c r="AI7">
        <v>0</v>
      </c>
      <c r="AJ7" t="s">
        <v>422</v>
      </c>
      <c r="AK7" t="s">
        <v>420</v>
      </c>
      <c r="AL7" t="s">
        <v>420</v>
      </c>
      <c r="AM7" t="s">
        <v>420</v>
      </c>
      <c r="AN7" t="s">
        <v>420</v>
      </c>
      <c r="AO7" t="s">
        <v>420</v>
      </c>
      <c r="AU7">
        <v>0</v>
      </c>
      <c r="AV7" t="e">
        <f t="shared" si="0"/>
        <v>#DIV/0!</v>
      </c>
    </row>
    <row r="8" spans="1:50" x14ac:dyDescent="0.3">
      <c r="A8" t="s">
        <v>641</v>
      </c>
      <c r="B8" t="s">
        <v>682</v>
      </c>
      <c r="C8" t="s">
        <v>478</v>
      </c>
      <c r="D8" t="s">
        <v>612</v>
      </c>
      <c r="E8" t="s">
        <v>493</v>
      </c>
      <c r="F8" t="s">
        <v>479</v>
      </c>
      <c r="G8" t="s">
        <v>394</v>
      </c>
      <c r="H8" t="s">
        <v>391</v>
      </c>
      <c r="I8" t="s">
        <v>480</v>
      </c>
      <c r="J8" t="s">
        <v>494</v>
      </c>
      <c r="K8" t="s">
        <v>493</v>
      </c>
      <c r="L8" t="s">
        <v>626</v>
      </c>
      <c r="M8" t="s">
        <v>652</v>
      </c>
      <c r="N8" t="s">
        <v>643</v>
      </c>
      <c r="O8" t="s">
        <v>674</v>
      </c>
      <c r="P8" t="s">
        <v>612</v>
      </c>
      <c r="Q8">
        <v>1</v>
      </c>
      <c r="R8" t="s">
        <v>480</v>
      </c>
      <c r="W8" t="s">
        <v>396</v>
      </c>
      <c r="X8" t="s">
        <v>421</v>
      </c>
      <c r="Y8" t="s">
        <v>397</v>
      </c>
      <c r="Z8">
        <v>2</v>
      </c>
      <c r="AA8" t="s">
        <v>390</v>
      </c>
      <c r="AB8" t="s">
        <v>391</v>
      </c>
      <c r="AC8" t="s">
        <v>430</v>
      </c>
      <c r="AD8" t="s">
        <v>398</v>
      </c>
      <c r="AE8" t="s">
        <v>397</v>
      </c>
      <c r="AF8" t="s">
        <v>445</v>
      </c>
      <c r="AG8" t="s">
        <v>399</v>
      </c>
      <c r="AI8">
        <v>6</v>
      </c>
      <c r="AJ8" t="s">
        <v>423</v>
      </c>
      <c r="AK8">
        <v>70</v>
      </c>
      <c r="AL8">
        <v>70</v>
      </c>
      <c r="AM8">
        <v>70</v>
      </c>
      <c r="AN8">
        <v>70</v>
      </c>
      <c r="AO8">
        <v>140</v>
      </c>
      <c r="AU8">
        <v>420</v>
      </c>
      <c r="AV8">
        <f t="shared" si="0"/>
        <v>70</v>
      </c>
    </row>
    <row r="9" spans="1:50" x14ac:dyDescent="0.3">
      <c r="A9" t="s">
        <v>641</v>
      </c>
      <c r="B9" t="s">
        <v>762</v>
      </c>
      <c r="C9" t="s">
        <v>478</v>
      </c>
      <c r="D9" t="s">
        <v>612</v>
      </c>
      <c r="E9" t="s">
        <v>493</v>
      </c>
      <c r="F9" t="s">
        <v>479</v>
      </c>
      <c r="G9" t="s">
        <v>394</v>
      </c>
      <c r="H9" t="s">
        <v>391</v>
      </c>
      <c r="I9" t="s">
        <v>480</v>
      </c>
      <c r="J9" t="s">
        <v>494</v>
      </c>
      <c r="K9" t="s">
        <v>493</v>
      </c>
      <c r="L9" t="s">
        <v>626</v>
      </c>
      <c r="M9" t="s">
        <v>652</v>
      </c>
      <c r="N9" t="s">
        <v>643</v>
      </c>
      <c r="O9" t="s">
        <v>684</v>
      </c>
      <c r="P9" t="s">
        <v>612</v>
      </c>
      <c r="Q9">
        <v>1</v>
      </c>
      <c r="R9" t="s">
        <v>480</v>
      </c>
      <c r="W9" t="s">
        <v>396</v>
      </c>
      <c r="X9" t="s">
        <v>421</v>
      </c>
      <c r="Y9" t="s">
        <v>397</v>
      </c>
      <c r="Z9">
        <v>2</v>
      </c>
      <c r="AA9" t="s">
        <v>390</v>
      </c>
      <c r="AB9" t="s">
        <v>391</v>
      </c>
      <c r="AC9" t="s">
        <v>430</v>
      </c>
      <c r="AD9" t="s">
        <v>398</v>
      </c>
      <c r="AE9" t="s">
        <v>397</v>
      </c>
      <c r="AF9" t="s">
        <v>445</v>
      </c>
      <c r="AG9" t="s">
        <v>399</v>
      </c>
      <c r="AI9">
        <v>0</v>
      </c>
      <c r="AJ9" t="s">
        <v>422</v>
      </c>
      <c r="AK9" t="s">
        <v>420</v>
      </c>
      <c r="AL9" t="s">
        <v>420</v>
      </c>
      <c r="AM9" t="s">
        <v>420</v>
      </c>
      <c r="AN9" t="s">
        <v>420</v>
      </c>
      <c r="AO9" t="s">
        <v>420</v>
      </c>
      <c r="AU9">
        <v>0</v>
      </c>
      <c r="AV9" t="e">
        <f t="shared" si="0"/>
        <v>#DIV/0!</v>
      </c>
    </row>
    <row r="10" spans="1:50" x14ac:dyDescent="0.3">
      <c r="A10" t="s">
        <v>641</v>
      </c>
      <c r="B10" t="s">
        <v>762</v>
      </c>
      <c r="C10" t="s">
        <v>478</v>
      </c>
      <c r="D10" t="s">
        <v>612</v>
      </c>
      <c r="E10" t="s">
        <v>493</v>
      </c>
      <c r="F10" t="s">
        <v>479</v>
      </c>
      <c r="G10" t="s">
        <v>394</v>
      </c>
      <c r="H10" t="s">
        <v>391</v>
      </c>
      <c r="I10" t="s">
        <v>480</v>
      </c>
      <c r="J10" t="s">
        <v>494</v>
      </c>
      <c r="K10" t="s">
        <v>493</v>
      </c>
      <c r="L10" t="s">
        <v>626</v>
      </c>
      <c r="M10" t="s">
        <v>652</v>
      </c>
      <c r="N10" t="s">
        <v>643</v>
      </c>
      <c r="O10" t="s">
        <v>698</v>
      </c>
      <c r="P10" t="s">
        <v>612</v>
      </c>
      <c r="Q10">
        <v>1</v>
      </c>
      <c r="R10" t="s">
        <v>480</v>
      </c>
      <c r="W10" t="s">
        <v>396</v>
      </c>
      <c r="X10" t="s">
        <v>421</v>
      </c>
      <c r="Y10" t="s">
        <v>397</v>
      </c>
      <c r="Z10">
        <v>1</v>
      </c>
      <c r="AA10" t="s">
        <v>390</v>
      </c>
      <c r="AB10" t="s">
        <v>391</v>
      </c>
      <c r="AC10" t="s">
        <v>412</v>
      </c>
      <c r="AD10" t="s">
        <v>398</v>
      </c>
      <c r="AE10" t="s">
        <v>397</v>
      </c>
      <c r="AF10" t="s">
        <v>445</v>
      </c>
      <c r="AG10" t="s">
        <v>399</v>
      </c>
      <c r="AI10">
        <v>14</v>
      </c>
      <c r="AJ10" t="s">
        <v>423</v>
      </c>
      <c r="AK10">
        <v>70</v>
      </c>
      <c r="AL10">
        <v>140</v>
      </c>
      <c r="AM10">
        <v>210</v>
      </c>
      <c r="AN10">
        <v>280</v>
      </c>
      <c r="AO10">
        <v>280</v>
      </c>
      <c r="AU10">
        <v>980</v>
      </c>
      <c r="AV10">
        <f t="shared" si="0"/>
        <v>70</v>
      </c>
      <c r="AX10" t="s">
        <v>475</v>
      </c>
    </row>
    <row r="11" spans="1:50" x14ac:dyDescent="0.3">
      <c r="A11" t="s">
        <v>641</v>
      </c>
      <c r="B11" t="s">
        <v>762</v>
      </c>
      <c r="C11" t="s">
        <v>478</v>
      </c>
      <c r="D11" t="s">
        <v>612</v>
      </c>
      <c r="E11" t="s">
        <v>493</v>
      </c>
      <c r="F11" t="s">
        <v>479</v>
      </c>
      <c r="G11" t="s">
        <v>394</v>
      </c>
      <c r="H11" t="s">
        <v>391</v>
      </c>
      <c r="I11" t="s">
        <v>480</v>
      </c>
      <c r="J11" t="s">
        <v>494</v>
      </c>
      <c r="K11" t="s">
        <v>493</v>
      </c>
      <c r="L11" t="s">
        <v>626</v>
      </c>
      <c r="M11" t="s">
        <v>652</v>
      </c>
      <c r="N11" t="s">
        <v>643</v>
      </c>
      <c r="O11" t="s">
        <v>699</v>
      </c>
      <c r="P11" t="s">
        <v>612</v>
      </c>
      <c r="Q11">
        <v>1</v>
      </c>
      <c r="R11" t="s">
        <v>480</v>
      </c>
      <c r="W11" t="s">
        <v>396</v>
      </c>
      <c r="X11" t="s">
        <v>421</v>
      </c>
      <c r="Y11" t="s">
        <v>397</v>
      </c>
      <c r="Z11">
        <v>1</v>
      </c>
      <c r="AA11" t="s">
        <v>390</v>
      </c>
      <c r="AB11" t="s">
        <v>391</v>
      </c>
      <c r="AC11" t="s">
        <v>412</v>
      </c>
      <c r="AD11" t="s">
        <v>398</v>
      </c>
      <c r="AE11" t="s">
        <v>397</v>
      </c>
      <c r="AF11" t="s">
        <v>445</v>
      </c>
      <c r="AG11" t="s">
        <v>399</v>
      </c>
      <c r="AI11">
        <v>0</v>
      </c>
      <c r="AJ11" t="s">
        <v>422</v>
      </c>
      <c r="AK11" t="s">
        <v>420</v>
      </c>
      <c r="AL11" t="s">
        <v>420</v>
      </c>
      <c r="AM11" t="s">
        <v>420</v>
      </c>
      <c r="AN11" t="s">
        <v>420</v>
      </c>
      <c r="AO11" t="s">
        <v>420</v>
      </c>
      <c r="AU11">
        <v>0</v>
      </c>
      <c r="AV11" t="e">
        <f t="shared" si="0"/>
        <v>#DIV/0!</v>
      </c>
      <c r="AX11" t="s">
        <v>476</v>
      </c>
    </row>
    <row r="12" spans="1:50" x14ac:dyDescent="0.3">
      <c r="A12" t="s">
        <v>641</v>
      </c>
      <c r="B12" t="s">
        <v>762</v>
      </c>
      <c r="C12" t="s">
        <v>478</v>
      </c>
      <c r="D12" t="s">
        <v>612</v>
      </c>
      <c r="E12" t="s">
        <v>493</v>
      </c>
      <c r="F12" t="s">
        <v>479</v>
      </c>
      <c r="G12" t="s">
        <v>394</v>
      </c>
      <c r="H12" t="s">
        <v>391</v>
      </c>
      <c r="I12" t="s">
        <v>480</v>
      </c>
      <c r="J12" t="s">
        <v>494</v>
      </c>
      <c r="K12" t="s">
        <v>493</v>
      </c>
      <c r="L12" t="s">
        <v>626</v>
      </c>
      <c r="M12" t="s">
        <v>652</v>
      </c>
      <c r="N12" t="s">
        <v>643</v>
      </c>
      <c r="O12" t="s">
        <v>700</v>
      </c>
      <c r="P12" t="s">
        <v>612</v>
      </c>
      <c r="Q12">
        <v>1</v>
      </c>
      <c r="R12" t="s">
        <v>480</v>
      </c>
      <c r="W12" t="s">
        <v>396</v>
      </c>
      <c r="X12" t="s">
        <v>421</v>
      </c>
      <c r="Y12" t="s">
        <v>397</v>
      </c>
      <c r="Z12">
        <v>2</v>
      </c>
      <c r="AA12" t="s">
        <v>390</v>
      </c>
      <c r="AB12" t="s">
        <v>391</v>
      </c>
      <c r="AC12" t="s">
        <v>412</v>
      </c>
      <c r="AD12" t="s">
        <v>398</v>
      </c>
      <c r="AE12" t="s">
        <v>397</v>
      </c>
      <c r="AF12" t="s">
        <v>445</v>
      </c>
      <c r="AG12" t="s">
        <v>399</v>
      </c>
      <c r="AI12">
        <v>6</v>
      </c>
      <c r="AJ12" t="s">
        <v>423</v>
      </c>
      <c r="AK12">
        <v>70</v>
      </c>
      <c r="AL12">
        <v>70</v>
      </c>
      <c r="AM12">
        <v>70</v>
      </c>
      <c r="AN12">
        <v>70</v>
      </c>
      <c r="AO12">
        <v>140</v>
      </c>
      <c r="AU12">
        <v>420</v>
      </c>
      <c r="AV12">
        <f t="shared" si="0"/>
        <v>70</v>
      </c>
    </row>
    <row r="13" spans="1:50" x14ac:dyDescent="0.3">
      <c r="A13" t="s">
        <v>641</v>
      </c>
      <c r="B13" t="s">
        <v>762</v>
      </c>
      <c r="C13" t="s">
        <v>478</v>
      </c>
      <c r="D13" t="s">
        <v>612</v>
      </c>
      <c r="E13" t="s">
        <v>493</v>
      </c>
      <c r="F13" t="s">
        <v>479</v>
      </c>
      <c r="G13" t="s">
        <v>394</v>
      </c>
      <c r="H13" t="s">
        <v>391</v>
      </c>
      <c r="I13" t="s">
        <v>480</v>
      </c>
      <c r="J13" t="s">
        <v>494</v>
      </c>
      <c r="K13" t="s">
        <v>493</v>
      </c>
      <c r="L13" t="s">
        <v>626</v>
      </c>
      <c r="M13" t="s">
        <v>652</v>
      </c>
      <c r="N13" t="s">
        <v>643</v>
      </c>
      <c r="O13" t="s">
        <v>715</v>
      </c>
      <c r="P13" t="s">
        <v>612</v>
      </c>
      <c r="Q13">
        <v>1</v>
      </c>
      <c r="R13" t="s">
        <v>480</v>
      </c>
      <c r="U13" t="s">
        <v>446</v>
      </c>
      <c r="V13" t="s">
        <v>447</v>
      </c>
      <c r="W13" t="s">
        <v>424</v>
      </c>
      <c r="X13" t="s">
        <v>421</v>
      </c>
      <c r="Y13" t="s">
        <v>440</v>
      </c>
      <c r="Z13">
        <v>1</v>
      </c>
      <c r="AA13" t="s">
        <v>394</v>
      </c>
      <c r="AB13" t="s">
        <v>391</v>
      </c>
      <c r="AD13" t="s">
        <v>439</v>
      </c>
      <c r="AE13" t="s">
        <v>440</v>
      </c>
      <c r="AF13" t="s">
        <v>392</v>
      </c>
      <c r="AG13" t="s">
        <v>393</v>
      </c>
      <c r="AH13">
        <v>20</v>
      </c>
      <c r="AJ13" t="s">
        <v>441</v>
      </c>
      <c r="AP13">
        <v>800</v>
      </c>
      <c r="AQ13">
        <v>800</v>
      </c>
      <c r="AU13">
        <v>1600</v>
      </c>
      <c r="AV13">
        <f t="shared" si="0"/>
        <v>80</v>
      </c>
    </row>
    <row r="14" spans="1:50" x14ac:dyDescent="0.3">
      <c r="A14" t="s">
        <v>725</v>
      </c>
      <c r="B14" t="s">
        <v>762</v>
      </c>
      <c r="C14" t="s">
        <v>478</v>
      </c>
      <c r="D14" t="s">
        <v>612</v>
      </c>
      <c r="E14" t="s">
        <v>493</v>
      </c>
      <c r="F14" t="s">
        <v>479</v>
      </c>
      <c r="G14" t="s">
        <v>394</v>
      </c>
      <c r="H14" t="s">
        <v>391</v>
      </c>
      <c r="I14" t="s">
        <v>480</v>
      </c>
      <c r="J14" t="s">
        <v>494</v>
      </c>
      <c r="K14" t="s">
        <v>493</v>
      </c>
      <c r="L14" t="s">
        <v>626</v>
      </c>
      <c r="M14" t="s">
        <v>652</v>
      </c>
      <c r="N14" t="s">
        <v>643</v>
      </c>
      <c r="O14" t="s">
        <v>731</v>
      </c>
      <c r="P14" t="s">
        <v>612</v>
      </c>
      <c r="Q14">
        <v>1</v>
      </c>
      <c r="R14" t="s">
        <v>480</v>
      </c>
      <c r="V14" t="s">
        <v>447</v>
      </c>
      <c r="W14" t="s">
        <v>424</v>
      </c>
      <c r="X14" t="s">
        <v>421</v>
      </c>
      <c r="Y14" t="s">
        <v>440</v>
      </c>
      <c r="Z14">
        <v>1</v>
      </c>
      <c r="AA14" t="s">
        <v>394</v>
      </c>
      <c r="AB14" t="s">
        <v>391</v>
      </c>
      <c r="AD14" t="s">
        <v>439</v>
      </c>
      <c r="AE14" t="s">
        <v>440</v>
      </c>
      <c r="AF14" t="s">
        <v>392</v>
      </c>
      <c r="AG14" t="s">
        <v>393</v>
      </c>
      <c r="AH14">
        <v>17</v>
      </c>
      <c r="AJ14" t="s">
        <v>425</v>
      </c>
      <c r="AP14">
        <v>560</v>
      </c>
      <c r="AQ14">
        <v>800</v>
      </c>
      <c r="AU14">
        <v>1360</v>
      </c>
      <c r="AV14">
        <f t="shared" si="0"/>
        <v>80</v>
      </c>
    </row>
    <row r="15" spans="1:50" x14ac:dyDescent="0.3">
      <c r="A15" t="s">
        <v>725</v>
      </c>
      <c r="B15" t="s">
        <v>763</v>
      </c>
      <c r="C15" t="s">
        <v>478</v>
      </c>
      <c r="D15" t="s">
        <v>612</v>
      </c>
      <c r="E15" t="s">
        <v>493</v>
      </c>
      <c r="F15" t="s">
        <v>479</v>
      </c>
      <c r="G15" t="s">
        <v>394</v>
      </c>
      <c r="H15" t="s">
        <v>391</v>
      </c>
      <c r="I15" t="s">
        <v>480</v>
      </c>
      <c r="J15" t="s">
        <v>494</v>
      </c>
      <c r="K15" t="s">
        <v>493</v>
      </c>
      <c r="L15" t="s">
        <v>626</v>
      </c>
      <c r="M15" t="s">
        <v>652</v>
      </c>
      <c r="N15" t="s">
        <v>643</v>
      </c>
      <c r="O15" t="s">
        <v>733</v>
      </c>
      <c r="P15" t="s">
        <v>612</v>
      </c>
      <c r="Q15">
        <v>1</v>
      </c>
      <c r="R15" t="s">
        <v>480</v>
      </c>
      <c r="U15" t="s">
        <v>449</v>
      </c>
      <c r="V15" t="s">
        <v>447</v>
      </c>
      <c r="W15" t="s">
        <v>424</v>
      </c>
      <c r="X15" t="s">
        <v>421</v>
      </c>
      <c r="Y15" t="s">
        <v>450</v>
      </c>
      <c r="Z15">
        <v>1</v>
      </c>
      <c r="AA15" t="s">
        <v>394</v>
      </c>
      <c r="AB15" t="s">
        <v>391</v>
      </c>
      <c r="AC15" t="s">
        <v>451</v>
      </c>
      <c r="AD15" t="s">
        <v>439</v>
      </c>
      <c r="AE15" t="s">
        <v>450</v>
      </c>
      <c r="AF15" t="s">
        <v>392</v>
      </c>
      <c r="AG15" t="s">
        <v>393</v>
      </c>
      <c r="AH15">
        <v>23</v>
      </c>
      <c r="AJ15" t="s">
        <v>425</v>
      </c>
      <c r="AN15">
        <v>320</v>
      </c>
      <c r="AO15">
        <v>960</v>
      </c>
      <c r="AP15">
        <v>560</v>
      </c>
      <c r="AU15">
        <v>1840</v>
      </c>
      <c r="AV15">
        <f t="shared" si="0"/>
        <v>80</v>
      </c>
    </row>
    <row r="16" spans="1:50" x14ac:dyDescent="0.3">
      <c r="A16" t="s">
        <v>641</v>
      </c>
      <c r="B16" t="s">
        <v>762</v>
      </c>
      <c r="C16" t="s">
        <v>478</v>
      </c>
      <c r="D16" t="s">
        <v>612</v>
      </c>
      <c r="E16" t="s">
        <v>493</v>
      </c>
      <c r="F16" t="s">
        <v>479</v>
      </c>
      <c r="G16" t="s">
        <v>394</v>
      </c>
      <c r="H16" t="s">
        <v>391</v>
      </c>
      <c r="I16" t="s">
        <v>480</v>
      </c>
      <c r="J16" t="s">
        <v>494</v>
      </c>
      <c r="K16" t="s">
        <v>493</v>
      </c>
      <c r="L16" t="s">
        <v>626</v>
      </c>
      <c r="M16" t="s">
        <v>652</v>
      </c>
      <c r="N16" t="s">
        <v>643</v>
      </c>
      <c r="O16" t="s">
        <v>735</v>
      </c>
      <c r="P16" t="s">
        <v>612</v>
      </c>
      <c r="Q16">
        <v>1</v>
      </c>
      <c r="R16" t="s">
        <v>480</v>
      </c>
      <c r="U16" t="s">
        <v>452</v>
      </c>
      <c r="V16" t="s">
        <v>389</v>
      </c>
      <c r="W16" t="s">
        <v>431</v>
      </c>
      <c r="X16" t="s">
        <v>421</v>
      </c>
      <c r="Y16" t="s">
        <v>452</v>
      </c>
      <c r="Z16">
        <v>1</v>
      </c>
      <c r="AA16" t="s">
        <v>390</v>
      </c>
      <c r="AB16" t="s">
        <v>391</v>
      </c>
      <c r="AD16" t="s">
        <v>433</v>
      </c>
      <c r="AE16" t="s">
        <v>434</v>
      </c>
      <c r="AF16" t="s">
        <v>392</v>
      </c>
      <c r="AG16" t="s">
        <v>393</v>
      </c>
      <c r="AH16">
        <v>20</v>
      </c>
      <c r="AJ16" t="s">
        <v>453</v>
      </c>
      <c r="AN16">
        <v>160</v>
      </c>
      <c r="AO16">
        <v>480</v>
      </c>
      <c r="AP16">
        <v>480</v>
      </c>
      <c r="AQ16">
        <v>480</v>
      </c>
      <c r="AU16">
        <v>1600</v>
      </c>
      <c r="AV16">
        <f t="shared" si="0"/>
        <v>80</v>
      </c>
    </row>
    <row r="17" spans="1:48" x14ac:dyDescent="0.3">
      <c r="A17" t="s">
        <v>725</v>
      </c>
      <c r="B17" t="s">
        <v>763</v>
      </c>
      <c r="C17" t="s">
        <v>478</v>
      </c>
      <c r="D17" t="s">
        <v>612</v>
      </c>
      <c r="E17" t="s">
        <v>493</v>
      </c>
      <c r="F17" t="s">
        <v>479</v>
      </c>
      <c r="G17" t="s">
        <v>394</v>
      </c>
      <c r="H17" t="s">
        <v>391</v>
      </c>
      <c r="I17" t="s">
        <v>480</v>
      </c>
      <c r="J17" t="s">
        <v>494</v>
      </c>
      <c r="K17" t="s">
        <v>493</v>
      </c>
      <c r="L17" t="s">
        <v>626</v>
      </c>
      <c r="M17" t="s">
        <v>652</v>
      </c>
      <c r="N17" t="s">
        <v>643</v>
      </c>
      <c r="O17" t="s">
        <v>739</v>
      </c>
      <c r="P17" t="s">
        <v>612</v>
      </c>
      <c r="Q17">
        <v>1</v>
      </c>
      <c r="R17" t="s">
        <v>480</v>
      </c>
      <c r="V17" t="s">
        <v>389</v>
      </c>
      <c r="W17" t="s">
        <v>431</v>
      </c>
      <c r="X17" t="s">
        <v>421</v>
      </c>
      <c r="Y17" t="s">
        <v>432</v>
      </c>
      <c r="Z17">
        <v>2</v>
      </c>
      <c r="AA17" t="s">
        <v>390</v>
      </c>
      <c r="AB17" t="s">
        <v>391</v>
      </c>
      <c r="AD17" t="s">
        <v>433</v>
      </c>
      <c r="AE17" t="s">
        <v>434</v>
      </c>
      <c r="AF17" t="s">
        <v>392</v>
      </c>
      <c r="AG17" t="s">
        <v>393</v>
      </c>
      <c r="AH17">
        <v>20</v>
      </c>
      <c r="AJ17" t="s">
        <v>435</v>
      </c>
      <c r="AR17">
        <v>800</v>
      </c>
      <c r="AS17">
        <v>800</v>
      </c>
      <c r="AU17">
        <v>1600</v>
      </c>
      <c r="AV17">
        <f t="shared" si="0"/>
        <v>80</v>
      </c>
    </row>
    <row r="18" spans="1:48" x14ac:dyDescent="0.3">
      <c r="A18" t="s">
        <v>725</v>
      </c>
      <c r="B18" t="s">
        <v>763</v>
      </c>
      <c r="C18" t="s">
        <v>478</v>
      </c>
      <c r="D18" t="s">
        <v>612</v>
      </c>
      <c r="E18" t="s">
        <v>493</v>
      </c>
      <c r="F18" t="s">
        <v>479</v>
      </c>
      <c r="G18" t="s">
        <v>394</v>
      </c>
      <c r="H18" t="s">
        <v>391</v>
      </c>
      <c r="I18" t="s">
        <v>480</v>
      </c>
      <c r="J18" t="s">
        <v>494</v>
      </c>
      <c r="K18" t="s">
        <v>493</v>
      </c>
      <c r="L18" t="s">
        <v>626</v>
      </c>
      <c r="M18" t="s">
        <v>652</v>
      </c>
      <c r="N18" t="s">
        <v>643</v>
      </c>
      <c r="O18" t="s">
        <v>740</v>
      </c>
      <c r="P18" t="s">
        <v>612</v>
      </c>
      <c r="Q18">
        <v>1</v>
      </c>
      <c r="R18" t="s">
        <v>480</v>
      </c>
      <c r="V18" t="s">
        <v>389</v>
      </c>
      <c r="W18" t="s">
        <v>431</v>
      </c>
      <c r="X18" t="s">
        <v>421</v>
      </c>
      <c r="Y18" t="s">
        <v>432</v>
      </c>
      <c r="Z18">
        <v>2</v>
      </c>
      <c r="AA18" t="s">
        <v>390</v>
      </c>
      <c r="AB18" t="s">
        <v>391</v>
      </c>
      <c r="AD18" t="s">
        <v>433</v>
      </c>
      <c r="AE18" t="s">
        <v>434</v>
      </c>
      <c r="AF18" t="s">
        <v>392</v>
      </c>
      <c r="AG18" t="s">
        <v>393</v>
      </c>
      <c r="AH18">
        <v>0</v>
      </c>
      <c r="AJ18" t="s">
        <v>437</v>
      </c>
      <c r="AR18" t="s">
        <v>420</v>
      </c>
      <c r="AS18" t="s">
        <v>420</v>
      </c>
      <c r="AU18">
        <v>0</v>
      </c>
      <c r="AV18" t="e">
        <f t="shared" si="0"/>
        <v>#DIV/0!</v>
      </c>
    </row>
    <row r="19" spans="1:48" x14ac:dyDescent="0.3">
      <c r="A19" t="s">
        <v>725</v>
      </c>
      <c r="B19" t="s">
        <v>763</v>
      </c>
      <c r="C19" t="s">
        <v>478</v>
      </c>
      <c r="D19" t="s">
        <v>612</v>
      </c>
      <c r="E19" t="s">
        <v>493</v>
      </c>
      <c r="F19" t="s">
        <v>479</v>
      </c>
      <c r="G19" t="s">
        <v>394</v>
      </c>
      <c r="H19" t="s">
        <v>391</v>
      </c>
      <c r="I19" t="s">
        <v>480</v>
      </c>
      <c r="J19" t="s">
        <v>494</v>
      </c>
      <c r="K19" t="s">
        <v>493</v>
      </c>
      <c r="L19" t="s">
        <v>626</v>
      </c>
      <c r="M19" t="s">
        <v>652</v>
      </c>
      <c r="N19" t="s">
        <v>643</v>
      </c>
      <c r="O19" t="s">
        <v>746</v>
      </c>
      <c r="P19" t="s">
        <v>612</v>
      </c>
      <c r="Q19">
        <v>1</v>
      </c>
      <c r="R19" t="s">
        <v>480</v>
      </c>
      <c r="U19" t="s">
        <v>454</v>
      </c>
      <c r="V19" t="s">
        <v>389</v>
      </c>
      <c r="W19" t="s">
        <v>431</v>
      </c>
      <c r="X19" t="s">
        <v>421</v>
      </c>
      <c r="Y19" t="s">
        <v>455</v>
      </c>
      <c r="Z19">
        <v>1</v>
      </c>
      <c r="AA19" t="s">
        <v>394</v>
      </c>
      <c r="AB19" t="s">
        <v>391</v>
      </c>
      <c r="AD19" t="s">
        <v>456</v>
      </c>
      <c r="AE19" t="s">
        <v>457</v>
      </c>
      <c r="AF19" t="s">
        <v>392</v>
      </c>
      <c r="AG19" t="s">
        <v>393</v>
      </c>
      <c r="AH19">
        <v>20</v>
      </c>
      <c r="AJ19" t="s">
        <v>458</v>
      </c>
      <c r="AM19">
        <v>400</v>
      </c>
      <c r="AN19">
        <v>400</v>
      </c>
      <c r="AO19">
        <v>400</v>
      </c>
      <c r="AP19">
        <v>400</v>
      </c>
      <c r="AU19">
        <v>1600</v>
      </c>
      <c r="AV19">
        <f t="shared" si="0"/>
        <v>80</v>
      </c>
    </row>
    <row r="20" spans="1:48" x14ac:dyDescent="0.3">
      <c r="A20" t="s">
        <v>725</v>
      </c>
      <c r="B20" t="s">
        <v>763</v>
      </c>
      <c r="C20" t="s">
        <v>478</v>
      </c>
      <c r="D20" t="s">
        <v>612</v>
      </c>
      <c r="E20" t="s">
        <v>493</v>
      </c>
      <c r="F20" t="s">
        <v>479</v>
      </c>
      <c r="G20" t="s">
        <v>394</v>
      </c>
      <c r="H20" t="s">
        <v>391</v>
      </c>
      <c r="I20" t="s">
        <v>480</v>
      </c>
      <c r="J20" t="s">
        <v>494</v>
      </c>
      <c r="K20" t="s">
        <v>493</v>
      </c>
      <c r="L20" t="s">
        <v>626</v>
      </c>
      <c r="M20" t="s">
        <v>652</v>
      </c>
      <c r="N20" t="s">
        <v>643</v>
      </c>
      <c r="O20" t="s">
        <v>753</v>
      </c>
      <c r="P20" t="s">
        <v>612</v>
      </c>
      <c r="Q20">
        <v>1</v>
      </c>
      <c r="R20" t="s">
        <v>480</v>
      </c>
      <c r="U20" t="s">
        <v>459</v>
      </c>
      <c r="V20" t="s">
        <v>389</v>
      </c>
      <c r="W20" t="s">
        <v>396</v>
      </c>
      <c r="X20" t="s">
        <v>421</v>
      </c>
      <c r="Y20" t="s">
        <v>400</v>
      </c>
      <c r="Z20">
        <v>1</v>
      </c>
      <c r="AA20" t="s">
        <v>390</v>
      </c>
      <c r="AB20" t="s">
        <v>391</v>
      </c>
      <c r="AD20" t="s">
        <v>401</v>
      </c>
      <c r="AE20" t="s">
        <v>400</v>
      </c>
      <c r="AF20" t="s">
        <v>392</v>
      </c>
      <c r="AG20" t="s">
        <v>393</v>
      </c>
      <c r="AH20">
        <v>100</v>
      </c>
      <c r="AJ20" t="s">
        <v>423</v>
      </c>
      <c r="AO20">
        <v>1920</v>
      </c>
      <c r="AP20">
        <v>1920</v>
      </c>
      <c r="AQ20">
        <v>1600</v>
      </c>
      <c r="AR20">
        <v>1280</v>
      </c>
      <c r="AS20">
        <v>880</v>
      </c>
      <c r="AT20">
        <v>400</v>
      </c>
      <c r="AU20">
        <v>8000</v>
      </c>
      <c r="AV20">
        <f t="shared" si="0"/>
        <v>80</v>
      </c>
    </row>
    <row r="21" spans="1:48" x14ac:dyDescent="0.3">
      <c r="A21" t="s">
        <v>725</v>
      </c>
      <c r="B21" t="s">
        <v>763</v>
      </c>
      <c r="C21" t="s">
        <v>478</v>
      </c>
      <c r="D21" t="s">
        <v>612</v>
      </c>
      <c r="E21" t="s">
        <v>493</v>
      </c>
      <c r="F21" t="s">
        <v>479</v>
      </c>
      <c r="G21" t="s">
        <v>394</v>
      </c>
      <c r="H21" t="s">
        <v>391</v>
      </c>
      <c r="I21" t="s">
        <v>480</v>
      </c>
      <c r="J21" t="s">
        <v>494</v>
      </c>
      <c r="K21" t="s">
        <v>493</v>
      </c>
      <c r="L21" t="s">
        <v>626</v>
      </c>
      <c r="M21" t="s">
        <v>652</v>
      </c>
      <c r="N21" t="s">
        <v>643</v>
      </c>
      <c r="O21" t="s">
        <v>756</v>
      </c>
      <c r="P21" t="s">
        <v>612</v>
      </c>
      <c r="Q21">
        <v>1</v>
      </c>
      <c r="R21" t="s">
        <v>480</v>
      </c>
      <c r="W21" t="s">
        <v>396</v>
      </c>
      <c r="X21" t="s">
        <v>421</v>
      </c>
      <c r="Y21" t="s">
        <v>400</v>
      </c>
      <c r="Z21">
        <v>1</v>
      </c>
      <c r="AA21" t="s">
        <v>390</v>
      </c>
      <c r="AB21" t="s">
        <v>391</v>
      </c>
      <c r="AD21" t="s">
        <v>401</v>
      </c>
      <c r="AE21" t="s">
        <v>400</v>
      </c>
      <c r="AF21" t="s">
        <v>392</v>
      </c>
      <c r="AG21" t="s">
        <v>393</v>
      </c>
      <c r="AH21">
        <v>0</v>
      </c>
      <c r="AJ21" t="s">
        <v>422</v>
      </c>
      <c r="AO21" t="s">
        <v>420</v>
      </c>
      <c r="AP21" t="s">
        <v>420</v>
      </c>
      <c r="AQ21" t="s">
        <v>420</v>
      </c>
      <c r="AR21" t="s">
        <v>420</v>
      </c>
      <c r="AS21" t="s">
        <v>420</v>
      </c>
      <c r="AT21" t="s">
        <v>420</v>
      </c>
      <c r="AU21">
        <v>0</v>
      </c>
      <c r="AV21" t="e">
        <f t="shared" si="0"/>
        <v>#DIV/0!</v>
      </c>
    </row>
    <row r="22" spans="1:48" x14ac:dyDescent="0.3">
      <c r="A22" t="s">
        <v>725</v>
      </c>
      <c r="B22" t="s">
        <v>763</v>
      </c>
      <c r="C22" t="s">
        <v>478</v>
      </c>
      <c r="D22" t="s">
        <v>612</v>
      </c>
      <c r="E22" t="s">
        <v>493</v>
      </c>
      <c r="F22" t="s">
        <v>479</v>
      </c>
      <c r="G22" t="s">
        <v>394</v>
      </c>
      <c r="H22" t="s">
        <v>391</v>
      </c>
      <c r="I22" t="s">
        <v>480</v>
      </c>
      <c r="J22" t="s">
        <v>494</v>
      </c>
      <c r="K22" t="s">
        <v>493</v>
      </c>
      <c r="L22" t="s">
        <v>626</v>
      </c>
      <c r="M22" t="s">
        <v>652</v>
      </c>
      <c r="N22" t="s">
        <v>643</v>
      </c>
      <c r="O22" t="s">
        <v>764</v>
      </c>
      <c r="P22" t="s">
        <v>612</v>
      </c>
      <c r="Q22">
        <v>1</v>
      </c>
      <c r="R22" t="s">
        <v>480</v>
      </c>
      <c r="W22" t="s">
        <v>396</v>
      </c>
      <c r="X22" t="s">
        <v>421</v>
      </c>
      <c r="Y22" t="s">
        <v>400</v>
      </c>
      <c r="Z22">
        <v>2</v>
      </c>
      <c r="AA22" t="s">
        <v>390</v>
      </c>
      <c r="AB22" t="s">
        <v>391</v>
      </c>
      <c r="AD22" t="s">
        <v>401</v>
      </c>
      <c r="AE22" t="s">
        <v>400</v>
      </c>
      <c r="AF22" t="s">
        <v>392</v>
      </c>
      <c r="AG22" t="s">
        <v>393</v>
      </c>
      <c r="AH22">
        <v>60</v>
      </c>
      <c r="AJ22" t="s">
        <v>423</v>
      </c>
      <c r="AO22">
        <v>1040</v>
      </c>
      <c r="AP22">
        <v>1200</v>
      </c>
      <c r="AQ22">
        <v>960</v>
      </c>
      <c r="AR22">
        <v>880</v>
      </c>
      <c r="AS22">
        <v>400</v>
      </c>
      <c r="AT22">
        <v>320</v>
      </c>
      <c r="AU22">
        <v>4800</v>
      </c>
      <c r="AV22">
        <f t="shared" si="0"/>
        <v>80</v>
      </c>
    </row>
    <row r="23" spans="1:48" x14ac:dyDescent="0.3">
      <c r="A23" t="s">
        <v>641</v>
      </c>
      <c r="B23" t="s">
        <v>762</v>
      </c>
      <c r="C23" t="s">
        <v>478</v>
      </c>
      <c r="D23" t="s">
        <v>612</v>
      </c>
      <c r="E23" t="s">
        <v>493</v>
      </c>
      <c r="F23" t="s">
        <v>479</v>
      </c>
      <c r="G23" t="s">
        <v>394</v>
      </c>
      <c r="H23" t="s">
        <v>391</v>
      </c>
      <c r="I23" t="s">
        <v>480</v>
      </c>
      <c r="J23" t="s">
        <v>494</v>
      </c>
      <c r="K23" t="s">
        <v>493</v>
      </c>
      <c r="L23" t="s">
        <v>626</v>
      </c>
      <c r="M23" t="s">
        <v>652</v>
      </c>
      <c r="N23" t="s">
        <v>643</v>
      </c>
      <c r="O23" t="s">
        <v>765</v>
      </c>
      <c r="P23" t="s">
        <v>612</v>
      </c>
      <c r="Q23">
        <v>1</v>
      </c>
      <c r="R23" t="s">
        <v>480</v>
      </c>
      <c r="W23" t="s">
        <v>396</v>
      </c>
      <c r="X23" t="s">
        <v>421</v>
      </c>
      <c r="Y23" t="s">
        <v>400</v>
      </c>
      <c r="Z23">
        <v>2</v>
      </c>
      <c r="AA23" t="s">
        <v>390</v>
      </c>
      <c r="AB23" t="s">
        <v>391</v>
      </c>
      <c r="AD23" t="s">
        <v>401</v>
      </c>
      <c r="AE23" t="s">
        <v>400</v>
      </c>
      <c r="AF23" t="s">
        <v>392</v>
      </c>
      <c r="AG23" t="s">
        <v>393</v>
      </c>
      <c r="AH23">
        <v>0</v>
      </c>
      <c r="AJ23" t="s">
        <v>422</v>
      </c>
      <c r="AO23" t="s">
        <v>420</v>
      </c>
      <c r="AP23" t="s">
        <v>420</v>
      </c>
      <c r="AQ23" t="s">
        <v>420</v>
      </c>
      <c r="AR23" t="s">
        <v>420</v>
      </c>
      <c r="AS23" t="s">
        <v>420</v>
      </c>
      <c r="AT23" t="s">
        <v>420</v>
      </c>
      <c r="AU23">
        <v>0</v>
      </c>
      <c r="AV23" t="e">
        <f t="shared" si="0"/>
        <v>#DIV/0!</v>
      </c>
    </row>
    <row r="24" spans="1:48" x14ac:dyDescent="0.3">
      <c r="A24" t="s">
        <v>725</v>
      </c>
      <c r="B24" t="s">
        <v>763</v>
      </c>
      <c r="C24" t="s">
        <v>478</v>
      </c>
      <c r="D24" t="s">
        <v>612</v>
      </c>
      <c r="E24" t="s">
        <v>493</v>
      </c>
      <c r="F24" t="s">
        <v>479</v>
      </c>
      <c r="G24" t="s">
        <v>394</v>
      </c>
      <c r="H24" t="s">
        <v>391</v>
      </c>
      <c r="I24" t="s">
        <v>480</v>
      </c>
      <c r="J24" t="s">
        <v>494</v>
      </c>
      <c r="K24" t="s">
        <v>493</v>
      </c>
      <c r="L24" t="s">
        <v>626</v>
      </c>
      <c r="M24" t="s">
        <v>652</v>
      </c>
      <c r="N24" t="s">
        <v>643</v>
      </c>
      <c r="O24" t="s">
        <v>767</v>
      </c>
      <c r="P24" t="s">
        <v>612</v>
      </c>
      <c r="Q24">
        <v>1</v>
      </c>
      <c r="R24" t="s">
        <v>480</v>
      </c>
      <c r="W24" t="s">
        <v>396</v>
      </c>
      <c r="X24" t="s">
        <v>421</v>
      </c>
      <c r="Y24" t="s">
        <v>427</v>
      </c>
      <c r="Z24" t="s">
        <v>428</v>
      </c>
      <c r="AA24" t="s">
        <v>390</v>
      </c>
      <c r="AB24" t="s">
        <v>391</v>
      </c>
      <c r="AD24" t="s">
        <v>401</v>
      </c>
      <c r="AE24" t="s">
        <v>429</v>
      </c>
      <c r="AF24" t="s">
        <v>392</v>
      </c>
      <c r="AG24" t="s">
        <v>393</v>
      </c>
      <c r="AH24">
        <v>60</v>
      </c>
      <c r="AJ24" t="s">
        <v>423</v>
      </c>
      <c r="AN24">
        <v>800</v>
      </c>
      <c r="AO24">
        <v>800</v>
      </c>
      <c r="AP24">
        <v>800</v>
      </c>
      <c r="AQ24">
        <v>800</v>
      </c>
      <c r="AR24">
        <v>800</v>
      </c>
      <c r="AS24">
        <v>800</v>
      </c>
      <c r="AU24">
        <v>4800</v>
      </c>
      <c r="AV24">
        <f t="shared" si="0"/>
        <v>80</v>
      </c>
    </row>
    <row r="25" spans="1:48" x14ac:dyDescent="0.3">
      <c r="A25" t="s">
        <v>725</v>
      </c>
      <c r="B25" t="s">
        <v>763</v>
      </c>
      <c r="C25" t="s">
        <v>478</v>
      </c>
      <c r="D25" t="s">
        <v>612</v>
      </c>
      <c r="E25" t="s">
        <v>493</v>
      </c>
      <c r="F25" t="s">
        <v>479</v>
      </c>
      <c r="G25" t="s">
        <v>394</v>
      </c>
      <c r="H25" t="s">
        <v>391</v>
      </c>
      <c r="I25" t="s">
        <v>480</v>
      </c>
      <c r="J25" t="s">
        <v>494</v>
      </c>
      <c r="K25" t="s">
        <v>493</v>
      </c>
      <c r="L25" t="s">
        <v>626</v>
      </c>
      <c r="M25" t="s">
        <v>652</v>
      </c>
      <c r="N25" t="s">
        <v>643</v>
      </c>
      <c r="O25" t="s">
        <v>768</v>
      </c>
      <c r="P25" t="s">
        <v>612</v>
      </c>
      <c r="Q25">
        <v>1</v>
      </c>
      <c r="R25" t="s">
        <v>480</v>
      </c>
      <c r="W25" t="s">
        <v>396</v>
      </c>
      <c r="X25" t="s">
        <v>421</v>
      </c>
      <c r="Y25" t="s">
        <v>427</v>
      </c>
      <c r="Z25" t="s">
        <v>428</v>
      </c>
      <c r="AA25" t="s">
        <v>390</v>
      </c>
      <c r="AB25" t="s">
        <v>391</v>
      </c>
      <c r="AD25" t="s">
        <v>401</v>
      </c>
      <c r="AE25" t="s">
        <v>429</v>
      </c>
      <c r="AF25" t="s">
        <v>392</v>
      </c>
      <c r="AG25" t="s">
        <v>393</v>
      </c>
      <c r="AH25">
        <v>0</v>
      </c>
      <c r="AJ25" t="s">
        <v>422</v>
      </c>
      <c r="AN25" t="s">
        <v>420</v>
      </c>
      <c r="AO25" t="s">
        <v>420</v>
      </c>
      <c r="AP25" t="s">
        <v>420</v>
      </c>
      <c r="AQ25" t="s">
        <v>420</v>
      </c>
      <c r="AR25" t="s">
        <v>420</v>
      </c>
      <c r="AS25" t="s">
        <v>420</v>
      </c>
      <c r="AU25">
        <v>0</v>
      </c>
      <c r="AV25" t="e">
        <f t="shared" si="0"/>
        <v>#DIV/0!</v>
      </c>
    </row>
    <row r="26" spans="1:48" x14ac:dyDescent="0.3">
      <c r="A26" t="s">
        <v>725</v>
      </c>
      <c r="B26" t="s">
        <v>870</v>
      </c>
      <c r="C26" t="s">
        <v>478</v>
      </c>
      <c r="D26" t="s">
        <v>612</v>
      </c>
      <c r="E26" t="s">
        <v>493</v>
      </c>
      <c r="F26" t="s">
        <v>479</v>
      </c>
      <c r="G26" t="s">
        <v>394</v>
      </c>
      <c r="H26" t="s">
        <v>391</v>
      </c>
      <c r="I26" t="s">
        <v>480</v>
      </c>
      <c r="J26" t="s">
        <v>494</v>
      </c>
      <c r="K26" t="s">
        <v>493</v>
      </c>
      <c r="L26" t="s">
        <v>626</v>
      </c>
      <c r="M26" t="s">
        <v>652</v>
      </c>
      <c r="N26" t="s">
        <v>643</v>
      </c>
      <c r="O26" t="s">
        <v>770</v>
      </c>
      <c r="P26" t="s">
        <v>612</v>
      </c>
      <c r="Q26">
        <v>1</v>
      </c>
      <c r="R26" t="s">
        <v>480</v>
      </c>
      <c r="V26" t="s">
        <v>447</v>
      </c>
      <c r="W26" t="s">
        <v>424</v>
      </c>
      <c r="X26" t="s">
        <v>421</v>
      </c>
      <c r="Y26" t="s">
        <v>400</v>
      </c>
      <c r="Z26">
        <v>1</v>
      </c>
      <c r="AA26" t="s">
        <v>411</v>
      </c>
      <c r="AB26" t="s">
        <v>391</v>
      </c>
      <c r="AD26" t="s">
        <v>401</v>
      </c>
      <c r="AE26" t="s">
        <v>400</v>
      </c>
      <c r="AF26" t="s">
        <v>392</v>
      </c>
      <c r="AG26" t="s">
        <v>393</v>
      </c>
      <c r="AH26">
        <v>100</v>
      </c>
      <c r="AJ26" t="s">
        <v>425</v>
      </c>
      <c r="AO26">
        <v>1920</v>
      </c>
      <c r="AP26">
        <v>1920</v>
      </c>
      <c r="AQ26">
        <v>1600</v>
      </c>
      <c r="AR26">
        <v>1280</v>
      </c>
      <c r="AS26">
        <v>880</v>
      </c>
      <c r="AT26">
        <v>400</v>
      </c>
      <c r="AU26">
        <v>8000</v>
      </c>
      <c r="AV26">
        <f t="shared" si="0"/>
        <v>80</v>
      </c>
    </row>
    <row r="27" spans="1:48" x14ac:dyDescent="0.3">
      <c r="A27" t="s">
        <v>725</v>
      </c>
      <c r="B27" t="s">
        <v>870</v>
      </c>
      <c r="C27" t="s">
        <v>478</v>
      </c>
      <c r="D27" t="s">
        <v>612</v>
      </c>
      <c r="E27" t="s">
        <v>493</v>
      </c>
      <c r="F27" t="s">
        <v>479</v>
      </c>
      <c r="G27" t="s">
        <v>394</v>
      </c>
      <c r="H27" t="s">
        <v>391</v>
      </c>
      <c r="I27" t="s">
        <v>480</v>
      </c>
      <c r="J27" t="s">
        <v>494</v>
      </c>
      <c r="K27" t="s">
        <v>493</v>
      </c>
      <c r="L27" t="s">
        <v>626</v>
      </c>
      <c r="M27" t="s">
        <v>652</v>
      </c>
      <c r="N27" t="s">
        <v>643</v>
      </c>
      <c r="O27" t="s">
        <v>771</v>
      </c>
      <c r="P27" t="s">
        <v>612</v>
      </c>
      <c r="Q27">
        <v>1</v>
      </c>
      <c r="R27" t="s">
        <v>480</v>
      </c>
      <c r="W27" t="s">
        <v>424</v>
      </c>
      <c r="X27" t="s">
        <v>421</v>
      </c>
      <c r="Y27" t="s">
        <v>400</v>
      </c>
      <c r="Z27">
        <v>1</v>
      </c>
      <c r="AA27" t="s">
        <v>411</v>
      </c>
      <c r="AB27" t="s">
        <v>391</v>
      </c>
      <c r="AD27" t="s">
        <v>401</v>
      </c>
      <c r="AE27" t="s">
        <v>400</v>
      </c>
      <c r="AF27" t="s">
        <v>392</v>
      </c>
      <c r="AG27" t="s">
        <v>393</v>
      </c>
      <c r="AH27">
        <v>0</v>
      </c>
      <c r="AJ27" t="s">
        <v>426</v>
      </c>
      <c r="AO27" t="s">
        <v>420</v>
      </c>
      <c r="AP27" t="s">
        <v>420</v>
      </c>
      <c r="AQ27" t="s">
        <v>420</v>
      </c>
      <c r="AR27" t="s">
        <v>420</v>
      </c>
      <c r="AS27" t="s">
        <v>420</v>
      </c>
      <c r="AT27" t="s">
        <v>420</v>
      </c>
      <c r="AU27">
        <v>0</v>
      </c>
      <c r="AV27" t="e">
        <f t="shared" si="0"/>
        <v>#DIV/0!</v>
      </c>
    </row>
    <row r="28" spans="1:48" x14ac:dyDescent="0.3">
      <c r="A28" t="s">
        <v>725</v>
      </c>
      <c r="B28" t="s">
        <v>870</v>
      </c>
      <c r="C28" t="s">
        <v>478</v>
      </c>
      <c r="D28" t="s">
        <v>612</v>
      </c>
      <c r="E28" t="s">
        <v>493</v>
      </c>
      <c r="F28" t="s">
        <v>479</v>
      </c>
      <c r="G28" t="s">
        <v>394</v>
      </c>
      <c r="H28" t="s">
        <v>391</v>
      </c>
      <c r="I28" t="s">
        <v>480</v>
      </c>
      <c r="J28" t="s">
        <v>494</v>
      </c>
      <c r="K28" t="s">
        <v>493</v>
      </c>
      <c r="L28" t="s">
        <v>626</v>
      </c>
      <c r="M28" t="s">
        <v>652</v>
      </c>
      <c r="N28" t="s">
        <v>643</v>
      </c>
      <c r="O28" t="s">
        <v>773</v>
      </c>
      <c r="P28" t="s">
        <v>612</v>
      </c>
      <c r="Q28">
        <v>1</v>
      </c>
      <c r="R28" t="s">
        <v>480</v>
      </c>
      <c r="V28" t="s">
        <v>448</v>
      </c>
      <c r="W28" t="s">
        <v>424</v>
      </c>
      <c r="X28" t="s">
        <v>421</v>
      </c>
      <c r="Y28" t="s">
        <v>400</v>
      </c>
      <c r="Z28">
        <v>2</v>
      </c>
      <c r="AA28" t="s">
        <v>411</v>
      </c>
      <c r="AB28" t="s">
        <v>391</v>
      </c>
      <c r="AD28" t="s">
        <v>401</v>
      </c>
      <c r="AE28" t="s">
        <v>400</v>
      </c>
      <c r="AF28" t="s">
        <v>392</v>
      </c>
      <c r="AG28" t="s">
        <v>393</v>
      </c>
      <c r="AH28">
        <v>60</v>
      </c>
      <c r="AJ28" t="s">
        <v>425</v>
      </c>
      <c r="AO28">
        <v>1040</v>
      </c>
      <c r="AP28">
        <v>1200</v>
      </c>
      <c r="AQ28">
        <v>960</v>
      </c>
      <c r="AR28">
        <v>880</v>
      </c>
      <c r="AS28">
        <v>400</v>
      </c>
      <c r="AT28">
        <v>320</v>
      </c>
      <c r="AU28">
        <v>4800</v>
      </c>
      <c r="AV28">
        <f t="shared" si="0"/>
        <v>80</v>
      </c>
    </row>
    <row r="29" spans="1:48" x14ac:dyDescent="0.3">
      <c r="A29" t="s">
        <v>725</v>
      </c>
      <c r="B29" t="s">
        <v>870</v>
      </c>
      <c r="C29" t="s">
        <v>478</v>
      </c>
      <c r="D29" t="s">
        <v>612</v>
      </c>
      <c r="E29" t="s">
        <v>493</v>
      </c>
      <c r="F29" t="s">
        <v>479</v>
      </c>
      <c r="G29" t="s">
        <v>394</v>
      </c>
      <c r="H29" t="s">
        <v>391</v>
      </c>
      <c r="I29" t="s">
        <v>480</v>
      </c>
      <c r="J29" t="s">
        <v>494</v>
      </c>
      <c r="K29" t="s">
        <v>493</v>
      </c>
      <c r="L29" t="s">
        <v>626</v>
      </c>
      <c r="M29" t="s">
        <v>652</v>
      </c>
      <c r="N29" t="s">
        <v>643</v>
      </c>
      <c r="O29" t="s">
        <v>790</v>
      </c>
      <c r="P29" t="s">
        <v>612</v>
      </c>
      <c r="Q29">
        <v>1</v>
      </c>
      <c r="R29" t="s">
        <v>480</v>
      </c>
      <c r="W29" t="s">
        <v>424</v>
      </c>
      <c r="X29" t="s">
        <v>421</v>
      </c>
      <c r="Y29" t="s">
        <v>400</v>
      </c>
      <c r="Z29">
        <v>2</v>
      </c>
      <c r="AA29" t="s">
        <v>411</v>
      </c>
      <c r="AB29" t="s">
        <v>391</v>
      </c>
      <c r="AD29" t="s">
        <v>401</v>
      </c>
      <c r="AE29" t="s">
        <v>400</v>
      </c>
      <c r="AF29" t="s">
        <v>392</v>
      </c>
      <c r="AG29" t="s">
        <v>393</v>
      </c>
      <c r="AH29">
        <v>0</v>
      </c>
      <c r="AJ29" t="s">
        <v>426</v>
      </c>
      <c r="AO29" t="s">
        <v>420</v>
      </c>
      <c r="AP29" t="s">
        <v>420</v>
      </c>
      <c r="AQ29" t="s">
        <v>420</v>
      </c>
      <c r="AR29" t="s">
        <v>420</v>
      </c>
      <c r="AS29" t="s">
        <v>420</v>
      </c>
      <c r="AT29" t="s">
        <v>420</v>
      </c>
      <c r="AU29">
        <v>0</v>
      </c>
      <c r="AV29" t="e">
        <f t="shared" si="0"/>
        <v>#DIV/0!</v>
      </c>
    </row>
    <row r="30" spans="1:48" x14ac:dyDescent="0.3">
      <c r="A30" t="s">
        <v>725</v>
      </c>
      <c r="B30" t="s">
        <v>870</v>
      </c>
      <c r="C30" t="s">
        <v>478</v>
      </c>
      <c r="D30" t="s">
        <v>612</v>
      </c>
      <c r="E30" t="s">
        <v>493</v>
      </c>
      <c r="F30" t="s">
        <v>479</v>
      </c>
      <c r="G30" t="s">
        <v>394</v>
      </c>
      <c r="H30" t="s">
        <v>391</v>
      </c>
      <c r="I30" t="s">
        <v>480</v>
      </c>
      <c r="J30" t="s">
        <v>494</v>
      </c>
      <c r="K30" t="s">
        <v>493</v>
      </c>
      <c r="L30" t="s">
        <v>626</v>
      </c>
      <c r="M30" t="s">
        <v>652</v>
      </c>
      <c r="N30" t="s">
        <v>643</v>
      </c>
      <c r="O30" t="s">
        <v>791</v>
      </c>
      <c r="P30" t="s">
        <v>612</v>
      </c>
      <c r="Q30">
        <v>1</v>
      </c>
      <c r="R30" t="s">
        <v>480</v>
      </c>
      <c r="W30" t="s">
        <v>424</v>
      </c>
      <c r="X30" t="s">
        <v>421</v>
      </c>
      <c r="Y30" t="s">
        <v>427</v>
      </c>
      <c r="Z30" t="s">
        <v>428</v>
      </c>
      <c r="AA30" t="s">
        <v>411</v>
      </c>
      <c r="AB30" t="s">
        <v>391</v>
      </c>
      <c r="AD30" t="s">
        <v>401</v>
      </c>
      <c r="AE30" t="s">
        <v>429</v>
      </c>
      <c r="AF30" t="s">
        <v>392</v>
      </c>
      <c r="AG30" t="s">
        <v>393</v>
      </c>
      <c r="AH30">
        <v>60</v>
      </c>
      <c r="AJ30" t="s">
        <v>425</v>
      </c>
      <c r="AN30">
        <v>800</v>
      </c>
      <c r="AO30">
        <v>800</v>
      </c>
      <c r="AP30">
        <v>800</v>
      </c>
      <c r="AQ30">
        <v>800</v>
      </c>
      <c r="AR30">
        <v>800</v>
      </c>
      <c r="AS30">
        <v>800</v>
      </c>
      <c r="AU30">
        <v>4800</v>
      </c>
      <c r="AV30">
        <f t="shared" si="0"/>
        <v>80</v>
      </c>
    </row>
    <row r="31" spans="1:48" x14ac:dyDescent="0.3">
      <c r="A31" t="s">
        <v>725</v>
      </c>
      <c r="B31" t="s">
        <v>870</v>
      </c>
      <c r="C31" t="s">
        <v>478</v>
      </c>
      <c r="D31" t="s">
        <v>612</v>
      </c>
      <c r="E31" t="s">
        <v>493</v>
      </c>
      <c r="F31" t="s">
        <v>479</v>
      </c>
      <c r="G31" t="s">
        <v>394</v>
      </c>
      <c r="H31" t="s">
        <v>391</v>
      </c>
      <c r="I31" t="s">
        <v>480</v>
      </c>
      <c r="J31" t="s">
        <v>494</v>
      </c>
      <c r="K31" t="s">
        <v>493</v>
      </c>
      <c r="L31" t="s">
        <v>626</v>
      </c>
      <c r="M31" t="s">
        <v>652</v>
      </c>
      <c r="N31" t="s">
        <v>643</v>
      </c>
      <c r="O31" t="s">
        <v>811</v>
      </c>
      <c r="P31" t="s">
        <v>612</v>
      </c>
      <c r="Q31">
        <v>1</v>
      </c>
      <c r="R31" t="s">
        <v>480</v>
      </c>
      <c r="W31" t="s">
        <v>424</v>
      </c>
      <c r="X31" t="s">
        <v>421</v>
      </c>
      <c r="Y31" t="s">
        <v>427</v>
      </c>
      <c r="Z31" t="s">
        <v>428</v>
      </c>
      <c r="AA31" t="s">
        <v>411</v>
      </c>
      <c r="AB31" t="s">
        <v>391</v>
      </c>
      <c r="AD31" t="s">
        <v>401</v>
      </c>
      <c r="AE31" t="s">
        <v>429</v>
      </c>
      <c r="AF31" t="s">
        <v>392</v>
      </c>
      <c r="AG31" t="s">
        <v>393</v>
      </c>
      <c r="AH31">
        <v>0</v>
      </c>
      <c r="AJ31" t="s">
        <v>426</v>
      </c>
      <c r="AN31" t="s">
        <v>420</v>
      </c>
      <c r="AO31" t="s">
        <v>420</v>
      </c>
      <c r="AP31" t="s">
        <v>420</v>
      </c>
      <c r="AQ31" t="s">
        <v>420</v>
      </c>
      <c r="AR31" t="s">
        <v>420</v>
      </c>
      <c r="AS31" t="s">
        <v>420</v>
      </c>
      <c r="AU31">
        <v>0</v>
      </c>
      <c r="AV31" t="e">
        <f t="shared" si="0"/>
        <v>#DIV/0!</v>
      </c>
    </row>
    <row r="32" spans="1:48" x14ac:dyDescent="0.3">
      <c r="A32" t="s">
        <v>725</v>
      </c>
      <c r="B32" t="s">
        <v>870</v>
      </c>
      <c r="C32" t="s">
        <v>478</v>
      </c>
      <c r="D32" t="s">
        <v>612</v>
      </c>
      <c r="E32" t="s">
        <v>493</v>
      </c>
      <c r="F32" t="s">
        <v>479</v>
      </c>
      <c r="G32" t="s">
        <v>394</v>
      </c>
      <c r="H32" t="s">
        <v>391</v>
      </c>
      <c r="I32" t="s">
        <v>480</v>
      </c>
      <c r="J32" t="s">
        <v>494</v>
      </c>
      <c r="K32" t="s">
        <v>493</v>
      </c>
      <c r="L32" t="s">
        <v>626</v>
      </c>
      <c r="M32" t="s">
        <v>652</v>
      </c>
      <c r="N32" t="s">
        <v>643</v>
      </c>
      <c r="O32" t="s">
        <v>817</v>
      </c>
      <c r="P32" t="s">
        <v>612</v>
      </c>
      <c r="Q32">
        <v>1</v>
      </c>
      <c r="R32" t="s">
        <v>480</v>
      </c>
      <c r="U32" s="25" t="s">
        <v>395</v>
      </c>
      <c r="V32" s="25" t="s">
        <v>389</v>
      </c>
      <c r="W32" s="25" t="s">
        <v>396</v>
      </c>
      <c r="X32" s="25" t="s">
        <v>472</v>
      </c>
      <c r="Y32" s="25" t="s">
        <v>397</v>
      </c>
      <c r="Z32" s="25">
        <v>1</v>
      </c>
      <c r="AA32" s="25" t="s">
        <v>390</v>
      </c>
      <c r="AB32" s="25" t="s">
        <v>391</v>
      </c>
      <c r="AC32" s="25" t="s">
        <v>473</v>
      </c>
      <c r="AD32" s="25" t="s">
        <v>398</v>
      </c>
      <c r="AE32" s="25" t="s">
        <v>397</v>
      </c>
      <c r="AF32" s="25" t="s">
        <v>392</v>
      </c>
      <c r="AG32" s="25" t="s">
        <v>399</v>
      </c>
      <c r="AH32" s="25"/>
      <c r="AI32" s="25">
        <v>85</v>
      </c>
      <c r="AJ32" s="25" t="s">
        <v>474</v>
      </c>
      <c r="AK32" s="25"/>
      <c r="AL32" s="25"/>
      <c r="AM32" s="25">
        <v>1050</v>
      </c>
      <c r="AN32" s="25">
        <v>1400</v>
      </c>
      <c r="AO32" s="25">
        <v>1750</v>
      </c>
      <c r="AP32" s="25">
        <v>1750</v>
      </c>
      <c r="AQ32" s="25"/>
      <c r="AR32" s="25"/>
      <c r="AS32" s="25"/>
      <c r="AT32" s="25"/>
      <c r="AU32" s="25">
        <v>5950</v>
      </c>
      <c r="AV32">
        <f t="shared" si="0"/>
        <v>70</v>
      </c>
    </row>
    <row r="33" spans="1:48" x14ac:dyDescent="0.3">
      <c r="A33" t="s">
        <v>725</v>
      </c>
      <c r="B33" t="s">
        <v>870</v>
      </c>
      <c r="C33" t="s">
        <v>478</v>
      </c>
      <c r="D33" t="s">
        <v>612</v>
      </c>
      <c r="E33" t="s">
        <v>493</v>
      </c>
      <c r="F33" t="s">
        <v>479</v>
      </c>
      <c r="G33" t="s">
        <v>394</v>
      </c>
      <c r="H33" t="s">
        <v>391</v>
      </c>
      <c r="I33" t="s">
        <v>480</v>
      </c>
      <c r="J33" t="s">
        <v>494</v>
      </c>
      <c r="K33" t="s">
        <v>493</v>
      </c>
      <c r="L33" t="s">
        <v>626</v>
      </c>
      <c r="M33" t="s">
        <v>652</v>
      </c>
      <c r="N33" t="s">
        <v>643</v>
      </c>
      <c r="O33" t="s">
        <v>823</v>
      </c>
      <c r="P33" t="s">
        <v>612</v>
      </c>
      <c r="Q33">
        <v>1</v>
      </c>
      <c r="R33" t="s">
        <v>480</v>
      </c>
      <c r="U33" s="25"/>
      <c r="V33" s="25"/>
      <c r="W33" s="25" t="s">
        <v>396</v>
      </c>
      <c r="X33" s="25" t="s">
        <v>472</v>
      </c>
      <c r="Y33" s="25" t="s">
        <v>397</v>
      </c>
      <c r="Z33" s="25">
        <v>1</v>
      </c>
      <c r="AA33" s="25" t="s">
        <v>390</v>
      </c>
      <c r="AB33" s="25" t="s">
        <v>419</v>
      </c>
      <c r="AC33" s="25" t="s">
        <v>473</v>
      </c>
      <c r="AD33" s="25" t="s">
        <v>398</v>
      </c>
      <c r="AE33" s="25" t="s">
        <v>397</v>
      </c>
      <c r="AF33" s="25" t="s">
        <v>392</v>
      </c>
      <c r="AG33" s="25" t="s">
        <v>399</v>
      </c>
      <c r="AH33" s="25"/>
      <c r="AI33" s="25">
        <v>0</v>
      </c>
      <c r="AJ33" s="25" t="s">
        <v>474</v>
      </c>
      <c r="AK33" s="25"/>
      <c r="AL33" s="25" t="s">
        <v>420</v>
      </c>
      <c r="AM33" s="25" t="s">
        <v>420</v>
      </c>
      <c r="AN33" s="25" t="s">
        <v>420</v>
      </c>
      <c r="AO33" s="25"/>
      <c r="AP33" s="25"/>
      <c r="AQ33" s="25"/>
      <c r="AR33" s="25"/>
      <c r="AS33" s="25"/>
      <c r="AT33" s="25"/>
      <c r="AU33" s="25">
        <v>0</v>
      </c>
      <c r="AV33" t="e">
        <f t="shared" si="0"/>
        <v>#DIV/0!</v>
      </c>
    </row>
    <row r="34" spans="1:48" x14ac:dyDescent="0.3">
      <c r="A34" t="s">
        <v>725</v>
      </c>
      <c r="B34" t="s">
        <v>871</v>
      </c>
      <c r="C34" t="s">
        <v>478</v>
      </c>
      <c r="D34" t="s">
        <v>612</v>
      </c>
      <c r="E34" t="s">
        <v>493</v>
      </c>
      <c r="F34" t="s">
        <v>479</v>
      </c>
      <c r="G34" t="s">
        <v>394</v>
      </c>
      <c r="H34" t="s">
        <v>391</v>
      </c>
      <c r="I34" t="s">
        <v>480</v>
      </c>
      <c r="J34" t="s">
        <v>494</v>
      </c>
      <c r="K34" t="s">
        <v>493</v>
      </c>
      <c r="L34" t="s">
        <v>626</v>
      </c>
      <c r="M34" t="s">
        <v>652</v>
      </c>
      <c r="N34" t="s">
        <v>643</v>
      </c>
      <c r="O34" t="s">
        <v>825</v>
      </c>
      <c r="P34" t="s">
        <v>612</v>
      </c>
      <c r="Q34">
        <v>1</v>
      </c>
      <c r="R34" t="s">
        <v>480</v>
      </c>
      <c r="U34" t="s">
        <v>395</v>
      </c>
      <c r="V34" t="s">
        <v>389</v>
      </c>
      <c r="W34" t="s">
        <v>396</v>
      </c>
      <c r="X34" t="s">
        <v>421</v>
      </c>
      <c r="Y34" t="s">
        <v>397</v>
      </c>
      <c r="Z34">
        <v>1</v>
      </c>
      <c r="AA34" t="s">
        <v>390</v>
      </c>
      <c r="AB34" t="s">
        <v>391</v>
      </c>
      <c r="AC34" t="s">
        <v>430</v>
      </c>
      <c r="AD34" t="s">
        <v>398</v>
      </c>
      <c r="AE34" t="s">
        <v>397</v>
      </c>
      <c r="AF34" t="s">
        <v>445</v>
      </c>
      <c r="AG34" t="s">
        <v>399</v>
      </c>
      <c r="AI34">
        <v>14</v>
      </c>
      <c r="AJ34" t="s">
        <v>423</v>
      </c>
      <c r="AK34">
        <v>70</v>
      </c>
      <c r="AL34">
        <v>140</v>
      </c>
      <c r="AM34">
        <v>210</v>
      </c>
      <c r="AN34">
        <v>280</v>
      </c>
      <c r="AO34">
        <v>280</v>
      </c>
      <c r="AU34">
        <v>980</v>
      </c>
      <c r="AV34">
        <f t="shared" si="0"/>
        <v>70</v>
      </c>
    </row>
    <row r="35" spans="1:48" x14ac:dyDescent="0.3">
      <c r="A35" t="s">
        <v>725</v>
      </c>
      <c r="B35" t="s">
        <v>871</v>
      </c>
      <c r="C35" t="s">
        <v>478</v>
      </c>
      <c r="D35" t="s">
        <v>612</v>
      </c>
      <c r="E35" t="s">
        <v>493</v>
      </c>
      <c r="F35" t="s">
        <v>479</v>
      </c>
      <c r="G35" t="s">
        <v>394</v>
      </c>
      <c r="H35" t="s">
        <v>391</v>
      </c>
      <c r="I35" t="s">
        <v>480</v>
      </c>
      <c r="J35" t="s">
        <v>494</v>
      </c>
      <c r="K35" t="s">
        <v>493</v>
      </c>
      <c r="L35" t="s">
        <v>626</v>
      </c>
      <c r="M35" t="s">
        <v>652</v>
      </c>
      <c r="N35" t="s">
        <v>643</v>
      </c>
      <c r="O35" t="s">
        <v>827</v>
      </c>
      <c r="P35" t="s">
        <v>612</v>
      </c>
      <c r="Q35">
        <v>1</v>
      </c>
      <c r="R35" t="s">
        <v>480</v>
      </c>
      <c r="W35" t="s">
        <v>396</v>
      </c>
      <c r="X35" t="s">
        <v>421</v>
      </c>
      <c r="Y35" t="s">
        <v>397</v>
      </c>
      <c r="Z35">
        <v>2</v>
      </c>
      <c r="AA35" t="s">
        <v>390</v>
      </c>
      <c r="AB35" t="s">
        <v>391</v>
      </c>
      <c r="AC35" t="s">
        <v>430</v>
      </c>
      <c r="AD35" t="s">
        <v>398</v>
      </c>
      <c r="AE35" t="s">
        <v>397</v>
      </c>
      <c r="AF35" t="s">
        <v>445</v>
      </c>
      <c r="AG35" t="s">
        <v>399</v>
      </c>
      <c r="AI35">
        <v>6</v>
      </c>
      <c r="AJ35" t="s">
        <v>423</v>
      </c>
      <c r="AK35">
        <v>70</v>
      </c>
      <c r="AL35">
        <v>70</v>
      </c>
      <c r="AM35">
        <v>70</v>
      </c>
      <c r="AN35">
        <v>70</v>
      </c>
      <c r="AO35">
        <v>140</v>
      </c>
      <c r="AU35">
        <v>420</v>
      </c>
      <c r="AV35">
        <f t="shared" si="0"/>
        <v>70</v>
      </c>
    </row>
    <row r="36" spans="1:48" x14ac:dyDescent="0.3">
      <c r="A36" t="s">
        <v>725</v>
      </c>
      <c r="B36" t="s">
        <v>871</v>
      </c>
      <c r="C36" t="s">
        <v>478</v>
      </c>
      <c r="D36" t="s">
        <v>612</v>
      </c>
      <c r="E36" t="s">
        <v>493</v>
      </c>
      <c r="F36" t="s">
        <v>479</v>
      </c>
      <c r="G36" t="s">
        <v>394</v>
      </c>
      <c r="H36" t="s">
        <v>391</v>
      </c>
      <c r="I36" t="s">
        <v>480</v>
      </c>
      <c r="J36" t="s">
        <v>494</v>
      </c>
      <c r="K36" t="s">
        <v>493</v>
      </c>
      <c r="L36" t="s">
        <v>626</v>
      </c>
      <c r="M36" t="s">
        <v>652</v>
      </c>
      <c r="N36" t="s">
        <v>643</v>
      </c>
      <c r="O36" t="s">
        <v>839</v>
      </c>
      <c r="P36" t="s">
        <v>612</v>
      </c>
      <c r="Q36">
        <v>1</v>
      </c>
      <c r="R36" t="s">
        <v>480</v>
      </c>
      <c r="W36" t="s">
        <v>396</v>
      </c>
      <c r="X36" t="s">
        <v>421</v>
      </c>
      <c r="Y36" t="s">
        <v>397</v>
      </c>
      <c r="Z36">
        <v>1</v>
      </c>
      <c r="AA36" t="s">
        <v>390</v>
      </c>
      <c r="AB36" t="s">
        <v>391</v>
      </c>
      <c r="AC36" t="s">
        <v>460</v>
      </c>
      <c r="AD36" t="s">
        <v>398</v>
      </c>
      <c r="AE36" t="s">
        <v>397</v>
      </c>
      <c r="AF36" t="s">
        <v>445</v>
      </c>
      <c r="AG36" t="s">
        <v>399</v>
      </c>
      <c r="AI36">
        <v>14</v>
      </c>
      <c r="AJ36" t="s">
        <v>423</v>
      </c>
      <c r="AK36">
        <v>70</v>
      </c>
      <c r="AL36">
        <v>140</v>
      </c>
      <c r="AM36">
        <v>210</v>
      </c>
      <c r="AN36">
        <v>280</v>
      </c>
      <c r="AO36">
        <v>280</v>
      </c>
      <c r="AU36">
        <v>980</v>
      </c>
      <c r="AV36">
        <f t="shared" si="0"/>
        <v>70</v>
      </c>
    </row>
    <row r="37" spans="1:48" x14ac:dyDescent="0.3">
      <c r="A37" t="s">
        <v>841</v>
      </c>
      <c r="B37" t="s">
        <v>871</v>
      </c>
      <c r="C37" t="s">
        <v>478</v>
      </c>
      <c r="D37" t="s">
        <v>612</v>
      </c>
      <c r="E37" t="s">
        <v>493</v>
      </c>
      <c r="F37" t="s">
        <v>479</v>
      </c>
      <c r="G37" t="s">
        <v>394</v>
      </c>
      <c r="H37" t="s">
        <v>391</v>
      </c>
      <c r="I37" t="s">
        <v>480</v>
      </c>
      <c r="J37" t="s">
        <v>494</v>
      </c>
      <c r="K37" t="s">
        <v>493</v>
      </c>
      <c r="L37" t="s">
        <v>626</v>
      </c>
      <c r="M37" t="s">
        <v>652</v>
      </c>
      <c r="N37" t="s">
        <v>643</v>
      </c>
      <c r="O37" t="s">
        <v>842</v>
      </c>
      <c r="P37" t="s">
        <v>612</v>
      </c>
      <c r="Q37">
        <v>1</v>
      </c>
      <c r="R37" t="s">
        <v>480</v>
      </c>
      <c r="W37" t="s">
        <v>396</v>
      </c>
      <c r="X37" t="s">
        <v>421</v>
      </c>
      <c r="Y37" t="s">
        <v>397</v>
      </c>
      <c r="Z37">
        <v>2</v>
      </c>
      <c r="AA37" t="s">
        <v>390</v>
      </c>
      <c r="AB37" t="s">
        <v>391</v>
      </c>
      <c r="AC37" t="s">
        <v>460</v>
      </c>
      <c r="AD37" t="s">
        <v>398</v>
      </c>
      <c r="AE37" t="s">
        <v>397</v>
      </c>
      <c r="AF37" t="s">
        <v>445</v>
      </c>
      <c r="AG37" t="s">
        <v>399</v>
      </c>
      <c r="AI37">
        <v>6</v>
      </c>
      <c r="AJ37" t="s">
        <v>423</v>
      </c>
      <c r="AK37">
        <v>70</v>
      </c>
      <c r="AL37">
        <v>70</v>
      </c>
      <c r="AM37">
        <v>70</v>
      </c>
      <c r="AN37">
        <v>70</v>
      </c>
      <c r="AO37">
        <v>140</v>
      </c>
      <c r="AU37">
        <v>420</v>
      </c>
      <c r="AV37">
        <f t="shared" si="0"/>
        <v>70</v>
      </c>
    </row>
    <row r="38" spans="1:48" x14ac:dyDescent="0.3">
      <c r="A38" t="s">
        <v>841</v>
      </c>
      <c r="B38" t="s">
        <v>871</v>
      </c>
      <c r="C38" t="s">
        <v>478</v>
      </c>
      <c r="D38" t="s">
        <v>612</v>
      </c>
      <c r="E38" t="s">
        <v>493</v>
      </c>
      <c r="F38" t="s">
        <v>479</v>
      </c>
      <c r="G38" t="s">
        <v>394</v>
      </c>
      <c r="H38" t="s">
        <v>391</v>
      </c>
      <c r="I38" t="s">
        <v>480</v>
      </c>
      <c r="J38" t="s">
        <v>494</v>
      </c>
      <c r="K38" t="s">
        <v>493</v>
      </c>
      <c r="L38" t="s">
        <v>626</v>
      </c>
      <c r="M38" t="s">
        <v>652</v>
      </c>
      <c r="N38" t="s">
        <v>643</v>
      </c>
      <c r="O38" t="s">
        <v>843</v>
      </c>
      <c r="P38" t="s">
        <v>612</v>
      </c>
      <c r="Q38">
        <v>1</v>
      </c>
      <c r="R38" t="s">
        <v>480</v>
      </c>
      <c r="U38" t="s">
        <v>461</v>
      </c>
      <c r="V38" t="s">
        <v>447</v>
      </c>
      <c r="W38" t="s">
        <v>424</v>
      </c>
      <c r="X38" t="s">
        <v>421</v>
      </c>
      <c r="Y38" t="s">
        <v>462</v>
      </c>
      <c r="Z38">
        <v>1</v>
      </c>
      <c r="AA38" t="s">
        <v>394</v>
      </c>
      <c r="AB38" t="s">
        <v>391</v>
      </c>
      <c r="AD38" t="s">
        <v>463</v>
      </c>
      <c r="AE38" t="s">
        <v>462</v>
      </c>
      <c r="AF38" t="s">
        <v>464</v>
      </c>
      <c r="AG38" t="s">
        <v>393</v>
      </c>
      <c r="AH38">
        <v>20</v>
      </c>
      <c r="AJ38" t="s">
        <v>465</v>
      </c>
      <c r="AR38">
        <v>160</v>
      </c>
      <c r="AS38">
        <v>960</v>
      </c>
      <c r="AT38">
        <v>480</v>
      </c>
      <c r="AU38">
        <v>1600</v>
      </c>
      <c r="AV38">
        <f>AU38/(AH38+AI38)</f>
        <v>80</v>
      </c>
    </row>
    <row r="39" spans="1:48" x14ac:dyDescent="0.3">
      <c r="A39" t="s">
        <v>841</v>
      </c>
      <c r="B39" t="s">
        <v>871</v>
      </c>
      <c r="C39" t="s">
        <v>478</v>
      </c>
      <c r="D39" t="s">
        <v>612</v>
      </c>
      <c r="E39" t="s">
        <v>493</v>
      </c>
      <c r="F39" t="s">
        <v>479</v>
      </c>
      <c r="G39" t="s">
        <v>394</v>
      </c>
      <c r="H39" t="s">
        <v>391</v>
      </c>
      <c r="I39" t="s">
        <v>480</v>
      </c>
      <c r="J39" t="s">
        <v>494</v>
      </c>
      <c r="K39" t="s">
        <v>493</v>
      </c>
      <c r="L39" t="s">
        <v>626</v>
      </c>
      <c r="M39" t="s">
        <v>652</v>
      </c>
      <c r="N39" t="s">
        <v>643</v>
      </c>
      <c r="O39" t="s">
        <v>844</v>
      </c>
      <c r="P39" t="s">
        <v>612</v>
      </c>
      <c r="Q39">
        <v>1</v>
      </c>
      <c r="R39" t="s">
        <v>480</v>
      </c>
    </row>
    <row r="40" spans="1:48" x14ac:dyDescent="0.3">
      <c r="A40" t="s">
        <v>841</v>
      </c>
      <c r="B40" t="s">
        <v>871</v>
      </c>
      <c r="C40" t="s">
        <v>478</v>
      </c>
      <c r="D40" t="s">
        <v>612</v>
      </c>
      <c r="E40" t="s">
        <v>493</v>
      </c>
      <c r="F40" t="s">
        <v>479</v>
      </c>
      <c r="G40" t="s">
        <v>394</v>
      </c>
      <c r="H40" t="s">
        <v>391</v>
      </c>
      <c r="I40" t="s">
        <v>480</v>
      </c>
      <c r="J40" t="s">
        <v>494</v>
      </c>
      <c r="K40" t="s">
        <v>493</v>
      </c>
      <c r="L40" t="s">
        <v>626</v>
      </c>
      <c r="M40" t="s">
        <v>652</v>
      </c>
      <c r="N40" t="s">
        <v>643</v>
      </c>
      <c r="O40" t="s">
        <v>846</v>
      </c>
      <c r="P40" t="s">
        <v>612</v>
      </c>
      <c r="Q40">
        <v>1</v>
      </c>
      <c r="R40" t="s">
        <v>480</v>
      </c>
    </row>
    <row r="41" spans="1:48" x14ac:dyDescent="0.3">
      <c r="A41" t="s">
        <v>841</v>
      </c>
      <c r="B41" t="s">
        <v>871</v>
      </c>
      <c r="C41" t="s">
        <v>478</v>
      </c>
      <c r="D41" t="s">
        <v>612</v>
      </c>
      <c r="E41" t="s">
        <v>493</v>
      </c>
      <c r="F41" t="s">
        <v>479</v>
      </c>
      <c r="G41" t="s">
        <v>394</v>
      </c>
      <c r="H41" t="s">
        <v>391</v>
      </c>
      <c r="I41" t="s">
        <v>480</v>
      </c>
      <c r="J41" t="s">
        <v>494</v>
      </c>
      <c r="K41" t="s">
        <v>493</v>
      </c>
      <c r="L41" t="s">
        <v>626</v>
      </c>
      <c r="M41" t="s">
        <v>652</v>
      </c>
      <c r="N41" t="s">
        <v>643</v>
      </c>
      <c r="O41" t="s">
        <v>847</v>
      </c>
      <c r="P41" t="s">
        <v>612</v>
      </c>
      <c r="Q41">
        <v>1</v>
      </c>
      <c r="R41" t="s">
        <v>480</v>
      </c>
    </row>
    <row r="42" spans="1:48" x14ac:dyDescent="0.3">
      <c r="A42" t="s">
        <v>841</v>
      </c>
      <c r="B42" t="s">
        <v>872</v>
      </c>
      <c r="C42" t="s">
        <v>478</v>
      </c>
      <c r="D42" t="s">
        <v>612</v>
      </c>
      <c r="E42" t="s">
        <v>493</v>
      </c>
      <c r="F42" t="s">
        <v>479</v>
      </c>
      <c r="G42" t="s">
        <v>394</v>
      </c>
      <c r="H42" t="s">
        <v>391</v>
      </c>
      <c r="I42" t="s">
        <v>480</v>
      </c>
      <c r="J42" t="s">
        <v>494</v>
      </c>
      <c r="K42" t="s">
        <v>493</v>
      </c>
      <c r="L42" t="s">
        <v>626</v>
      </c>
      <c r="M42" t="s">
        <v>652</v>
      </c>
      <c r="N42" t="s">
        <v>643</v>
      </c>
      <c r="O42" t="s">
        <v>848</v>
      </c>
      <c r="P42" t="s">
        <v>612</v>
      </c>
      <c r="Q42">
        <v>1</v>
      </c>
      <c r="R42" t="s">
        <v>480</v>
      </c>
    </row>
    <row r="43" spans="1:48" x14ac:dyDescent="0.3">
      <c r="A43" t="s">
        <v>841</v>
      </c>
      <c r="B43" t="s">
        <v>872</v>
      </c>
      <c r="C43" t="s">
        <v>478</v>
      </c>
      <c r="D43" t="s">
        <v>612</v>
      </c>
      <c r="E43" t="s">
        <v>493</v>
      </c>
      <c r="F43" t="s">
        <v>479</v>
      </c>
      <c r="G43" t="s">
        <v>394</v>
      </c>
      <c r="H43" t="s">
        <v>391</v>
      </c>
      <c r="I43" t="s">
        <v>480</v>
      </c>
      <c r="J43" t="s">
        <v>494</v>
      </c>
      <c r="K43" t="s">
        <v>493</v>
      </c>
      <c r="L43" t="s">
        <v>626</v>
      </c>
      <c r="M43" t="s">
        <v>652</v>
      </c>
      <c r="N43" t="s">
        <v>643</v>
      </c>
      <c r="O43" t="s">
        <v>860</v>
      </c>
      <c r="P43" t="s">
        <v>612</v>
      </c>
      <c r="Q43">
        <v>1</v>
      </c>
      <c r="R43" t="s">
        <v>480</v>
      </c>
    </row>
    <row r="44" spans="1:48" x14ac:dyDescent="0.3">
      <c r="A44" t="s">
        <v>841</v>
      </c>
      <c r="B44" t="s">
        <v>872</v>
      </c>
      <c r="C44" t="s">
        <v>478</v>
      </c>
      <c r="D44" t="s">
        <v>612</v>
      </c>
      <c r="E44" t="s">
        <v>493</v>
      </c>
      <c r="F44" t="s">
        <v>479</v>
      </c>
      <c r="G44" t="s">
        <v>394</v>
      </c>
      <c r="H44" t="s">
        <v>391</v>
      </c>
      <c r="I44" t="s">
        <v>480</v>
      </c>
      <c r="J44" t="s">
        <v>494</v>
      </c>
      <c r="K44" t="s">
        <v>493</v>
      </c>
      <c r="L44" t="s">
        <v>626</v>
      </c>
      <c r="M44" t="s">
        <v>652</v>
      </c>
      <c r="N44" t="s">
        <v>643</v>
      </c>
      <c r="O44" t="s">
        <v>861</v>
      </c>
      <c r="P44" t="s">
        <v>612</v>
      </c>
      <c r="Q44">
        <v>1</v>
      </c>
      <c r="R44" t="s">
        <v>480</v>
      </c>
    </row>
    <row r="45" spans="1:48" x14ac:dyDescent="0.3">
      <c r="A45" t="s">
        <v>841</v>
      </c>
      <c r="B45" t="s">
        <v>872</v>
      </c>
      <c r="C45" t="s">
        <v>478</v>
      </c>
      <c r="D45" t="s">
        <v>612</v>
      </c>
      <c r="E45" t="s">
        <v>493</v>
      </c>
      <c r="F45" t="s">
        <v>479</v>
      </c>
      <c r="G45" t="s">
        <v>394</v>
      </c>
      <c r="H45" t="s">
        <v>391</v>
      </c>
      <c r="I45" t="s">
        <v>480</v>
      </c>
      <c r="J45" t="s">
        <v>494</v>
      </c>
      <c r="K45" t="s">
        <v>493</v>
      </c>
      <c r="L45" t="s">
        <v>626</v>
      </c>
      <c r="M45" t="s">
        <v>652</v>
      </c>
      <c r="N45" t="s">
        <v>643</v>
      </c>
      <c r="O45" t="s">
        <v>863</v>
      </c>
      <c r="P45" t="s">
        <v>612</v>
      </c>
      <c r="Q45">
        <v>1</v>
      </c>
      <c r="R45" t="s">
        <v>480</v>
      </c>
    </row>
    <row r="46" spans="1:48" x14ac:dyDescent="0.3">
      <c r="A46" t="s">
        <v>841</v>
      </c>
      <c r="B46" t="s">
        <v>872</v>
      </c>
      <c r="C46" t="s">
        <v>478</v>
      </c>
      <c r="D46" t="s">
        <v>612</v>
      </c>
      <c r="E46" t="s">
        <v>493</v>
      </c>
      <c r="F46" t="s">
        <v>479</v>
      </c>
      <c r="G46" t="s">
        <v>394</v>
      </c>
      <c r="H46" t="s">
        <v>391</v>
      </c>
      <c r="I46" t="s">
        <v>480</v>
      </c>
      <c r="J46" t="s">
        <v>494</v>
      </c>
      <c r="K46" t="s">
        <v>493</v>
      </c>
      <c r="L46" t="s">
        <v>626</v>
      </c>
      <c r="M46" t="s">
        <v>652</v>
      </c>
      <c r="N46" t="s">
        <v>643</v>
      </c>
      <c r="O46" t="s">
        <v>864</v>
      </c>
      <c r="P46" t="s">
        <v>612</v>
      </c>
      <c r="Q46">
        <v>1</v>
      </c>
      <c r="R46" t="s">
        <v>480</v>
      </c>
    </row>
    <row r="47" spans="1:48" x14ac:dyDescent="0.3">
      <c r="A47" t="s">
        <v>841</v>
      </c>
      <c r="B47" t="s">
        <v>872</v>
      </c>
      <c r="C47" t="s">
        <v>478</v>
      </c>
      <c r="D47" t="s">
        <v>612</v>
      </c>
      <c r="E47" t="s">
        <v>493</v>
      </c>
      <c r="F47" t="s">
        <v>479</v>
      </c>
      <c r="G47" t="s">
        <v>394</v>
      </c>
      <c r="H47" t="s">
        <v>391</v>
      </c>
      <c r="I47" t="s">
        <v>480</v>
      </c>
      <c r="J47" t="s">
        <v>494</v>
      </c>
      <c r="K47" t="s">
        <v>493</v>
      </c>
      <c r="L47" t="s">
        <v>626</v>
      </c>
      <c r="M47" t="s">
        <v>652</v>
      </c>
      <c r="N47" t="s">
        <v>643</v>
      </c>
      <c r="O47" t="s">
        <v>873</v>
      </c>
      <c r="P47" t="s">
        <v>612</v>
      </c>
      <c r="Q47">
        <v>1</v>
      </c>
      <c r="R47" t="s">
        <v>480</v>
      </c>
    </row>
    <row r="48" spans="1:48" x14ac:dyDescent="0.3">
      <c r="A48" t="s">
        <v>841</v>
      </c>
      <c r="B48" t="s">
        <v>872</v>
      </c>
      <c r="C48" t="s">
        <v>478</v>
      </c>
      <c r="D48" t="s">
        <v>612</v>
      </c>
      <c r="E48" t="s">
        <v>493</v>
      </c>
      <c r="F48" t="s">
        <v>479</v>
      </c>
      <c r="G48" t="s">
        <v>394</v>
      </c>
      <c r="H48" t="s">
        <v>391</v>
      </c>
      <c r="I48" t="s">
        <v>480</v>
      </c>
      <c r="J48" t="s">
        <v>494</v>
      </c>
      <c r="K48" t="s">
        <v>493</v>
      </c>
      <c r="L48" t="s">
        <v>626</v>
      </c>
      <c r="M48" t="s">
        <v>652</v>
      </c>
      <c r="N48" t="s">
        <v>643</v>
      </c>
      <c r="O48" t="s">
        <v>874</v>
      </c>
      <c r="P48" t="s">
        <v>612</v>
      </c>
      <c r="Q48">
        <v>1</v>
      </c>
      <c r="R48" t="s">
        <v>480</v>
      </c>
    </row>
    <row r="49" spans="1:18" x14ac:dyDescent="0.3">
      <c r="A49" t="s">
        <v>841</v>
      </c>
      <c r="B49" t="s">
        <v>872</v>
      </c>
      <c r="C49" t="s">
        <v>478</v>
      </c>
      <c r="D49" t="s">
        <v>612</v>
      </c>
      <c r="E49" t="s">
        <v>493</v>
      </c>
      <c r="F49" t="s">
        <v>479</v>
      </c>
      <c r="G49" t="s">
        <v>394</v>
      </c>
      <c r="H49" t="s">
        <v>391</v>
      </c>
      <c r="I49" t="s">
        <v>480</v>
      </c>
      <c r="J49" t="s">
        <v>494</v>
      </c>
      <c r="K49" t="s">
        <v>493</v>
      </c>
      <c r="L49" t="s">
        <v>626</v>
      </c>
      <c r="M49" t="s">
        <v>652</v>
      </c>
      <c r="N49" t="s">
        <v>643</v>
      </c>
      <c r="O49" t="s">
        <v>875</v>
      </c>
      <c r="P49" t="s">
        <v>612</v>
      </c>
      <c r="Q49">
        <v>1</v>
      </c>
      <c r="R49" t="s">
        <v>480</v>
      </c>
    </row>
    <row r="50" spans="1:18" x14ac:dyDescent="0.3">
      <c r="A50" t="s">
        <v>841</v>
      </c>
      <c r="B50" t="s">
        <v>872</v>
      </c>
      <c r="C50" t="s">
        <v>478</v>
      </c>
      <c r="D50" t="s">
        <v>612</v>
      </c>
      <c r="E50" t="s">
        <v>493</v>
      </c>
      <c r="F50" t="s">
        <v>479</v>
      </c>
      <c r="G50" t="s">
        <v>394</v>
      </c>
      <c r="H50" t="s">
        <v>391</v>
      </c>
      <c r="I50" t="s">
        <v>480</v>
      </c>
      <c r="J50" t="s">
        <v>494</v>
      </c>
      <c r="K50" t="s">
        <v>493</v>
      </c>
      <c r="L50" t="s">
        <v>626</v>
      </c>
      <c r="M50" t="s">
        <v>652</v>
      </c>
      <c r="N50" t="s">
        <v>643</v>
      </c>
      <c r="O50" t="s">
        <v>876</v>
      </c>
      <c r="P50" t="s">
        <v>612</v>
      </c>
      <c r="Q50">
        <v>1</v>
      </c>
      <c r="R50" t="s">
        <v>480</v>
      </c>
    </row>
    <row r="51" spans="1:18" x14ac:dyDescent="0.3">
      <c r="A51" t="s">
        <v>841</v>
      </c>
      <c r="B51" t="s">
        <v>917</v>
      </c>
      <c r="C51" t="s">
        <v>478</v>
      </c>
      <c r="D51" t="s">
        <v>612</v>
      </c>
      <c r="E51" t="s">
        <v>493</v>
      </c>
      <c r="F51" t="s">
        <v>479</v>
      </c>
      <c r="G51" t="s">
        <v>394</v>
      </c>
      <c r="H51" t="s">
        <v>391</v>
      </c>
      <c r="I51" t="s">
        <v>480</v>
      </c>
      <c r="J51" t="s">
        <v>494</v>
      </c>
      <c r="K51" t="s">
        <v>493</v>
      </c>
      <c r="L51" t="s">
        <v>626</v>
      </c>
      <c r="M51" t="s">
        <v>652</v>
      </c>
      <c r="N51" t="s">
        <v>643</v>
      </c>
      <c r="O51" t="s">
        <v>878</v>
      </c>
      <c r="P51" t="s">
        <v>612</v>
      </c>
      <c r="Q51">
        <v>0</v>
      </c>
      <c r="R51" t="s">
        <v>480</v>
      </c>
    </row>
    <row r="52" spans="1:18" x14ac:dyDescent="0.3">
      <c r="A52" t="s">
        <v>841</v>
      </c>
      <c r="B52" t="s">
        <v>917</v>
      </c>
      <c r="C52" t="s">
        <v>478</v>
      </c>
      <c r="D52" t="s">
        <v>612</v>
      </c>
      <c r="E52" t="s">
        <v>493</v>
      </c>
      <c r="F52" t="s">
        <v>479</v>
      </c>
      <c r="G52" t="s">
        <v>394</v>
      </c>
      <c r="H52" t="s">
        <v>391</v>
      </c>
      <c r="I52" t="s">
        <v>480</v>
      </c>
      <c r="J52" t="s">
        <v>494</v>
      </c>
      <c r="K52" t="s">
        <v>493</v>
      </c>
      <c r="L52" t="s">
        <v>626</v>
      </c>
      <c r="M52" t="s">
        <v>652</v>
      </c>
      <c r="N52" t="s">
        <v>643</v>
      </c>
      <c r="O52" t="s">
        <v>879</v>
      </c>
      <c r="P52" t="s">
        <v>612</v>
      </c>
      <c r="Q52">
        <v>0</v>
      </c>
      <c r="R52" t="s">
        <v>480</v>
      </c>
    </row>
    <row r="53" spans="1:18" x14ac:dyDescent="0.3">
      <c r="A53" t="s">
        <v>841</v>
      </c>
      <c r="B53" t="s">
        <v>917</v>
      </c>
      <c r="C53" t="s">
        <v>478</v>
      </c>
      <c r="D53" t="s">
        <v>612</v>
      </c>
      <c r="E53" t="s">
        <v>493</v>
      </c>
      <c r="F53" t="s">
        <v>479</v>
      </c>
      <c r="G53" t="s">
        <v>394</v>
      </c>
      <c r="H53" t="s">
        <v>391</v>
      </c>
      <c r="I53" t="s">
        <v>480</v>
      </c>
      <c r="J53" t="s">
        <v>494</v>
      </c>
      <c r="K53" t="s">
        <v>493</v>
      </c>
      <c r="L53" t="s">
        <v>626</v>
      </c>
      <c r="M53" t="s">
        <v>652</v>
      </c>
      <c r="N53" t="s">
        <v>643</v>
      </c>
      <c r="O53" t="s">
        <v>880</v>
      </c>
      <c r="P53" t="s">
        <v>612</v>
      </c>
      <c r="Q53">
        <v>0</v>
      </c>
      <c r="R53" t="s">
        <v>480</v>
      </c>
    </row>
    <row r="54" spans="1:18" x14ac:dyDescent="0.3">
      <c r="A54" t="s">
        <v>841</v>
      </c>
      <c r="B54" t="s">
        <v>917</v>
      </c>
      <c r="C54" t="s">
        <v>478</v>
      </c>
      <c r="D54" t="s">
        <v>612</v>
      </c>
      <c r="E54" t="s">
        <v>493</v>
      </c>
      <c r="F54" t="s">
        <v>479</v>
      </c>
      <c r="G54" t="s">
        <v>394</v>
      </c>
      <c r="H54" t="s">
        <v>391</v>
      </c>
      <c r="I54" t="s">
        <v>480</v>
      </c>
      <c r="J54" t="s">
        <v>494</v>
      </c>
      <c r="K54" t="s">
        <v>493</v>
      </c>
      <c r="L54" t="s">
        <v>626</v>
      </c>
      <c r="M54" t="s">
        <v>652</v>
      </c>
      <c r="N54" t="s">
        <v>643</v>
      </c>
      <c r="O54" t="s">
        <v>887</v>
      </c>
      <c r="P54" t="s">
        <v>612</v>
      </c>
      <c r="Q54">
        <v>0</v>
      </c>
      <c r="R54" t="s">
        <v>480</v>
      </c>
    </row>
    <row r="55" spans="1:18" x14ac:dyDescent="0.3">
      <c r="A55" t="s">
        <v>841</v>
      </c>
      <c r="B55" t="s">
        <v>917</v>
      </c>
      <c r="C55" t="s">
        <v>478</v>
      </c>
      <c r="D55" t="s">
        <v>612</v>
      </c>
      <c r="E55" t="s">
        <v>493</v>
      </c>
      <c r="F55" t="s">
        <v>479</v>
      </c>
      <c r="G55" t="s">
        <v>394</v>
      </c>
      <c r="H55" t="s">
        <v>391</v>
      </c>
      <c r="I55" t="s">
        <v>480</v>
      </c>
      <c r="J55" t="s">
        <v>494</v>
      </c>
      <c r="K55" t="s">
        <v>493</v>
      </c>
      <c r="L55" t="s">
        <v>626</v>
      </c>
      <c r="M55" t="s">
        <v>652</v>
      </c>
      <c r="N55" t="s">
        <v>643</v>
      </c>
      <c r="O55" t="s">
        <v>889</v>
      </c>
      <c r="P55" t="s">
        <v>612</v>
      </c>
      <c r="Q55">
        <v>0</v>
      </c>
      <c r="R55" t="s">
        <v>480</v>
      </c>
    </row>
    <row r="56" spans="1:18" x14ac:dyDescent="0.3">
      <c r="A56" t="s">
        <v>841</v>
      </c>
      <c r="B56" t="s">
        <v>917</v>
      </c>
      <c r="C56" t="s">
        <v>478</v>
      </c>
      <c r="D56" t="s">
        <v>612</v>
      </c>
      <c r="E56" t="s">
        <v>493</v>
      </c>
      <c r="F56" t="s">
        <v>479</v>
      </c>
      <c r="G56" t="s">
        <v>394</v>
      </c>
      <c r="H56" t="s">
        <v>391</v>
      </c>
      <c r="I56" t="s">
        <v>480</v>
      </c>
      <c r="J56" t="s">
        <v>494</v>
      </c>
      <c r="K56" t="s">
        <v>493</v>
      </c>
      <c r="L56" t="s">
        <v>626</v>
      </c>
      <c r="M56" t="s">
        <v>652</v>
      </c>
      <c r="N56" t="s">
        <v>643</v>
      </c>
      <c r="O56" t="s">
        <v>890</v>
      </c>
      <c r="P56" t="s">
        <v>612</v>
      </c>
      <c r="Q56">
        <v>0</v>
      </c>
      <c r="R56" t="s">
        <v>480</v>
      </c>
    </row>
    <row r="57" spans="1:18" x14ac:dyDescent="0.3">
      <c r="A57" t="s">
        <v>841</v>
      </c>
      <c r="B57" t="s">
        <v>918</v>
      </c>
      <c r="C57" t="s">
        <v>478</v>
      </c>
      <c r="D57" t="s">
        <v>612</v>
      </c>
      <c r="E57" t="s">
        <v>493</v>
      </c>
      <c r="F57" t="s">
        <v>479</v>
      </c>
      <c r="G57" t="s">
        <v>394</v>
      </c>
      <c r="H57" t="s">
        <v>391</v>
      </c>
      <c r="I57" t="s">
        <v>480</v>
      </c>
      <c r="J57" t="s">
        <v>494</v>
      </c>
      <c r="K57" t="s">
        <v>493</v>
      </c>
      <c r="L57" t="s">
        <v>626</v>
      </c>
      <c r="M57" t="s">
        <v>652</v>
      </c>
      <c r="N57" t="s">
        <v>643</v>
      </c>
      <c r="O57" t="s">
        <v>892</v>
      </c>
      <c r="P57" t="s">
        <v>612</v>
      </c>
      <c r="Q57">
        <v>0</v>
      </c>
      <c r="R57" t="s">
        <v>480</v>
      </c>
    </row>
    <row r="58" spans="1:18" x14ac:dyDescent="0.3">
      <c r="A58" t="s">
        <v>841</v>
      </c>
      <c r="B58" t="s">
        <v>918</v>
      </c>
      <c r="C58" t="s">
        <v>478</v>
      </c>
      <c r="D58" t="s">
        <v>612</v>
      </c>
      <c r="E58" t="s">
        <v>493</v>
      </c>
      <c r="F58" t="s">
        <v>479</v>
      </c>
      <c r="G58" t="s">
        <v>394</v>
      </c>
      <c r="H58" t="s">
        <v>391</v>
      </c>
      <c r="I58" t="s">
        <v>480</v>
      </c>
      <c r="J58" t="s">
        <v>494</v>
      </c>
      <c r="K58" t="s">
        <v>493</v>
      </c>
      <c r="L58" t="s">
        <v>626</v>
      </c>
      <c r="M58" t="s">
        <v>652</v>
      </c>
      <c r="N58" t="s">
        <v>893</v>
      </c>
      <c r="O58" t="s">
        <v>894</v>
      </c>
      <c r="P58" t="s">
        <v>612</v>
      </c>
      <c r="Q58">
        <v>0</v>
      </c>
      <c r="R58" t="s">
        <v>480</v>
      </c>
    </row>
    <row r="59" spans="1:18" x14ac:dyDescent="0.3">
      <c r="A59" t="s">
        <v>841</v>
      </c>
      <c r="B59" t="s">
        <v>918</v>
      </c>
      <c r="C59" t="s">
        <v>478</v>
      </c>
      <c r="D59" t="s">
        <v>612</v>
      </c>
      <c r="E59" t="s">
        <v>493</v>
      </c>
      <c r="F59" t="s">
        <v>479</v>
      </c>
      <c r="G59" t="s">
        <v>394</v>
      </c>
      <c r="H59" t="s">
        <v>391</v>
      </c>
      <c r="I59" t="s">
        <v>480</v>
      </c>
      <c r="J59" t="s">
        <v>494</v>
      </c>
      <c r="K59" t="s">
        <v>493</v>
      </c>
      <c r="L59" t="s">
        <v>626</v>
      </c>
      <c r="M59" t="s">
        <v>652</v>
      </c>
      <c r="N59" t="s">
        <v>893</v>
      </c>
      <c r="O59" t="s">
        <v>895</v>
      </c>
      <c r="P59" t="s">
        <v>612</v>
      </c>
      <c r="Q59">
        <v>0</v>
      </c>
      <c r="R59" t="s">
        <v>480</v>
      </c>
    </row>
    <row r="60" spans="1:18" x14ac:dyDescent="0.3">
      <c r="A60" t="s">
        <v>841</v>
      </c>
      <c r="B60" t="s">
        <v>918</v>
      </c>
      <c r="C60" t="s">
        <v>478</v>
      </c>
      <c r="D60" t="s">
        <v>612</v>
      </c>
      <c r="E60" t="s">
        <v>493</v>
      </c>
      <c r="F60" t="s">
        <v>479</v>
      </c>
      <c r="G60" t="s">
        <v>394</v>
      </c>
      <c r="H60" t="s">
        <v>391</v>
      </c>
      <c r="I60" t="s">
        <v>480</v>
      </c>
      <c r="J60" t="s">
        <v>494</v>
      </c>
      <c r="K60" t="s">
        <v>493</v>
      </c>
      <c r="L60" t="s">
        <v>626</v>
      </c>
      <c r="M60" t="s">
        <v>652</v>
      </c>
      <c r="N60" t="s">
        <v>643</v>
      </c>
      <c r="O60" t="s">
        <v>897</v>
      </c>
      <c r="P60" t="s">
        <v>612</v>
      </c>
      <c r="Q60">
        <v>0</v>
      </c>
      <c r="R60" t="s">
        <v>480</v>
      </c>
    </row>
    <row r="61" spans="1:18" x14ac:dyDescent="0.3">
      <c r="A61" t="s">
        <v>841</v>
      </c>
      <c r="B61" t="s">
        <v>918</v>
      </c>
      <c r="C61" t="s">
        <v>478</v>
      </c>
      <c r="D61" t="s">
        <v>612</v>
      </c>
      <c r="E61" t="s">
        <v>493</v>
      </c>
      <c r="F61" t="s">
        <v>479</v>
      </c>
      <c r="G61" t="s">
        <v>394</v>
      </c>
      <c r="H61" t="s">
        <v>391</v>
      </c>
      <c r="I61" t="s">
        <v>480</v>
      </c>
      <c r="J61" t="s">
        <v>494</v>
      </c>
      <c r="K61" t="s">
        <v>493</v>
      </c>
      <c r="L61" t="s">
        <v>626</v>
      </c>
      <c r="M61" t="s">
        <v>652</v>
      </c>
      <c r="N61" t="s">
        <v>893</v>
      </c>
      <c r="O61" t="s">
        <v>899</v>
      </c>
      <c r="P61" t="s">
        <v>612</v>
      </c>
      <c r="Q61">
        <v>0</v>
      </c>
      <c r="R61" t="s">
        <v>480</v>
      </c>
    </row>
    <row r="62" spans="1:18" x14ac:dyDescent="0.3">
      <c r="A62" t="s">
        <v>841</v>
      </c>
      <c r="B62" t="s">
        <v>918</v>
      </c>
      <c r="C62" t="s">
        <v>478</v>
      </c>
      <c r="D62" t="s">
        <v>612</v>
      </c>
      <c r="E62" t="s">
        <v>493</v>
      </c>
      <c r="F62" t="s">
        <v>479</v>
      </c>
      <c r="G62" t="s">
        <v>394</v>
      </c>
      <c r="H62" t="s">
        <v>391</v>
      </c>
      <c r="I62" t="s">
        <v>480</v>
      </c>
      <c r="J62" t="s">
        <v>494</v>
      </c>
      <c r="K62" t="s">
        <v>493</v>
      </c>
      <c r="L62" t="s">
        <v>626</v>
      </c>
      <c r="M62" t="s">
        <v>652</v>
      </c>
      <c r="N62" t="s">
        <v>893</v>
      </c>
      <c r="O62" t="s">
        <v>900</v>
      </c>
      <c r="P62" t="s">
        <v>612</v>
      </c>
      <c r="Q62">
        <v>0</v>
      </c>
      <c r="R62" t="s">
        <v>480</v>
      </c>
    </row>
    <row r="63" spans="1:18" x14ac:dyDescent="0.3">
      <c r="A63" t="s">
        <v>841</v>
      </c>
      <c r="B63" t="s">
        <v>953</v>
      </c>
      <c r="C63" t="s">
        <v>478</v>
      </c>
      <c r="D63" t="s">
        <v>612</v>
      </c>
      <c r="E63" t="s">
        <v>493</v>
      </c>
      <c r="F63" t="s">
        <v>479</v>
      </c>
      <c r="G63" t="s">
        <v>394</v>
      </c>
      <c r="H63" t="s">
        <v>391</v>
      </c>
      <c r="I63" t="s">
        <v>480</v>
      </c>
      <c r="J63" t="s">
        <v>494</v>
      </c>
      <c r="K63" t="s">
        <v>493</v>
      </c>
      <c r="L63" t="s">
        <v>626</v>
      </c>
      <c r="M63" t="s">
        <v>652</v>
      </c>
      <c r="N63" t="s">
        <v>893</v>
      </c>
      <c r="O63" t="s">
        <v>901</v>
      </c>
      <c r="P63" t="s">
        <v>612</v>
      </c>
      <c r="Q63">
        <v>0</v>
      </c>
      <c r="R63" t="s">
        <v>480</v>
      </c>
    </row>
    <row r="64" spans="1:18" x14ac:dyDescent="0.3">
      <c r="A64" t="s">
        <v>841</v>
      </c>
      <c r="B64" t="s">
        <v>953</v>
      </c>
      <c r="C64" t="s">
        <v>478</v>
      </c>
      <c r="D64" t="s">
        <v>612</v>
      </c>
      <c r="E64" t="s">
        <v>493</v>
      </c>
      <c r="F64" t="s">
        <v>479</v>
      </c>
      <c r="G64" t="s">
        <v>394</v>
      </c>
      <c r="H64" t="s">
        <v>391</v>
      </c>
      <c r="I64" t="s">
        <v>480</v>
      </c>
      <c r="J64" t="s">
        <v>494</v>
      </c>
      <c r="K64" t="s">
        <v>493</v>
      </c>
      <c r="L64" t="s">
        <v>626</v>
      </c>
      <c r="M64" t="s">
        <v>652</v>
      </c>
      <c r="N64" t="s">
        <v>893</v>
      </c>
      <c r="O64" t="s">
        <v>915</v>
      </c>
      <c r="P64" t="s">
        <v>612</v>
      </c>
      <c r="Q64">
        <v>0</v>
      </c>
      <c r="R64" t="s">
        <v>480</v>
      </c>
    </row>
    <row r="65" spans="1:18" x14ac:dyDescent="0.3">
      <c r="A65" t="s">
        <v>841</v>
      </c>
      <c r="B65" t="s">
        <v>918</v>
      </c>
      <c r="C65" t="s">
        <v>478</v>
      </c>
      <c r="D65" t="s">
        <v>612</v>
      </c>
      <c r="E65" t="s">
        <v>493</v>
      </c>
      <c r="F65" t="s">
        <v>479</v>
      </c>
      <c r="G65" t="s">
        <v>394</v>
      </c>
      <c r="H65" t="s">
        <v>391</v>
      </c>
      <c r="I65" t="s">
        <v>480</v>
      </c>
      <c r="J65" t="s">
        <v>494</v>
      </c>
      <c r="K65" t="s">
        <v>493</v>
      </c>
      <c r="L65" t="s">
        <v>626</v>
      </c>
      <c r="M65" t="s">
        <v>652</v>
      </c>
      <c r="N65" t="s">
        <v>893</v>
      </c>
      <c r="O65" t="s">
        <v>919</v>
      </c>
      <c r="P65" t="s">
        <v>612</v>
      </c>
      <c r="Q65">
        <v>0</v>
      </c>
      <c r="R65" t="s">
        <v>480</v>
      </c>
    </row>
    <row r="66" spans="1:18" x14ac:dyDescent="0.3">
      <c r="A66" t="s">
        <v>841</v>
      </c>
      <c r="B66" t="s">
        <v>953</v>
      </c>
      <c r="C66" t="s">
        <v>478</v>
      </c>
      <c r="D66" t="s">
        <v>612</v>
      </c>
      <c r="E66" t="s">
        <v>493</v>
      </c>
      <c r="F66" t="s">
        <v>479</v>
      </c>
      <c r="G66" t="s">
        <v>394</v>
      </c>
      <c r="H66" t="s">
        <v>391</v>
      </c>
      <c r="I66" t="s">
        <v>480</v>
      </c>
      <c r="J66" t="s">
        <v>494</v>
      </c>
      <c r="K66" t="s">
        <v>493</v>
      </c>
      <c r="L66" t="s">
        <v>626</v>
      </c>
      <c r="M66" t="s">
        <v>652</v>
      </c>
      <c r="N66" t="s">
        <v>893</v>
      </c>
      <c r="O66" t="s">
        <v>920</v>
      </c>
      <c r="P66" t="s">
        <v>612</v>
      </c>
      <c r="Q66">
        <v>0</v>
      </c>
      <c r="R66" t="s">
        <v>480</v>
      </c>
    </row>
    <row r="67" spans="1:18" x14ac:dyDescent="0.3">
      <c r="A67" t="s">
        <v>841</v>
      </c>
      <c r="B67" t="s">
        <v>953</v>
      </c>
      <c r="C67" t="s">
        <v>478</v>
      </c>
      <c r="D67" t="s">
        <v>612</v>
      </c>
      <c r="E67" t="s">
        <v>493</v>
      </c>
      <c r="F67" t="s">
        <v>479</v>
      </c>
      <c r="G67" t="s">
        <v>394</v>
      </c>
      <c r="H67" t="s">
        <v>391</v>
      </c>
      <c r="I67" t="s">
        <v>480</v>
      </c>
      <c r="J67" t="s">
        <v>494</v>
      </c>
      <c r="K67" t="s">
        <v>493</v>
      </c>
      <c r="L67" t="s">
        <v>626</v>
      </c>
      <c r="M67" t="s">
        <v>652</v>
      </c>
      <c r="N67" t="s">
        <v>893</v>
      </c>
      <c r="O67" t="s">
        <v>921</v>
      </c>
      <c r="P67" t="s">
        <v>612</v>
      </c>
      <c r="Q67">
        <v>0</v>
      </c>
      <c r="R67" t="s">
        <v>480</v>
      </c>
    </row>
    <row r="68" spans="1:18" x14ac:dyDescent="0.3">
      <c r="A68" t="s">
        <v>841</v>
      </c>
      <c r="B68" t="s">
        <v>953</v>
      </c>
      <c r="C68" t="s">
        <v>478</v>
      </c>
      <c r="D68" t="s">
        <v>612</v>
      </c>
      <c r="E68" t="s">
        <v>493</v>
      </c>
      <c r="F68" t="s">
        <v>479</v>
      </c>
      <c r="G68" t="s">
        <v>394</v>
      </c>
      <c r="H68" t="s">
        <v>391</v>
      </c>
      <c r="I68" t="s">
        <v>480</v>
      </c>
      <c r="J68" t="s">
        <v>494</v>
      </c>
      <c r="K68" t="s">
        <v>493</v>
      </c>
      <c r="L68" t="s">
        <v>626</v>
      </c>
      <c r="M68" t="s">
        <v>652</v>
      </c>
      <c r="N68" t="s">
        <v>893</v>
      </c>
      <c r="O68" t="s">
        <v>922</v>
      </c>
      <c r="P68" t="s">
        <v>612</v>
      </c>
      <c r="Q68">
        <v>0</v>
      </c>
      <c r="R68" t="s">
        <v>480</v>
      </c>
    </row>
    <row r="69" spans="1:18" x14ac:dyDescent="0.3">
      <c r="A69" t="s">
        <v>841</v>
      </c>
      <c r="B69" t="s">
        <v>953</v>
      </c>
      <c r="C69" t="s">
        <v>478</v>
      </c>
      <c r="D69" t="s">
        <v>612</v>
      </c>
      <c r="E69" t="s">
        <v>493</v>
      </c>
      <c r="F69" t="s">
        <v>479</v>
      </c>
      <c r="G69" t="s">
        <v>394</v>
      </c>
      <c r="H69" t="s">
        <v>391</v>
      </c>
      <c r="I69" t="s">
        <v>480</v>
      </c>
      <c r="J69" t="s">
        <v>494</v>
      </c>
      <c r="K69" t="s">
        <v>493</v>
      </c>
      <c r="L69" t="s">
        <v>626</v>
      </c>
      <c r="M69" t="s">
        <v>652</v>
      </c>
      <c r="N69" t="s">
        <v>893</v>
      </c>
      <c r="O69" t="s">
        <v>929</v>
      </c>
      <c r="P69" t="s">
        <v>612</v>
      </c>
      <c r="Q69">
        <v>0</v>
      </c>
      <c r="R69" t="s">
        <v>480</v>
      </c>
    </row>
    <row r="70" spans="1:18" x14ac:dyDescent="0.3">
      <c r="A70" t="s">
        <v>927</v>
      </c>
      <c r="B70" t="s">
        <v>953</v>
      </c>
      <c r="C70" t="s">
        <v>478</v>
      </c>
      <c r="D70" t="s">
        <v>612</v>
      </c>
      <c r="E70" t="s">
        <v>493</v>
      </c>
      <c r="F70" t="s">
        <v>479</v>
      </c>
      <c r="G70" t="s">
        <v>394</v>
      </c>
      <c r="H70" t="s">
        <v>391</v>
      </c>
      <c r="I70" t="s">
        <v>480</v>
      </c>
      <c r="J70" t="s">
        <v>494</v>
      </c>
      <c r="K70" t="s">
        <v>493</v>
      </c>
      <c r="L70" t="s">
        <v>626</v>
      </c>
      <c r="M70" t="s">
        <v>652</v>
      </c>
      <c r="N70" t="s">
        <v>893</v>
      </c>
      <c r="O70" t="s">
        <v>930</v>
      </c>
      <c r="P70" t="s">
        <v>612</v>
      </c>
      <c r="Q70">
        <v>0</v>
      </c>
      <c r="R70" t="s">
        <v>480</v>
      </c>
    </row>
    <row r="71" spans="1:18" x14ac:dyDescent="0.3">
      <c r="A71" t="s">
        <v>927</v>
      </c>
      <c r="B71" t="s">
        <v>953</v>
      </c>
      <c r="C71" t="s">
        <v>478</v>
      </c>
      <c r="D71" t="s">
        <v>612</v>
      </c>
      <c r="E71" t="s">
        <v>493</v>
      </c>
      <c r="F71" t="s">
        <v>479</v>
      </c>
      <c r="G71" t="s">
        <v>394</v>
      </c>
      <c r="H71" t="s">
        <v>391</v>
      </c>
      <c r="I71" t="s">
        <v>480</v>
      </c>
      <c r="J71" t="s">
        <v>494</v>
      </c>
      <c r="K71" t="s">
        <v>493</v>
      </c>
      <c r="L71" t="s">
        <v>626</v>
      </c>
      <c r="M71" t="s">
        <v>652</v>
      </c>
      <c r="N71" t="s">
        <v>893</v>
      </c>
      <c r="O71" t="s">
        <v>931</v>
      </c>
      <c r="P71" t="s">
        <v>612</v>
      </c>
      <c r="Q71">
        <v>0</v>
      </c>
      <c r="R71" t="s">
        <v>480</v>
      </c>
    </row>
    <row r="72" spans="1:18" x14ac:dyDescent="0.3">
      <c r="A72" t="s">
        <v>927</v>
      </c>
      <c r="B72" t="s">
        <v>953</v>
      </c>
      <c r="C72" t="s">
        <v>478</v>
      </c>
      <c r="D72" t="s">
        <v>612</v>
      </c>
      <c r="E72" t="s">
        <v>493</v>
      </c>
      <c r="F72" t="s">
        <v>479</v>
      </c>
      <c r="G72" t="s">
        <v>394</v>
      </c>
      <c r="H72" t="s">
        <v>391</v>
      </c>
      <c r="I72" t="s">
        <v>480</v>
      </c>
      <c r="J72" t="s">
        <v>494</v>
      </c>
      <c r="K72" t="s">
        <v>493</v>
      </c>
      <c r="L72" t="s">
        <v>626</v>
      </c>
      <c r="M72" t="s">
        <v>652</v>
      </c>
      <c r="N72" t="s">
        <v>893</v>
      </c>
      <c r="O72" t="s">
        <v>935</v>
      </c>
      <c r="P72" t="s">
        <v>612</v>
      </c>
      <c r="Q72">
        <v>0</v>
      </c>
      <c r="R72" t="s">
        <v>480</v>
      </c>
    </row>
    <row r="73" spans="1:18" x14ac:dyDescent="0.3">
      <c r="A73" t="s">
        <v>927</v>
      </c>
      <c r="B73" t="s">
        <v>953</v>
      </c>
      <c r="C73" t="s">
        <v>478</v>
      </c>
      <c r="D73" t="s">
        <v>612</v>
      </c>
      <c r="E73" t="s">
        <v>493</v>
      </c>
      <c r="F73" t="s">
        <v>479</v>
      </c>
      <c r="G73" t="s">
        <v>394</v>
      </c>
      <c r="H73" t="s">
        <v>391</v>
      </c>
      <c r="I73" t="s">
        <v>480</v>
      </c>
      <c r="J73" t="s">
        <v>494</v>
      </c>
      <c r="K73" t="s">
        <v>493</v>
      </c>
      <c r="L73" t="s">
        <v>626</v>
      </c>
      <c r="M73" t="s">
        <v>652</v>
      </c>
      <c r="N73" t="s">
        <v>893</v>
      </c>
      <c r="O73" t="s">
        <v>941</v>
      </c>
      <c r="P73" t="s">
        <v>612</v>
      </c>
      <c r="Q73">
        <v>0</v>
      </c>
      <c r="R73" t="s">
        <v>480</v>
      </c>
    </row>
    <row r="74" spans="1:18" x14ac:dyDescent="0.3">
      <c r="A74" t="s">
        <v>927</v>
      </c>
      <c r="B74" t="s">
        <v>954</v>
      </c>
      <c r="C74" t="s">
        <v>396</v>
      </c>
      <c r="D74" t="s">
        <v>612</v>
      </c>
      <c r="E74" t="s">
        <v>493</v>
      </c>
      <c r="F74" t="s">
        <v>479</v>
      </c>
      <c r="G74" t="s">
        <v>390</v>
      </c>
      <c r="H74" t="s">
        <v>391</v>
      </c>
      <c r="I74" t="s">
        <v>480</v>
      </c>
      <c r="J74" t="s">
        <v>494</v>
      </c>
      <c r="K74" t="s">
        <v>493</v>
      </c>
      <c r="L74" t="s">
        <v>623</v>
      </c>
      <c r="M74" t="s">
        <v>652</v>
      </c>
      <c r="N74" t="s">
        <v>893</v>
      </c>
      <c r="O74" t="s">
        <v>942</v>
      </c>
      <c r="P74" t="s">
        <v>612</v>
      </c>
      <c r="Q74">
        <v>0</v>
      </c>
      <c r="R74" t="s">
        <v>480</v>
      </c>
    </row>
    <row r="75" spans="1:18" x14ac:dyDescent="0.3">
      <c r="A75" t="s">
        <v>927</v>
      </c>
      <c r="B75" t="s">
        <v>954</v>
      </c>
      <c r="C75" t="s">
        <v>396</v>
      </c>
      <c r="D75" t="s">
        <v>612</v>
      </c>
      <c r="E75" t="s">
        <v>493</v>
      </c>
      <c r="F75" t="s">
        <v>479</v>
      </c>
      <c r="G75" t="s">
        <v>390</v>
      </c>
      <c r="H75" t="s">
        <v>391</v>
      </c>
      <c r="I75" t="s">
        <v>480</v>
      </c>
      <c r="J75" t="s">
        <v>494</v>
      </c>
      <c r="K75" t="s">
        <v>493</v>
      </c>
      <c r="L75" t="s">
        <v>623</v>
      </c>
      <c r="M75" t="s">
        <v>652</v>
      </c>
      <c r="N75" t="s">
        <v>893</v>
      </c>
      <c r="O75" t="s">
        <v>943</v>
      </c>
      <c r="P75" t="s">
        <v>612</v>
      </c>
      <c r="Q75">
        <v>0</v>
      </c>
      <c r="R75" t="s">
        <v>480</v>
      </c>
    </row>
    <row r="76" spans="1:18" x14ac:dyDescent="0.3">
      <c r="A76" t="s">
        <v>927</v>
      </c>
      <c r="B76" t="s">
        <v>954</v>
      </c>
      <c r="C76" t="s">
        <v>396</v>
      </c>
      <c r="D76" t="s">
        <v>612</v>
      </c>
      <c r="E76" t="s">
        <v>493</v>
      </c>
      <c r="F76" t="s">
        <v>479</v>
      </c>
      <c r="G76" t="s">
        <v>390</v>
      </c>
      <c r="H76" t="s">
        <v>391</v>
      </c>
      <c r="I76" t="s">
        <v>480</v>
      </c>
      <c r="J76" t="s">
        <v>494</v>
      </c>
      <c r="K76" t="s">
        <v>493</v>
      </c>
      <c r="L76" t="s">
        <v>623</v>
      </c>
      <c r="M76" t="s">
        <v>652</v>
      </c>
      <c r="N76" t="s">
        <v>893</v>
      </c>
      <c r="O76" t="s">
        <v>944</v>
      </c>
      <c r="P76" t="s">
        <v>612</v>
      </c>
      <c r="Q76">
        <v>0</v>
      </c>
      <c r="R76" t="s">
        <v>480</v>
      </c>
    </row>
    <row r="77" spans="1:18" x14ac:dyDescent="0.3">
      <c r="A77" t="s">
        <v>927</v>
      </c>
      <c r="B77" t="s">
        <v>954</v>
      </c>
      <c r="C77" t="s">
        <v>396</v>
      </c>
      <c r="D77" t="s">
        <v>612</v>
      </c>
      <c r="E77" t="s">
        <v>493</v>
      </c>
      <c r="F77" t="s">
        <v>479</v>
      </c>
      <c r="G77" t="s">
        <v>390</v>
      </c>
      <c r="H77" t="s">
        <v>391</v>
      </c>
      <c r="I77" t="s">
        <v>480</v>
      </c>
      <c r="J77" t="s">
        <v>494</v>
      </c>
      <c r="K77" t="s">
        <v>493</v>
      </c>
      <c r="L77" t="s">
        <v>623</v>
      </c>
      <c r="M77" t="s">
        <v>652</v>
      </c>
      <c r="N77" t="s">
        <v>893</v>
      </c>
      <c r="O77" t="s">
        <v>945</v>
      </c>
      <c r="P77" t="s">
        <v>612</v>
      </c>
      <c r="Q77">
        <v>0</v>
      </c>
      <c r="R77" t="s">
        <v>480</v>
      </c>
    </row>
    <row r="78" spans="1:18" x14ac:dyDescent="0.3">
      <c r="A78" t="s">
        <v>927</v>
      </c>
      <c r="B78" t="s">
        <v>954</v>
      </c>
      <c r="C78" t="s">
        <v>396</v>
      </c>
      <c r="D78" t="s">
        <v>612</v>
      </c>
      <c r="E78" t="s">
        <v>493</v>
      </c>
      <c r="F78" t="s">
        <v>479</v>
      </c>
      <c r="G78" t="s">
        <v>390</v>
      </c>
      <c r="H78" t="s">
        <v>391</v>
      </c>
      <c r="I78" t="s">
        <v>480</v>
      </c>
      <c r="J78" t="s">
        <v>494</v>
      </c>
      <c r="K78" t="s">
        <v>493</v>
      </c>
      <c r="L78" t="s">
        <v>623</v>
      </c>
      <c r="M78" t="s">
        <v>652</v>
      </c>
      <c r="N78" t="s">
        <v>893</v>
      </c>
      <c r="O78" t="s">
        <v>946</v>
      </c>
      <c r="P78" t="s">
        <v>612</v>
      </c>
      <c r="Q78">
        <v>0</v>
      </c>
      <c r="R78" t="s">
        <v>480</v>
      </c>
    </row>
    <row r="79" spans="1:18" x14ac:dyDescent="0.3">
      <c r="A79" t="s">
        <v>927</v>
      </c>
      <c r="B79" t="s">
        <v>954</v>
      </c>
      <c r="C79" t="s">
        <v>396</v>
      </c>
      <c r="D79" t="s">
        <v>612</v>
      </c>
      <c r="E79" t="s">
        <v>493</v>
      </c>
      <c r="F79" t="s">
        <v>479</v>
      </c>
      <c r="G79" t="s">
        <v>390</v>
      </c>
      <c r="H79" t="s">
        <v>391</v>
      </c>
      <c r="I79" t="s">
        <v>480</v>
      </c>
      <c r="J79" t="s">
        <v>494</v>
      </c>
      <c r="K79" t="s">
        <v>493</v>
      </c>
      <c r="L79" t="s">
        <v>623</v>
      </c>
      <c r="M79" t="s">
        <v>652</v>
      </c>
      <c r="N79" t="s">
        <v>893</v>
      </c>
      <c r="O79" t="s">
        <v>955</v>
      </c>
      <c r="P79" t="s">
        <v>612</v>
      </c>
      <c r="Q79">
        <v>0</v>
      </c>
      <c r="R79" t="s">
        <v>480</v>
      </c>
    </row>
    <row r="80" spans="1:18" x14ac:dyDescent="0.3">
      <c r="A80" t="s">
        <v>927</v>
      </c>
      <c r="B80" t="s">
        <v>484</v>
      </c>
      <c r="C80" t="s">
        <v>396</v>
      </c>
      <c r="D80" t="s">
        <v>612</v>
      </c>
      <c r="E80" t="s">
        <v>493</v>
      </c>
      <c r="F80" t="s">
        <v>479</v>
      </c>
      <c r="G80" t="s">
        <v>390</v>
      </c>
      <c r="H80" t="s">
        <v>391</v>
      </c>
      <c r="I80" t="s">
        <v>480</v>
      </c>
      <c r="J80" t="s">
        <v>494</v>
      </c>
      <c r="K80" t="s">
        <v>493</v>
      </c>
      <c r="L80" t="s">
        <v>623</v>
      </c>
      <c r="M80" t="s">
        <v>652</v>
      </c>
      <c r="N80" t="s">
        <v>643</v>
      </c>
      <c r="O80" t="s">
        <v>966</v>
      </c>
      <c r="P80" t="s">
        <v>612</v>
      </c>
      <c r="Q80">
        <v>0</v>
      </c>
      <c r="R80" t="s">
        <v>480</v>
      </c>
    </row>
    <row r="81" spans="1:18" x14ac:dyDescent="0.3">
      <c r="A81" t="s">
        <v>927</v>
      </c>
      <c r="B81" t="s">
        <v>484</v>
      </c>
      <c r="C81" t="s">
        <v>396</v>
      </c>
      <c r="D81" t="s">
        <v>612</v>
      </c>
      <c r="E81" t="s">
        <v>493</v>
      </c>
      <c r="F81" t="s">
        <v>479</v>
      </c>
      <c r="G81" t="s">
        <v>390</v>
      </c>
      <c r="H81" t="s">
        <v>391</v>
      </c>
      <c r="I81" t="s">
        <v>480</v>
      </c>
      <c r="J81" t="s">
        <v>494</v>
      </c>
      <c r="K81" t="s">
        <v>493</v>
      </c>
      <c r="L81" t="s">
        <v>623</v>
      </c>
      <c r="M81" t="s">
        <v>652</v>
      </c>
      <c r="N81" t="s">
        <v>643</v>
      </c>
      <c r="O81" t="s">
        <v>967</v>
      </c>
      <c r="P81" t="s">
        <v>612</v>
      </c>
      <c r="Q81">
        <v>0</v>
      </c>
      <c r="R81" t="s">
        <v>480</v>
      </c>
    </row>
    <row r="82" spans="1:18" x14ac:dyDescent="0.3">
      <c r="A82" t="s">
        <v>927</v>
      </c>
      <c r="B82" t="s">
        <v>484</v>
      </c>
      <c r="C82" t="s">
        <v>396</v>
      </c>
      <c r="D82" t="s">
        <v>612</v>
      </c>
      <c r="E82" t="s">
        <v>493</v>
      </c>
      <c r="F82" t="s">
        <v>479</v>
      </c>
      <c r="G82" t="s">
        <v>390</v>
      </c>
      <c r="H82" t="s">
        <v>391</v>
      </c>
      <c r="I82" t="s">
        <v>480</v>
      </c>
      <c r="J82" t="s">
        <v>494</v>
      </c>
      <c r="K82" t="s">
        <v>493</v>
      </c>
      <c r="L82" t="s">
        <v>623</v>
      </c>
      <c r="M82" t="s">
        <v>652</v>
      </c>
      <c r="N82" t="s">
        <v>893</v>
      </c>
      <c r="O82" t="s">
        <v>968</v>
      </c>
      <c r="P82" t="s">
        <v>612</v>
      </c>
      <c r="Q82">
        <v>0</v>
      </c>
      <c r="R82" t="s">
        <v>480</v>
      </c>
    </row>
    <row r="83" spans="1:18" x14ac:dyDescent="0.3">
      <c r="A83" t="s">
        <v>927</v>
      </c>
      <c r="B83" t="s">
        <v>484</v>
      </c>
      <c r="C83" t="s">
        <v>396</v>
      </c>
      <c r="D83" t="s">
        <v>612</v>
      </c>
      <c r="E83" t="s">
        <v>493</v>
      </c>
      <c r="F83" t="s">
        <v>479</v>
      </c>
      <c r="G83" t="s">
        <v>390</v>
      </c>
      <c r="H83" t="s">
        <v>391</v>
      </c>
      <c r="I83" t="s">
        <v>480</v>
      </c>
      <c r="J83" t="s">
        <v>494</v>
      </c>
      <c r="K83" t="s">
        <v>493</v>
      </c>
      <c r="L83" t="s">
        <v>623</v>
      </c>
      <c r="M83" t="s">
        <v>652</v>
      </c>
      <c r="N83" t="s">
        <v>643</v>
      </c>
      <c r="O83" t="s">
        <v>969</v>
      </c>
      <c r="P83" t="s">
        <v>612</v>
      </c>
      <c r="Q83">
        <v>0</v>
      </c>
      <c r="R83" t="s">
        <v>480</v>
      </c>
    </row>
    <row r="84" spans="1:18" x14ac:dyDescent="0.3">
      <c r="A84" t="s">
        <v>927</v>
      </c>
      <c r="B84" t="s">
        <v>484</v>
      </c>
      <c r="C84" t="s">
        <v>396</v>
      </c>
      <c r="D84" t="s">
        <v>612</v>
      </c>
      <c r="E84" t="s">
        <v>493</v>
      </c>
      <c r="F84" t="s">
        <v>479</v>
      </c>
      <c r="G84" t="s">
        <v>390</v>
      </c>
      <c r="H84" t="s">
        <v>391</v>
      </c>
      <c r="I84" t="s">
        <v>480</v>
      </c>
      <c r="J84" t="s">
        <v>494</v>
      </c>
      <c r="K84" t="s">
        <v>493</v>
      </c>
      <c r="L84" t="s">
        <v>623</v>
      </c>
      <c r="M84" t="s">
        <v>652</v>
      </c>
      <c r="N84" t="s">
        <v>643</v>
      </c>
      <c r="O84" t="s">
        <v>970</v>
      </c>
      <c r="P84" t="s">
        <v>612</v>
      </c>
      <c r="Q84">
        <v>0</v>
      </c>
      <c r="R84" t="s">
        <v>480</v>
      </c>
    </row>
    <row r="85" spans="1:18" x14ac:dyDescent="0.3">
      <c r="A85" t="s">
        <v>927</v>
      </c>
      <c r="B85" t="s">
        <v>484</v>
      </c>
      <c r="C85" t="s">
        <v>396</v>
      </c>
      <c r="D85" t="s">
        <v>612</v>
      </c>
      <c r="E85" t="s">
        <v>493</v>
      </c>
      <c r="F85" t="s">
        <v>479</v>
      </c>
      <c r="G85" t="s">
        <v>390</v>
      </c>
      <c r="H85" t="s">
        <v>391</v>
      </c>
      <c r="I85" t="s">
        <v>480</v>
      </c>
      <c r="J85" t="s">
        <v>494</v>
      </c>
      <c r="K85" t="s">
        <v>493</v>
      </c>
      <c r="L85" t="s">
        <v>623</v>
      </c>
      <c r="M85" t="s">
        <v>652</v>
      </c>
      <c r="N85" t="s">
        <v>643</v>
      </c>
      <c r="O85" t="s">
        <v>971</v>
      </c>
      <c r="P85" t="s">
        <v>612</v>
      </c>
      <c r="Q85">
        <v>0</v>
      </c>
      <c r="R85" t="s">
        <v>480</v>
      </c>
    </row>
    <row r="86" spans="1:18" x14ac:dyDescent="0.3">
      <c r="A86" t="s">
        <v>927</v>
      </c>
      <c r="B86" t="s">
        <v>484</v>
      </c>
      <c r="C86" t="s">
        <v>396</v>
      </c>
      <c r="D86" t="s">
        <v>612</v>
      </c>
      <c r="E86" t="s">
        <v>493</v>
      </c>
      <c r="F86" t="s">
        <v>479</v>
      </c>
      <c r="G86" t="s">
        <v>390</v>
      </c>
      <c r="H86" t="s">
        <v>391</v>
      </c>
      <c r="I86" t="s">
        <v>480</v>
      </c>
      <c r="J86" t="s">
        <v>494</v>
      </c>
      <c r="K86" t="s">
        <v>493</v>
      </c>
      <c r="L86" t="s">
        <v>623</v>
      </c>
      <c r="M86" t="s">
        <v>652</v>
      </c>
      <c r="N86" t="s">
        <v>643</v>
      </c>
      <c r="O86" t="s">
        <v>972</v>
      </c>
      <c r="P86" t="s">
        <v>612</v>
      </c>
      <c r="Q86">
        <v>0</v>
      </c>
      <c r="R86" t="s">
        <v>480</v>
      </c>
    </row>
    <row r="87" spans="1:18" x14ac:dyDescent="0.3">
      <c r="A87" t="s">
        <v>927</v>
      </c>
      <c r="B87" t="s">
        <v>484</v>
      </c>
      <c r="C87" t="s">
        <v>396</v>
      </c>
      <c r="D87" t="s">
        <v>612</v>
      </c>
      <c r="E87" t="s">
        <v>493</v>
      </c>
      <c r="F87" t="s">
        <v>479</v>
      </c>
      <c r="G87" t="s">
        <v>390</v>
      </c>
      <c r="H87" t="s">
        <v>391</v>
      </c>
      <c r="I87" t="s">
        <v>480</v>
      </c>
      <c r="J87" t="s">
        <v>494</v>
      </c>
      <c r="K87" t="s">
        <v>493</v>
      </c>
      <c r="L87" t="s">
        <v>623</v>
      </c>
      <c r="M87" t="s">
        <v>652</v>
      </c>
      <c r="N87" t="s">
        <v>643</v>
      </c>
      <c r="O87" t="s">
        <v>973</v>
      </c>
      <c r="P87" t="s">
        <v>612</v>
      </c>
      <c r="Q87">
        <v>0</v>
      </c>
      <c r="R87" t="s">
        <v>480</v>
      </c>
    </row>
    <row r="88" spans="1:18" x14ac:dyDescent="0.3">
      <c r="A88" t="s">
        <v>927</v>
      </c>
      <c r="B88" t="s">
        <v>484</v>
      </c>
      <c r="C88" t="s">
        <v>396</v>
      </c>
      <c r="D88" t="s">
        <v>612</v>
      </c>
      <c r="E88" t="s">
        <v>493</v>
      </c>
      <c r="F88" t="s">
        <v>479</v>
      </c>
      <c r="G88" t="s">
        <v>390</v>
      </c>
      <c r="H88" t="s">
        <v>391</v>
      </c>
      <c r="I88" t="s">
        <v>480</v>
      </c>
      <c r="J88" t="s">
        <v>494</v>
      </c>
      <c r="K88" t="s">
        <v>493</v>
      </c>
      <c r="L88" t="s">
        <v>623</v>
      </c>
      <c r="M88" t="s">
        <v>652</v>
      </c>
      <c r="N88" t="s">
        <v>643</v>
      </c>
      <c r="O88" t="s">
        <v>996</v>
      </c>
      <c r="P88" t="s">
        <v>612</v>
      </c>
      <c r="Q88">
        <v>0</v>
      </c>
      <c r="R88" t="s">
        <v>480</v>
      </c>
    </row>
    <row r="89" spans="1:18" x14ac:dyDescent="0.3">
      <c r="A89" t="s">
        <v>927</v>
      </c>
      <c r="B89" t="s">
        <v>484</v>
      </c>
      <c r="C89" t="s">
        <v>396</v>
      </c>
      <c r="D89" t="s">
        <v>612</v>
      </c>
      <c r="E89" t="s">
        <v>493</v>
      </c>
      <c r="F89" t="s">
        <v>479</v>
      </c>
      <c r="G89" t="s">
        <v>390</v>
      </c>
      <c r="H89" t="s">
        <v>391</v>
      </c>
      <c r="I89" t="s">
        <v>480</v>
      </c>
      <c r="J89" t="s">
        <v>494</v>
      </c>
      <c r="K89" t="s">
        <v>493</v>
      </c>
      <c r="L89" t="s">
        <v>623</v>
      </c>
      <c r="M89" t="s">
        <v>652</v>
      </c>
      <c r="N89" t="s">
        <v>643</v>
      </c>
      <c r="O89" t="s">
        <v>997</v>
      </c>
      <c r="P89" t="s">
        <v>612</v>
      </c>
      <c r="Q89">
        <v>0</v>
      </c>
      <c r="R89" t="s">
        <v>480</v>
      </c>
    </row>
    <row r="90" spans="1:18" x14ac:dyDescent="0.3">
      <c r="A90" t="s">
        <v>927</v>
      </c>
      <c r="B90" t="s">
        <v>484</v>
      </c>
      <c r="C90" t="s">
        <v>396</v>
      </c>
      <c r="D90" t="s">
        <v>612</v>
      </c>
      <c r="E90" t="s">
        <v>493</v>
      </c>
      <c r="F90" t="s">
        <v>479</v>
      </c>
      <c r="G90" t="s">
        <v>390</v>
      </c>
      <c r="H90" t="s">
        <v>391</v>
      </c>
      <c r="I90" t="s">
        <v>480</v>
      </c>
      <c r="J90" t="s">
        <v>494</v>
      </c>
      <c r="K90" t="s">
        <v>493</v>
      </c>
      <c r="L90" t="s">
        <v>623</v>
      </c>
      <c r="M90" t="s">
        <v>652</v>
      </c>
      <c r="N90" t="s">
        <v>643</v>
      </c>
      <c r="O90" t="s">
        <v>998</v>
      </c>
      <c r="P90" t="s">
        <v>612</v>
      </c>
      <c r="Q90">
        <v>0</v>
      </c>
      <c r="R90" t="s">
        <v>480</v>
      </c>
    </row>
    <row r="91" spans="1:18" x14ac:dyDescent="0.3">
      <c r="A91" t="s">
        <v>927</v>
      </c>
      <c r="B91" t="s">
        <v>484</v>
      </c>
      <c r="C91" t="s">
        <v>396</v>
      </c>
      <c r="D91" t="s">
        <v>612</v>
      </c>
      <c r="E91" t="s">
        <v>493</v>
      </c>
      <c r="F91" t="s">
        <v>479</v>
      </c>
      <c r="G91" t="s">
        <v>390</v>
      </c>
      <c r="H91" t="s">
        <v>391</v>
      </c>
      <c r="I91" t="s">
        <v>480</v>
      </c>
      <c r="J91" t="s">
        <v>494</v>
      </c>
      <c r="K91" t="s">
        <v>493</v>
      </c>
      <c r="L91" t="s">
        <v>623</v>
      </c>
      <c r="M91" t="s">
        <v>652</v>
      </c>
      <c r="N91" t="s">
        <v>643</v>
      </c>
      <c r="O91" t="s">
        <v>999</v>
      </c>
      <c r="P91" t="s">
        <v>612</v>
      </c>
      <c r="Q91">
        <v>0</v>
      </c>
      <c r="R91" t="s">
        <v>480</v>
      </c>
    </row>
    <row r="92" spans="1:18" x14ac:dyDescent="0.3">
      <c r="A92" t="s">
        <v>927</v>
      </c>
      <c r="B92" t="s">
        <v>484</v>
      </c>
      <c r="C92" t="s">
        <v>396</v>
      </c>
      <c r="D92" t="s">
        <v>612</v>
      </c>
      <c r="E92" t="s">
        <v>493</v>
      </c>
      <c r="F92" t="s">
        <v>479</v>
      </c>
      <c r="G92" t="s">
        <v>390</v>
      </c>
      <c r="H92" t="s">
        <v>391</v>
      </c>
      <c r="I92" t="s">
        <v>480</v>
      </c>
      <c r="J92" t="s">
        <v>494</v>
      </c>
      <c r="K92" t="s">
        <v>493</v>
      </c>
      <c r="L92" t="s">
        <v>623</v>
      </c>
      <c r="M92" t="s">
        <v>652</v>
      </c>
      <c r="N92" t="s">
        <v>643</v>
      </c>
      <c r="O92" t="s">
        <v>1006</v>
      </c>
      <c r="P92" t="s">
        <v>612</v>
      </c>
      <c r="Q92">
        <v>0</v>
      </c>
      <c r="R92" t="s">
        <v>480</v>
      </c>
    </row>
    <row r="93" spans="1:18" x14ac:dyDescent="0.3">
      <c r="A93" t="s">
        <v>927</v>
      </c>
      <c r="B93" t="s">
        <v>484</v>
      </c>
      <c r="C93" t="s">
        <v>396</v>
      </c>
      <c r="D93" t="s">
        <v>612</v>
      </c>
      <c r="E93" t="s">
        <v>493</v>
      </c>
      <c r="F93" t="s">
        <v>479</v>
      </c>
      <c r="G93" t="s">
        <v>390</v>
      </c>
      <c r="H93" t="s">
        <v>391</v>
      </c>
      <c r="I93" t="s">
        <v>480</v>
      </c>
      <c r="J93" t="s">
        <v>494</v>
      </c>
      <c r="K93" t="s">
        <v>493</v>
      </c>
      <c r="L93" t="s">
        <v>623</v>
      </c>
      <c r="M93" t="s">
        <v>652</v>
      </c>
      <c r="N93" t="s">
        <v>643</v>
      </c>
      <c r="O93" t="s">
        <v>1007</v>
      </c>
      <c r="P93" t="s">
        <v>612</v>
      </c>
      <c r="Q93">
        <v>0</v>
      </c>
      <c r="R93" t="s">
        <v>480</v>
      </c>
    </row>
    <row r="94" spans="1:18" x14ac:dyDescent="0.3">
      <c r="A94" t="s">
        <v>927</v>
      </c>
      <c r="B94" t="s">
        <v>484</v>
      </c>
      <c r="C94" t="s">
        <v>396</v>
      </c>
      <c r="D94" t="s">
        <v>612</v>
      </c>
      <c r="E94" t="s">
        <v>493</v>
      </c>
      <c r="F94" t="s">
        <v>479</v>
      </c>
      <c r="G94" t="s">
        <v>390</v>
      </c>
      <c r="H94" t="s">
        <v>391</v>
      </c>
      <c r="I94" t="s">
        <v>480</v>
      </c>
      <c r="J94" t="s">
        <v>494</v>
      </c>
      <c r="K94" t="s">
        <v>493</v>
      </c>
      <c r="L94" t="s">
        <v>623</v>
      </c>
      <c r="M94" t="s">
        <v>652</v>
      </c>
      <c r="N94" t="s">
        <v>643</v>
      </c>
      <c r="O94" t="s">
        <v>1008</v>
      </c>
      <c r="P94" t="s">
        <v>612</v>
      </c>
      <c r="Q94">
        <v>0</v>
      </c>
      <c r="R94" t="s">
        <v>480</v>
      </c>
    </row>
    <row r="95" spans="1:18" x14ac:dyDescent="0.3">
      <c r="A95" t="s">
        <v>515</v>
      </c>
      <c r="B95" t="s">
        <v>591</v>
      </c>
      <c r="C95" t="s">
        <v>478</v>
      </c>
      <c r="D95" t="s">
        <v>490</v>
      </c>
      <c r="E95" t="s">
        <v>493</v>
      </c>
      <c r="F95" t="s">
        <v>481</v>
      </c>
      <c r="G95" t="s">
        <v>501</v>
      </c>
      <c r="H95" t="s">
        <v>486</v>
      </c>
      <c r="I95" t="s">
        <v>480</v>
      </c>
      <c r="J95" t="s">
        <v>494</v>
      </c>
      <c r="K95" t="s">
        <v>493</v>
      </c>
      <c r="L95" t="s">
        <v>514</v>
      </c>
      <c r="M95" t="s">
        <v>498</v>
      </c>
      <c r="N95" t="s">
        <v>511</v>
      </c>
      <c r="O95" t="s">
        <v>533</v>
      </c>
      <c r="P95" t="s">
        <v>490</v>
      </c>
      <c r="Q95">
        <v>1</v>
      </c>
      <c r="R95" t="s">
        <v>480</v>
      </c>
    </row>
    <row r="96" spans="1:18" x14ac:dyDescent="0.3">
      <c r="A96" t="s">
        <v>641</v>
      </c>
      <c r="B96" t="s">
        <v>682</v>
      </c>
      <c r="C96" t="s">
        <v>478</v>
      </c>
      <c r="D96" t="s">
        <v>612</v>
      </c>
      <c r="E96" t="s">
        <v>493</v>
      </c>
      <c r="F96" t="s">
        <v>479</v>
      </c>
      <c r="G96" t="s">
        <v>394</v>
      </c>
      <c r="H96" t="s">
        <v>391</v>
      </c>
      <c r="I96" t="s">
        <v>480</v>
      </c>
      <c r="J96" t="s">
        <v>494</v>
      </c>
      <c r="K96" t="s">
        <v>493</v>
      </c>
      <c r="L96" t="s">
        <v>626</v>
      </c>
      <c r="M96" t="s">
        <v>655</v>
      </c>
      <c r="N96" t="s">
        <v>643</v>
      </c>
      <c r="O96" t="s">
        <v>656</v>
      </c>
      <c r="P96" t="s">
        <v>612</v>
      </c>
      <c r="Q96">
        <v>1</v>
      </c>
      <c r="R96" t="s">
        <v>480</v>
      </c>
    </row>
    <row r="97" spans="1:18" x14ac:dyDescent="0.3">
      <c r="A97" t="s">
        <v>641</v>
      </c>
      <c r="B97" t="s">
        <v>682</v>
      </c>
      <c r="C97" t="s">
        <v>478</v>
      </c>
      <c r="D97" t="s">
        <v>612</v>
      </c>
      <c r="E97" t="s">
        <v>493</v>
      </c>
      <c r="F97" t="s">
        <v>479</v>
      </c>
      <c r="G97" t="s">
        <v>394</v>
      </c>
      <c r="H97" t="s">
        <v>391</v>
      </c>
      <c r="I97" t="s">
        <v>480</v>
      </c>
      <c r="J97" t="s">
        <v>494</v>
      </c>
      <c r="K97" t="s">
        <v>493</v>
      </c>
      <c r="L97" t="s">
        <v>626</v>
      </c>
      <c r="M97" t="s">
        <v>655</v>
      </c>
      <c r="N97" t="s">
        <v>643</v>
      </c>
      <c r="O97" t="s">
        <v>671</v>
      </c>
      <c r="P97" t="s">
        <v>612</v>
      </c>
      <c r="Q97">
        <v>1</v>
      </c>
      <c r="R97" t="s">
        <v>480</v>
      </c>
    </row>
    <row r="98" spans="1:18" x14ac:dyDescent="0.3">
      <c r="A98" t="s">
        <v>641</v>
      </c>
      <c r="B98" t="s">
        <v>762</v>
      </c>
      <c r="C98" t="s">
        <v>478</v>
      </c>
      <c r="D98" t="s">
        <v>612</v>
      </c>
      <c r="E98" t="s">
        <v>493</v>
      </c>
      <c r="F98" t="s">
        <v>479</v>
      </c>
      <c r="G98" t="s">
        <v>394</v>
      </c>
      <c r="H98" t="s">
        <v>391</v>
      </c>
      <c r="I98" t="s">
        <v>480</v>
      </c>
      <c r="J98" t="s">
        <v>494</v>
      </c>
      <c r="K98" t="s">
        <v>493</v>
      </c>
      <c r="L98" t="s">
        <v>626</v>
      </c>
      <c r="M98" t="s">
        <v>655</v>
      </c>
      <c r="N98" t="s">
        <v>643</v>
      </c>
      <c r="O98" t="s">
        <v>683</v>
      </c>
      <c r="P98" t="s">
        <v>612</v>
      </c>
      <c r="Q98">
        <v>1</v>
      </c>
      <c r="R98" t="s">
        <v>480</v>
      </c>
    </row>
    <row r="99" spans="1:18" x14ac:dyDescent="0.3">
      <c r="A99" t="s">
        <v>641</v>
      </c>
      <c r="B99" t="s">
        <v>763</v>
      </c>
      <c r="C99" t="s">
        <v>478</v>
      </c>
      <c r="D99" t="s">
        <v>612</v>
      </c>
      <c r="E99" t="s">
        <v>493</v>
      </c>
      <c r="F99" t="s">
        <v>479</v>
      </c>
      <c r="G99" t="s">
        <v>394</v>
      </c>
      <c r="H99" t="s">
        <v>391</v>
      </c>
      <c r="I99" t="s">
        <v>480</v>
      </c>
      <c r="J99" t="s">
        <v>494</v>
      </c>
      <c r="K99" t="s">
        <v>493</v>
      </c>
      <c r="L99" t="s">
        <v>626</v>
      </c>
      <c r="M99" t="s">
        <v>655</v>
      </c>
      <c r="N99" t="s">
        <v>643</v>
      </c>
      <c r="O99" t="s">
        <v>701</v>
      </c>
      <c r="P99" t="s">
        <v>612</v>
      </c>
      <c r="Q99">
        <v>1</v>
      </c>
      <c r="R99" t="s">
        <v>480</v>
      </c>
    </row>
    <row r="100" spans="1:18" x14ac:dyDescent="0.3">
      <c r="A100" t="s">
        <v>641</v>
      </c>
      <c r="B100" t="s">
        <v>762</v>
      </c>
      <c r="C100" t="s">
        <v>478</v>
      </c>
      <c r="D100" t="s">
        <v>612</v>
      </c>
      <c r="E100" t="s">
        <v>493</v>
      </c>
      <c r="F100" t="s">
        <v>479</v>
      </c>
      <c r="G100" t="s">
        <v>394</v>
      </c>
      <c r="H100" t="s">
        <v>391</v>
      </c>
      <c r="I100" t="s">
        <v>480</v>
      </c>
      <c r="J100" t="s">
        <v>494</v>
      </c>
      <c r="K100" t="s">
        <v>493</v>
      </c>
      <c r="L100" t="s">
        <v>626</v>
      </c>
      <c r="M100" t="s">
        <v>655</v>
      </c>
      <c r="N100" t="s">
        <v>643</v>
      </c>
      <c r="O100" t="s">
        <v>716</v>
      </c>
      <c r="P100" t="s">
        <v>612</v>
      </c>
      <c r="Q100">
        <v>1</v>
      </c>
      <c r="R100" t="s">
        <v>480</v>
      </c>
    </row>
    <row r="101" spans="1:18" x14ac:dyDescent="0.3">
      <c r="A101" t="s">
        <v>641</v>
      </c>
      <c r="B101" t="s">
        <v>762</v>
      </c>
      <c r="C101" t="s">
        <v>478</v>
      </c>
      <c r="D101" t="s">
        <v>612</v>
      </c>
      <c r="E101" t="s">
        <v>493</v>
      </c>
      <c r="F101" t="s">
        <v>479</v>
      </c>
      <c r="G101" t="s">
        <v>394</v>
      </c>
      <c r="H101" t="s">
        <v>391</v>
      </c>
      <c r="I101" t="s">
        <v>480</v>
      </c>
      <c r="J101" t="s">
        <v>494</v>
      </c>
      <c r="K101" t="s">
        <v>493</v>
      </c>
      <c r="L101" t="s">
        <v>626</v>
      </c>
      <c r="M101" t="s">
        <v>655</v>
      </c>
      <c r="N101" t="s">
        <v>643</v>
      </c>
      <c r="O101" t="s">
        <v>734</v>
      </c>
      <c r="P101" t="s">
        <v>612</v>
      </c>
      <c r="Q101">
        <v>1</v>
      </c>
      <c r="R101" t="s">
        <v>480</v>
      </c>
    </row>
    <row r="102" spans="1:18" x14ac:dyDescent="0.3">
      <c r="A102" t="s">
        <v>725</v>
      </c>
      <c r="B102" t="s">
        <v>763</v>
      </c>
      <c r="C102" t="s">
        <v>478</v>
      </c>
      <c r="D102" t="s">
        <v>612</v>
      </c>
      <c r="E102" t="s">
        <v>493</v>
      </c>
      <c r="F102" t="s">
        <v>479</v>
      </c>
      <c r="G102" t="s">
        <v>394</v>
      </c>
      <c r="H102" t="s">
        <v>391</v>
      </c>
      <c r="I102" t="s">
        <v>480</v>
      </c>
      <c r="J102" t="s">
        <v>494</v>
      </c>
      <c r="K102" t="s">
        <v>493</v>
      </c>
      <c r="L102" t="s">
        <v>626</v>
      </c>
      <c r="M102" t="s">
        <v>655</v>
      </c>
      <c r="N102" t="s">
        <v>643</v>
      </c>
      <c r="O102" t="s">
        <v>736</v>
      </c>
      <c r="P102" t="s">
        <v>612</v>
      </c>
      <c r="Q102">
        <v>1</v>
      </c>
      <c r="R102" t="s">
        <v>480</v>
      </c>
    </row>
    <row r="103" spans="1:18" x14ac:dyDescent="0.3">
      <c r="A103" t="s">
        <v>725</v>
      </c>
      <c r="B103" t="s">
        <v>763</v>
      </c>
      <c r="C103" t="s">
        <v>478</v>
      </c>
      <c r="D103" t="s">
        <v>612</v>
      </c>
      <c r="E103" t="s">
        <v>493</v>
      </c>
      <c r="F103" t="s">
        <v>479</v>
      </c>
      <c r="G103" t="s">
        <v>394</v>
      </c>
      <c r="H103" t="s">
        <v>391</v>
      </c>
      <c r="I103" t="s">
        <v>480</v>
      </c>
      <c r="J103" t="s">
        <v>494</v>
      </c>
      <c r="K103" t="s">
        <v>493</v>
      </c>
      <c r="L103" t="s">
        <v>626</v>
      </c>
      <c r="M103" t="s">
        <v>655</v>
      </c>
      <c r="N103" t="s">
        <v>643</v>
      </c>
      <c r="O103" t="s">
        <v>754</v>
      </c>
      <c r="P103" t="s">
        <v>612</v>
      </c>
      <c r="Q103">
        <v>1</v>
      </c>
      <c r="R103" t="s">
        <v>480</v>
      </c>
    </row>
    <row r="104" spans="1:18" x14ac:dyDescent="0.3">
      <c r="A104" t="s">
        <v>725</v>
      </c>
      <c r="B104" t="s">
        <v>762</v>
      </c>
      <c r="C104" t="s">
        <v>478</v>
      </c>
      <c r="D104" t="s">
        <v>612</v>
      </c>
      <c r="E104" t="s">
        <v>493</v>
      </c>
      <c r="F104" t="s">
        <v>479</v>
      </c>
      <c r="G104" t="s">
        <v>394</v>
      </c>
      <c r="H104" t="s">
        <v>391</v>
      </c>
      <c r="I104" t="s">
        <v>480</v>
      </c>
      <c r="J104" t="s">
        <v>494</v>
      </c>
      <c r="K104" t="s">
        <v>493</v>
      </c>
      <c r="L104" t="s">
        <v>626</v>
      </c>
      <c r="M104" t="s">
        <v>655</v>
      </c>
      <c r="N104" t="s">
        <v>643</v>
      </c>
      <c r="O104" t="s">
        <v>766</v>
      </c>
      <c r="P104" t="s">
        <v>612</v>
      </c>
      <c r="Q104">
        <v>1</v>
      </c>
      <c r="R104" t="s">
        <v>480</v>
      </c>
    </row>
    <row r="105" spans="1:18" x14ac:dyDescent="0.3">
      <c r="A105" t="s">
        <v>725</v>
      </c>
      <c r="B105" t="s">
        <v>870</v>
      </c>
      <c r="C105" t="s">
        <v>478</v>
      </c>
      <c r="D105" t="s">
        <v>612</v>
      </c>
      <c r="E105" t="s">
        <v>493</v>
      </c>
      <c r="F105" t="s">
        <v>479</v>
      </c>
      <c r="G105" t="s">
        <v>394</v>
      </c>
      <c r="H105" t="s">
        <v>391</v>
      </c>
      <c r="I105" t="s">
        <v>480</v>
      </c>
      <c r="J105" t="s">
        <v>494</v>
      </c>
      <c r="K105" t="s">
        <v>493</v>
      </c>
      <c r="L105" t="s">
        <v>626</v>
      </c>
      <c r="M105" t="s">
        <v>655</v>
      </c>
      <c r="N105" t="s">
        <v>643</v>
      </c>
      <c r="O105" t="s">
        <v>772</v>
      </c>
      <c r="P105" t="s">
        <v>612</v>
      </c>
      <c r="Q105">
        <v>1</v>
      </c>
      <c r="R105" t="s">
        <v>480</v>
      </c>
    </row>
    <row r="106" spans="1:18" x14ac:dyDescent="0.3">
      <c r="A106" t="s">
        <v>725</v>
      </c>
      <c r="B106" t="s">
        <v>870</v>
      </c>
      <c r="C106" t="s">
        <v>478</v>
      </c>
      <c r="D106" t="s">
        <v>612</v>
      </c>
      <c r="E106" t="s">
        <v>493</v>
      </c>
      <c r="F106" t="s">
        <v>479</v>
      </c>
      <c r="G106" t="s">
        <v>394</v>
      </c>
      <c r="H106" t="s">
        <v>391</v>
      </c>
      <c r="I106" t="s">
        <v>480</v>
      </c>
      <c r="J106" t="s">
        <v>494</v>
      </c>
      <c r="K106" t="s">
        <v>493</v>
      </c>
      <c r="L106" t="s">
        <v>626</v>
      </c>
      <c r="M106" t="s">
        <v>655</v>
      </c>
      <c r="N106" t="s">
        <v>643</v>
      </c>
      <c r="O106" t="s">
        <v>789</v>
      </c>
      <c r="P106" t="s">
        <v>612</v>
      </c>
      <c r="Q106">
        <v>1</v>
      </c>
      <c r="R106" t="s">
        <v>480</v>
      </c>
    </row>
    <row r="107" spans="1:18" x14ac:dyDescent="0.3">
      <c r="A107" t="s">
        <v>725</v>
      </c>
      <c r="B107" t="s">
        <v>870</v>
      </c>
      <c r="C107" t="s">
        <v>478</v>
      </c>
      <c r="D107" t="s">
        <v>612</v>
      </c>
      <c r="E107" t="s">
        <v>493</v>
      </c>
      <c r="F107" t="s">
        <v>479</v>
      </c>
      <c r="G107" t="s">
        <v>394</v>
      </c>
      <c r="H107" t="s">
        <v>391</v>
      </c>
      <c r="I107" t="s">
        <v>480</v>
      </c>
      <c r="J107" t="s">
        <v>494</v>
      </c>
      <c r="K107" t="s">
        <v>493</v>
      </c>
      <c r="L107" t="s">
        <v>626</v>
      </c>
      <c r="M107" t="s">
        <v>655</v>
      </c>
      <c r="N107" t="s">
        <v>643</v>
      </c>
      <c r="O107" t="s">
        <v>810</v>
      </c>
      <c r="P107" t="s">
        <v>612</v>
      </c>
      <c r="Q107">
        <v>1</v>
      </c>
      <c r="R107" t="s">
        <v>480</v>
      </c>
    </row>
    <row r="108" spans="1:18" x14ac:dyDescent="0.3">
      <c r="A108" t="s">
        <v>725</v>
      </c>
      <c r="B108" t="s">
        <v>870</v>
      </c>
      <c r="C108" t="s">
        <v>478</v>
      </c>
      <c r="D108" t="s">
        <v>612</v>
      </c>
      <c r="E108" t="s">
        <v>493</v>
      </c>
      <c r="F108" t="s">
        <v>479</v>
      </c>
      <c r="G108" t="s">
        <v>394</v>
      </c>
      <c r="H108" t="s">
        <v>391</v>
      </c>
      <c r="I108" t="s">
        <v>480</v>
      </c>
      <c r="J108" t="s">
        <v>494</v>
      </c>
      <c r="K108" t="s">
        <v>493</v>
      </c>
      <c r="L108" t="s">
        <v>626</v>
      </c>
      <c r="M108" t="s">
        <v>655</v>
      </c>
      <c r="N108" t="s">
        <v>643</v>
      </c>
      <c r="O108" t="s">
        <v>824</v>
      </c>
      <c r="P108" t="s">
        <v>612</v>
      </c>
      <c r="Q108">
        <v>1</v>
      </c>
      <c r="R108" t="s">
        <v>480</v>
      </c>
    </row>
    <row r="109" spans="1:18" x14ac:dyDescent="0.3">
      <c r="A109" t="s">
        <v>725</v>
      </c>
      <c r="B109" t="s">
        <v>871</v>
      </c>
      <c r="C109" t="s">
        <v>478</v>
      </c>
      <c r="D109" t="s">
        <v>612</v>
      </c>
      <c r="E109" t="s">
        <v>493</v>
      </c>
      <c r="F109" t="s">
        <v>479</v>
      </c>
      <c r="G109" t="s">
        <v>394</v>
      </c>
      <c r="H109" t="s">
        <v>391</v>
      </c>
      <c r="I109" t="s">
        <v>480</v>
      </c>
      <c r="J109" t="s">
        <v>494</v>
      </c>
      <c r="K109" t="s">
        <v>493</v>
      </c>
      <c r="L109" t="s">
        <v>626</v>
      </c>
      <c r="M109" t="s">
        <v>655</v>
      </c>
      <c r="N109" t="s">
        <v>643</v>
      </c>
      <c r="O109" t="s">
        <v>826</v>
      </c>
      <c r="P109" t="s">
        <v>612</v>
      </c>
      <c r="Q109">
        <v>1</v>
      </c>
      <c r="R109" t="s">
        <v>480</v>
      </c>
    </row>
    <row r="110" spans="1:18" x14ac:dyDescent="0.3">
      <c r="A110" t="s">
        <v>725</v>
      </c>
      <c r="B110" t="s">
        <v>871</v>
      </c>
      <c r="C110" t="s">
        <v>478</v>
      </c>
      <c r="D110" t="s">
        <v>612</v>
      </c>
      <c r="E110" t="s">
        <v>493</v>
      </c>
      <c r="F110" t="s">
        <v>479</v>
      </c>
      <c r="G110" t="s">
        <v>394</v>
      </c>
      <c r="H110" t="s">
        <v>391</v>
      </c>
      <c r="I110" t="s">
        <v>480</v>
      </c>
      <c r="J110" t="s">
        <v>494</v>
      </c>
      <c r="K110" t="s">
        <v>493</v>
      </c>
      <c r="L110" t="s">
        <v>626</v>
      </c>
      <c r="M110" t="s">
        <v>655</v>
      </c>
      <c r="N110" t="s">
        <v>643</v>
      </c>
      <c r="O110" t="s">
        <v>840</v>
      </c>
      <c r="P110" t="s">
        <v>612</v>
      </c>
      <c r="Q110">
        <v>1</v>
      </c>
      <c r="R110" t="s">
        <v>480</v>
      </c>
    </row>
    <row r="111" spans="1:18" x14ac:dyDescent="0.3">
      <c r="A111" t="s">
        <v>841</v>
      </c>
      <c r="B111" t="s">
        <v>871</v>
      </c>
      <c r="C111" t="s">
        <v>478</v>
      </c>
      <c r="D111" t="s">
        <v>612</v>
      </c>
      <c r="E111" t="s">
        <v>493</v>
      </c>
      <c r="F111" t="s">
        <v>479</v>
      </c>
      <c r="G111" t="s">
        <v>394</v>
      </c>
      <c r="H111" t="s">
        <v>391</v>
      </c>
      <c r="I111" t="s">
        <v>480</v>
      </c>
      <c r="J111" t="s">
        <v>494</v>
      </c>
      <c r="K111" t="s">
        <v>493</v>
      </c>
      <c r="L111" t="s">
        <v>626</v>
      </c>
      <c r="M111" t="s">
        <v>655</v>
      </c>
      <c r="N111" t="s">
        <v>643</v>
      </c>
      <c r="O111" t="s">
        <v>845</v>
      </c>
      <c r="P111" t="s">
        <v>612</v>
      </c>
      <c r="Q111">
        <v>1</v>
      </c>
      <c r="R111" t="s">
        <v>480</v>
      </c>
    </row>
    <row r="112" spans="1:18" x14ac:dyDescent="0.3">
      <c r="A112" t="s">
        <v>841</v>
      </c>
      <c r="B112" t="s">
        <v>872</v>
      </c>
      <c r="C112" t="s">
        <v>478</v>
      </c>
      <c r="D112" t="s">
        <v>612</v>
      </c>
      <c r="E112" t="s">
        <v>493</v>
      </c>
      <c r="F112" t="s">
        <v>479</v>
      </c>
      <c r="G112" t="s">
        <v>394</v>
      </c>
      <c r="H112" t="s">
        <v>391</v>
      </c>
      <c r="I112" t="s">
        <v>480</v>
      </c>
      <c r="J112" t="s">
        <v>494</v>
      </c>
      <c r="K112" t="s">
        <v>493</v>
      </c>
      <c r="L112" t="s">
        <v>626</v>
      </c>
      <c r="M112" t="s">
        <v>655</v>
      </c>
      <c r="N112" t="s">
        <v>643</v>
      </c>
      <c r="O112" t="s">
        <v>859</v>
      </c>
      <c r="P112" t="s">
        <v>612</v>
      </c>
      <c r="Q112">
        <v>1</v>
      </c>
      <c r="R112" t="s">
        <v>480</v>
      </c>
    </row>
    <row r="113" spans="1:18" x14ac:dyDescent="0.3">
      <c r="A113" t="s">
        <v>841</v>
      </c>
      <c r="B113" t="s">
        <v>872</v>
      </c>
      <c r="C113" t="s">
        <v>478</v>
      </c>
      <c r="D113" t="s">
        <v>612</v>
      </c>
      <c r="E113" t="s">
        <v>493</v>
      </c>
      <c r="F113" t="s">
        <v>479</v>
      </c>
      <c r="G113" t="s">
        <v>394</v>
      </c>
      <c r="H113" t="s">
        <v>391</v>
      </c>
      <c r="I113" t="s">
        <v>480</v>
      </c>
      <c r="J113" t="s">
        <v>494</v>
      </c>
      <c r="K113" t="s">
        <v>493</v>
      </c>
      <c r="L113" t="s">
        <v>626</v>
      </c>
      <c r="M113" t="s">
        <v>655</v>
      </c>
      <c r="N113" t="s">
        <v>643</v>
      </c>
      <c r="O113" t="s">
        <v>862</v>
      </c>
      <c r="P113" t="s">
        <v>612</v>
      </c>
      <c r="Q113">
        <v>1</v>
      </c>
      <c r="R113" t="s">
        <v>480</v>
      </c>
    </row>
    <row r="114" spans="1:18" x14ac:dyDescent="0.3">
      <c r="A114" t="s">
        <v>841</v>
      </c>
      <c r="B114" t="s">
        <v>872</v>
      </c>
      <c r="C114" t="s">
        <v>478</v>
      </c>
      <c r="D114" t="s">
        <v>612</v>
      </c>
      <c r="E114" t="s">
        <v>493</v>
      </c>
      <c r="F114" t="s">
        <v>479</v>
      </c>
      <c r="G114" t="s">
        <v>394</v>
      </c>
      <c r="H114" t="s">
        <v>391</v>
      </c>
      <c r="I114" t="s">
        <v>480</v>
      </c>
      <c r="J114" t="s">
        <v>494</v>
      </c>
      <c r="K114" t="s">
        <v>493</v>
      </c>
      <c r="L114" t="s">
        <v>626</v>
      </c>
      <c r="M114" t="s">
        <v>655</v>
      </c>
      <c r="N114" t="s">
        <v>643</v>
      </c>
      <c r="O114" t="s">
        <v>865</v>
      </c>
      <c r="P114" t="s">
        <v>612</v>
      </c>
      <c r="Q114">
        <v>1</v>
      </c>
      <c r="R114" t="s">
        <v>480</v>
      </c>
    </row>
    <row r="115" spans="1:18" x14ac:dyDescent="0.3">
      <c r="A115" t="s">
        <v>841</v>
      </c>
      <c r="B115" t="s">
        <v>917</v>
      </c>
      <c r="C115" t="s">
        <v>478</v>
      </c>
      <c r="D115" t="s">
        <v>612</v>
      </c>
      <c r="E115" t="s">
        <v>493</v>
      </c>
      <c r="F115" t="s">
        <v>479</v>
      </c>
      <c r="G115" t="s">
        <v>394</v>
      </c>
      <c r="H115" t="s">
        <v>391</v>
      </c>
      <c r="I115" t="s">
        <v>480</v>
      </c>
      <c r="J115" t="s">
        <v>494</v>
      </c>
      <c r="K115" t="s">
        <v>493</v>
      </c>
      <c r="L115" t="s">
        <v>626</v>
      </c>
      <c r="M115" t="s">
        <v>655</v>
      </c>
      <c r="N115" t="s">
        <v>643</v>
      </c>
      <c r="O115" t="s">
        <v>877</v>
      </c>
      <c r="P115" t="s">
        <v>612</v>
      </c>
      <c r="Q115">
        <v>0</v>
      </c>
      <c r="R115" t="s">
        <v>480</v>
      </c>
    </row>
    <row r="116" spans="1:18" x14ac:dyDescent="0.3">
      <c r="A116" t="s">
        <v>841</v>
      </c>
      <c r="B116" t="s">
        <v>917</v>
      </c>
      <c r="C116" t="s">
        <v>478</v>
      </c>
      <c r="D116" t="s">
        <v>612</v>
      </c>
      <c r="E116" t="s">
        <v>493</v>
      </c>
      <c r="F116" t="s">
        <v>479</v>
      </c>
      <c r="G116" t="s">
        <v>394</v>
      </c>
      <c r="H116" t="s">
        <v>391</v>
      </c>
      <c r="I116" t="s">
        <v>480</v>
      </c>
      <c r="J116" t="s">
        <v>494</v>
      </c>
      <c r="K116" t="s">
        <v>493</v>
      </c>
      <c r="L116" t="s">
        <v>626</v>
      </c>
      <c r="M116" t="s">
        <v>655</v>
      </c>
      <c r="N116" t="s">
        <v>643</v>
      </c>
      <c r="O116" t="s">
        <v>881</v>
      </c>
      <c r="P116" t="s">
        <v>612</v>
      </c>
      <c r="Q116">
        <v>0</v>
      </c>
      <c r="R116" t="s">
        <v>480</v>
      </c>
    </row>
    <row r="117" spans="1:18" x14ac:dyDescent="0.3">
      <c r="A117" t="s">
        <v>841</v>
      </c>
      <c r="B117" t="s">
        <v>917</v>
      </c>
      <c r="C117" t="s">
        <v>478</v>
      </c>
      <c r="D117" t="s">
        <v>612</v>
      </c>
      <c r="E117" t="s">
        <v>493</v>
      </c>
      <c r="F117" t="s">
        <v>479</v>
      </c>
      <c r="G117" t="s">
        <v>394</v>
      </c>
      <c r="H117" t="s">
        <v>391</v>
      </c>
      <c r="I117" t="s">
        <v>480</v>
      </c>
      <c r="J117" t="s">
        <v>494</v>
      </c>
      <c r="K117" t="s">
        <v>493</v>
      </c>
      <c r="L117" t="s">
        <v>626</v>
      </c>
      <c r="M117" t="s">
        <v>655</v>
      </c>
      <c r="N117" t="s">
        <v>643</v>
      </c>
      <c r="O117" t="s">
        <v>888</v>
      </c>
      <c r="P117" t="s">
        <v>612</v>
      </c>
      <c r="Q117">
        <v>0</v>
      </c>
      <c r="R117" t="s">
        <v>480</v>
      </c>
    </row>
    <row r="118" spans="1:18" x14ac:dyDescent="0.3">
      <c r="A118" t="s">
        <v>841</v>
      </c>
      <c r="B118" t="s">
        <v>917</v>
      </c>
      <c r="C118" t="s">
        <v>478</v>
      </c>
      <c r="D118" t="s">
        <v>612</v>
      </c>
      <c r="E118" t="s">
        <v>493</v>
      </c>
      <c r="F118" t="s">
        <v>479</v>
      </c>
      <c r="G118" t="s">
        <v>394</v>
      </c>
      <c r="H118" t="s">
        <v>391</v>
      </c>
      <c r="I118" t="s">
        <v>480</v>
      </c>
      <c r="J118" t="s">
        <v>494</v>
      </c>
      <c r="K118" t="s">
        <v>493</v>
      </c>
      <c r="L118" t="s">
        <v>626</v>
      </c>
      <c r="M118" t="s">
        <v>655</v>
      </c>
      <c r="N118" t="s">
        <v>643</v>
      </c>
      <c r="O118" t="s">
        <v>891</v>
      </c>
      <c r="P118" t="s">
        <v>612</v>
      </c>
      <c r="Q118">
        <v>0</v>
      </c>
      <c r="R118" t="s">
        <v>480</v>
      </c>
    </row>
    <row r="119" spans="1:18" x14ac:dyDescent="0.3">
      <c r="A119" t="s">
        <v>841</v>
      </c>
      <c r="B119" t="s">
        <v>918</v>
      </c>
      <c r="C119" t="s">
        <v>478</v>
      </c>
      <c r="D119" t="s">
        <v>612</v>
      </c>
      <c r="E119" t="s">
        <v>493</v>
      </c>
      <c r="F119" t="s">
        <v>479</v>
      </c>
      <c r="G119" t="s">
        <v>394</v>
      </c>
      <c r="H119" t="s">
        <v>391</v>
      </c>
      <c r="I119" t="s">
        <v>480</v>
      </c>
      <c r="J119" t="s">
        <v>494</v>
      </c>
      <c r="K119" t="s">
        <v>493</v>
      </c>
      <c r="L119" t="s">
        <v>626</v>
      </c>
      <c r="M119" t="s">
        <v>655</v>
      </c>
      <c r="N119" t="s">
        <v>643</v>
      </c>
      <c r="O119" t="s">
        <v>896</v>
      </c>
      <c r="P119" t="s">
        <v>612</v>
      </c>
      <c r="Q119">
        <v>0</v>
      </c>
      <c r="R119" t="s">
        <v>480</v>
      </c>
    </row>
    <row r="120" spans="1:18" x14ac:dyDescent="0.3">
      <c r="A120" t="s">
        <v>841</v>
      </c>
      <c r="B120" t="s">
        <v>918</v>
      </c>
      <c r="C120" t="s">
        <v>478</v>
      </c>
      <c r="D120" t="s">
        <v>612</v>
      </c>
      <c r="E120" t="s">
        <v>493</v>
      </c>
      <c r="F120" t="s">
        <v>479</v>
      </c>
      <c r="G120" t="s">
        <v>394</v>
      </c>
      <c r="H120" t="s">
        <v>391</v>
      </c>
      <c r="I120" t="s">
        <v>480</v>
      </c>
      <c r="J120" t="s">
        <v>494</v>
      </c>
      <c r="K120" t="s">
        <v>493</v>
      </c>
      <c r="L120" t="s">
        <v>626</v>
      </c>
      <c r="M120" t="s">
        <v>655</v>
      </c>
      <c r="N120" t="s">
        <v>893</v>
      </c>
      <c r="O120" t="s">
        <v>898</v>
      </c>
      <c r="P120" t="s">
        <v>612</v>
      </c>
      <c r="Q120">
        <v>0</v>
      </c>
      <c r="R120" t="s">
        <v>480</v>
      </c>
    </row>
    <row r="121" spans="1:18" x14ac:dyDescent="0.3">
      <c r="A121" t="s">
        <v>841</v>
      </c>
      <c r="B121" t="s">
        <v>918</v>
      </c>
      <c r="C121" t="s">
        <v>478</v>
      </c>
      <c r="D121" t="s">
        <v>612</v>
      </c>
      <c r="E121" t="s">
        <v>493</v>
      </c>
      <c r="F121" t="s">
        <v>479</v>
      </c>
      <c r="G121" t="s">
        <v>394</v>
      </c>
      <c r="H121" t="s">
        <v>391</v>
      </c>
      <c r="I121" t="s">
        <v>480</v>
      </c>
      <c r="J121" t="s">
        <v>494</v>
      </c>
      <c r="K121" t="s">
        <v>493</v>
      </c>
      <c r="L121" t="s">
        <v>626</v>
      </c>
      <c r="M121" t="s">
        <v>655</v>
      </c>
      <c r="N121" t="s">
        <v>893</v>
      </c>
      <c r="O121" t="s">
        <v>916</v>
      </c>
      <c r="P121" t="s">
        <v>612</v>
      </c>
      <c r="Q121">
        <v>0</v>
      </c>
      <c r="R121" t="s">
        <v>480</v>
      </c>
    </row>
    <row r="122" spans="1:18" x14ac:dyDescent="0.3">
      <c r="A122" t="s">
        <v>927</v>
      </c>
      <c r="B122" t="s">
        <v>953</v>
      </c>
      <c r="C122" t="s">
        <v>478</v>
      </c>
      <c r="D122" t="s">
        <v>612</v>
      </c>
      <c r="E122" t="s">
        <v>493</v>
      </c>
      <c r="F122" t="s">
        <v>479</v>
      </c>
      <c r="G122" t="s">
        <v>394</v>
      </c>
      <c r="H122" t="s">
        <v>391</v>
      </c>
      <c r="I122" t="s">
        <v>480</v>
      </c>
      <c r="J122" t="s">
        <v>494</v>
      </c>
      <c r="K122" t="s">
        <v>493</v>
      </c>
      <c r="L122" t="s">
        <v>626</v>
      </c>
      <c r="M122" t="s">
        <v>655</v>
      </c>
      <c r="N122" t="s">
        <v>893</v>
      </c>
      <c r="O122" t="s">
        <v>932</v>
      </c>
      <c r="P122" t="s">
        <v>612</v>
      </c>
      <c r="Q122">
        <v>0</v>
      </c>
      <c r="R122" t="s">
        <v>480</v>
      </c>
    </row>
    <row r="123" spans="1:18" x14ac:dyDescent="0.3">
      <c r="A123" t="s">
        <v>841</v>
      </c>
      <c r="B123" t="s">
        <v>953</v>
      </c>
      <c r="C123" t="s">
        <v>478</v>
      </c>
      <c r="D123" t="s">
        <v>612</v>
      </c>
      <c r="E123" t="s">
        <v>493</v>
      </c>
      <c r="F123" t="s">
        <v>479</v>
      </c>
      <c r="G123" t="s">
        <v>394</v>
      </c>
      <c r="H123" t="s">
        <v>391</v>
      </c>
      <c r="I123" t="s">
        <v>480</v>
      </c>
      <c r="J123" t="s">
        <v>494</v>
      </c>
      <c r="K123" t="s">
        <v>493</v>
      </c>
      <c r="L123" t="s">
        <v>626</v>
      </c>
      <c r="M123" t="s">
        <v>655</v>
      </c>
      <c r="N123" t="s">
        <v>893</v>
      </c>
      <c r="O123" t="s">
        <v>936</v>
      </c>
      <c r="P123" t="s">
        <v>612</v>
      </c>
      <c r="Q123">
        <v>0</v>
      </c>
      <c r="R123" t="s">
        <v>480</v>
      </c>
    </row>
    <row r="124" spans="1:18" x14ac:dyDescent="0.3">
      <c r="A124" t="s">
        <v>927</v>
      </c>
      <c r="B124" t="s">
        <v>954</v>
      </c>
      <c r="C124" t="s">
        <v>396</v>
      </c>
      <c r="D124" t="s">
        <v>612</v>
      </c>
      <c r="E124" t="s">
        <v>493</v>
      </c>
      <c r="F124" t="s">
        <v>479</v>
      </c>
      <c r="G124" t="s">
        <v>390</v>
      </c>
      <c r="H124" t="s">
        <v>391</v>
      </c>
      <c r="I124" t="s">
        <v>480</v>
      </c>
      <c r="J124" t="s">
        <v>494</v>
      </c>
      <c r="K124" t="s">
        <v>493</v>
      </c>
      <c r="L124" t="s">
        <v>623</v>
      </c>
      <c r="M124" t="s">
        <v>655</v>
      </c>
      <c r="N124" t="s">
        <v>893</v>
      </c>
      <c r="O124" t="s">
        <v>947</v>
      </c>
      <c r="P124" t="s">
        <v>612</v>
      </c>
      <c r="Q124">
        <v>0</v>
      </c>
      <c r="R124" t="s">
        <v>480</v>
      </c>
    </row>
    <row r="125" spans="1:18" x14ac:dyDescent="0.3">
      <c r="A125" t="s">
        <v>927</v>
      </c>
      <c r="B125" t="s">
        <v>484</v>
      </c>
      <c r="C125" t="s">
        <v>396</v>
      </c>
      <c r="D125" t="s">
        <v>612</v>
      </c>
      <c r="E125" t="s">
        <v>493</v>
      </c>
      <c r="F125" t="s">
        <v>479</v>
      </c>
      <c r="G125" t="s">
        <v>390</v>
      </c>
      <c r="H125" t="s">
        <v>391</v>
      </c>
      <c r="I125" t="s">
        <v>480</v>
      </c>
      <c r="J125" t="s">
        <v>494</v>
      </c>
      <c r="K125" t="s">
        <v>493</v>
      </c>
      <c r="L125" t="s">
        <v>623</v>
      </c>
      <c r="M125" t="s">
        <v>655</v>
      </c>
      <c r="N125" t="s">
        <v>893</v>
      </c>
      <c r="O125" t="s">
        <v>956</v>
      </c>
      <c r="P125" t="s">
        <v>612</v>
      </c>
      <c r="Q125">
        <v>0</v>
      </c>
      <c r="R125" t="s">
        <v>480</v>
      </c>
    </row>
    <row r="126" spans="1:18" x14ac:dyDescent="0.3">
      <c r="A126" t="s">
        <v>927</v>
      </c>
      <c r="B126" t="s">
        <v>484</v>
      </c>
      <c r="C126" t="s">
        <v>396</v>
      </c>
      <c r="D126" t="s">
        <v>612</v>
      </c>
      <c r="E126" t="s">
        <v>493</v>
      </c>
      <c r="F126" t="s">
        <v>479</v>
      </c>
      <c r="G126" t="s">
        <v>390</v>
      </c>
      <c r="H126" t="s">
        <v>391</v>
      </c>
      <c r="I126" t="s">
        <v>480</v>
      </c>
      <c r="J126" t="s">
        <v>494</v>
      </c>
      <c r="K126" t="s">
        <v>493</v>
      </c>
      <c r="L126" t="s">
        <v>623</v>
      </c>
      <c r="M126" t="s">
        <v>655</v>
      </c>
      <c r="N126" t="s">
        <v>643</v>
      </c>
      <c r="O126" t="s">
        <v>974</v>
      </c>
      <c r="P126" t="s">
        <v>612</v>
      </c>
      <c r="Q126">
        <v>0</v>
      </c>
      <c r="R126" t="s">
        <v>480</v>
      </c>
    </row>
    <row r="127" spans="1:18" x14ac:dyDescent="0.3">
      <c r="A127" t="s">
        <v>927</v>
      </c>
      <c r="B127" t="s">
        <v>484</v>
      </c>
      <c r="C127" t="s">
        <v>396</v>
      </c>
      <c r="D127" t="s">
        <v>612</v>
      </c>
      <c r="E127" t="s">
        <v>493</v>
      </c>
      <c r="F127" t="s">
        <v>479</v>
      </c>
      <c r="G127" t="s">
        <v>390</v>
      </c>
      <c r="H127" t="s">
        <v>391</v>
      </c>
      <c r="I127" t="s">
        <v>480</v>
      </c>
      <c r="J127" t="s">
        <v>494</v>
      </c>
      <c r="K127" t="s">
        <v>493</v>
      </c>
      <c r="L127" t="s">
        <v>623</v>
      </c>
      <c r="M127" t="s">
        <v>655</v>
      </c>
      <c r="N127" t="s">
        <v>643</v>
      </c>
      <c r="O127" t="s">
        <v>975</v>
      </c>
      <c r="P127" t="s">
        <v>612</v>
      </c>
      <c r="Q127">
        <v>0</v>
      </c>
      <c r="R127" t="s">
        <v>480</v>
      </c>
    </row>
    <row r="128" spans="1:18" x14ac:dyDescent="0.3">
      <c r="A128" t="s">
        <v>927</v>
      </c>
      <c r="B128" t="s">
        <v>484</v>
      </c>
      <c r="C128" t="s">
        <v>396</v>
      </c>
      <c r="D128" t="s">
        <v>612</v>
      </c>
      <c r="E128" t="s">
        <v>493</v>
      </c>
      <c r="F128" t="s">
        <v>479</v>
      </c>
      <c r="G128" t="s">
        <v>390</v>
      </c>
      <c r="H128" t="s">
        <v>391</v>
      </c>
      <c r="I128" t="s">
        <v>480</v>
      </c>
      <c r="J128" t="s">
        <v>494</v>
      </c>
      <c r="K128" t="s">
        <v>493</v>
      </c>
      <c r="L128" t="s">
        <v>623</v>
      </c>
      <c r="M128" t="s">
        <v>655</v>
      </c>
      <c r="N128" t="s">
        <v>643</v>
      </c>
      <c r="O128" t="s">
        <v>1000</v>
      </c>
      <c r="P128" t="s">
        <v>612</v>
      </c>
      <c r="Q128">
        <v>0</v>
      </c>
      <c r="R128" t="s">
        <v>480</v>
      </c>
    </row>
    <row r="129" spans="1:18" x14ac:dyDescent="0.3">
      <c r="A129" t="s">
        <v>927</v>
      </c>
      <c r="B129" t="s">
        <v>484</v>
      </c>
      <c r="C129" t="s">
        <v>478</v>
      </c>
      <c r="D129" t="s">
        <v>612</v>
      </c>
      <c r="E129" t="s">
        <v>493</v>
      </c>
      <c r="F129" t="s">
        <v>479</v>
      </c>
      <c r="G129" t="s">
        <v>411</v>
      </c>
      <c r="H129" t="s">
        <v>391</v>
      </c>
      <c r="I129" t="s">
        <v>480</v>
      </c>
      <c r="J129" t="s">
        <v>494</v>
      </c>
      <c r="K129" t="s">
        <v>493</v>
      </c>
      <c r="L129" t="s">
        <v>613</v>
      </c>
      <c r="M129" t="s">
        <v>672</v>
      </c>
      <c r="N129" t="s">
        <v>643</v>
      </c>
      <c r="O129" t="s">
        <v>1001</v>
      </c>
      <c r="P129" t="s">
        <v>612</v>
      </c>
      <c r="Q129">
        <v>0</v>
      </c>
      <c r="R129" t="s">
        <v>480</v>
      </c>
    </row>
    <row r="130" spans="1:18" x14ac:dyDescent="0.3">
      <c r="A130" t="s">
        <v>927</v>
      </c>
      <c r="B130" t="s">
        <v>484</v>
      </c>
      <c r="C130" t="s">
        <v>396</v>
      </c>
      <c r="D130" t="s">
        <v>612</v>
      </c>
      <c r="E130" t="s">
        <v>493</v>
      </c>
      <c r="F130" t="s">
        <v>479</v>
      </c>
      <c r="G130" t="s">
        <v>390</v>
      </c>
      <c r="H130" t="s">
        <v>391</v>
      </c>
      <c r="I130" t="s">
        <v>480</v>
      </c>
      <c r="J130" t="s">
        <v>494</v>
      </c>
      <c r="K130" t="s">
        <v>493</v>
      </c>
      <c r="L130" t="s">
        <v>623</v>
      </c>
      <c r="M130" t="s">
        <v>655</v>
      </c>
      <c r="N130" t="s">
        <v>643</v>
      </c>
      <c r="O130" t="s">
        <v>1009</v>
      </c>
      <c r="P130" t="s">
        <v>612</v>
      </c>
      <c r="Q130">
        <v>0</v>
      </c>
      <c r="R130" t="s">
        <v>480</v>
      </c>
    </row>
    <row r="131" spans="1:18" x14ac:dyDescent="0.3">
      <c r="A131" t="s">
        <v>641</v>
      </c>
      <c r="B131" t="s">
        <v>882</v>
      </c>
      <c r="C131" t="s">
        <v>396</v>
      </c>
      <c r="D131" t="s">
        <v>612</v>
      </c>
      <c r="E131" t="s">
        <v>621</v>
      </c>
      <c r="F131" t="s">
        <v>479</v>
      </c>
      <c r="G131" t="s">
        <v>390</v>
      </c>
      <c r="H131" t="s">
        <v>391</v>
      </c>
      <c r="I131" t="s">
        <v>480</v>
      </c>
      <c r="J131" t="s">
        <v>622</v>
      </c>
      <c r="K131" t="s">
        <v>621</v>
      </c>
      <c r="L131" t="s">
        <v>623</v>
      </c>
      <c r="M131" t="s">
        <v>672</v>
      </c>
      <c r="N131" t="s">
        <v>643</v>
      </c>
      <c r="O131" t="s">
        <v>673</v>
      </c>
      <c r="P131" t="s">
        <v>612</v>
      </c>
      <c r="Q131">
        <v>1</v>
      </c>
      <c r="R131" t="s">
        <v>480</v>
      </c>
    </row>
    <row r="132" spans="1:18" x14ac:dyDescent="0.3">
      <c r="A132" t="s">
        <v>641</v>
      </c>
      <c r="B132" t="s">
        <v>882</v>
      </c>
      <c r="C132" t="s">
        <v>396</v>
      </c>
      <c r="D132" t="s">
        <v>612</v>
      </c>
      <c r="E132" t="s">
        <v>621</v>
      </c>
      <c r="F132" t="s">
        <v>479</v>
      </c>
      <c r="G132" t="s">
        <v>390</v>
      </c>
      <c r="H132" t="s">
        <v>391</v>
      </c>
      <c r="I132" t="s">
        <v>480</v>
      </c>
      <c r="J132" t="s">
        <v>622</v>
      </c>
      <c r="K132" t="s">
        <v>621</v>
      </c>
      <c r="L132" t="s">
        <v>623</v>
      </c>
      <c r="M132" t="s">
        <v>672</v>
      </c>
      <c r="N132" t="s">
        <v>643</v>
      </c>
      <c r="O132" t="s">
        <v>702</v>
      </c>
      <c r="P132" t="s">
        <v>612</v>
      </c>
      <c r="Q132">
        <v>1</v>
      </c>
      <c r="R132" t="s">
        <v>480</v>
      </c>
    </row>
    <row r="133" spans="1:18" x14ac:dyDescent="0.3">
      <c r="A133" t="s">
        <v>641</v>
      </c>
      <c r="B133" t="s">
        <v>882</v>
      </c>
      <c r="C133" t="s">
        <v>396</v>
      </c>
      <c r="D133" t="s">
        <v>612</v>
      </c>
      <c r="E133" t="s">
        <v>621</v>
      </c>
      <c r="F133" t="s">
        <v>479</v>
      </c>
      <c r="G133" t="s">
        <v>390</v>
      </c>
      <c r="H133" t="s">
        <v>391</v>
      </c>
      <c r="I133" t="s">
        <v>480</v>
      </c>
      <c r="J133" t="s">
        <v>622</v>
      </c>
      <c r="K133" t="s">
        <v>621</v>
      </c>
      <c r="L133" t="s">
        <v>623</v>
      </c>
      <c r="M133" t="s">
        <v>672</v>
      </c>
      <c r="N133" t="s">
        <v>643</v>
      </c>
      <c r="O133" t="s">
        <v>747</v>
      </c>
      <c r="P133" t="s">
        <v>612</v>
      </c>
      <c r="Q133">
        <v>1</v>
      </c>
      <c r="R133" t="s">
        <v>480</v>
      </c>
    </row>
    <row r="134" spans="1:18" x14ac:dyDescent="0.3">
      <c r="A134" t="s">
        <v>641</v>
      </c>
      <c r="B134" t="s">
        <v>882</v>
      </c>
      <c r="C134" t="s">
        <v>396</v>
      </c>
      <c r="D134" t="s">
        <v>612</v>
      </c>
      <c r="E134" t="s">
        <v>621</v>
      </c>
      <c r="F134" t="s">
        <v>479</v>
      </c>
      <c r="G134" t="s">
        <v>390</v>
      </c>
      <c r="H134" t="s">
        <v>391</v>
      </c>
      <c r="I134" t="s">
        <v>480</v>
      </c>
      <c r="J134" t="s">
        <v>622</v>
      </c>
      <c r="K134" t="s">
        <v>621</v>
      </c>
      <c r="L134" t="s">
        <v>623</v>
      </c>
      <c r="M134" t="s">
        <v>672</v>
      </c>
      <c r="N134" t="s">
        <v>643</v>
      </c>
      <c r="O134" t="s">
        <v>769</v>
      </c>
      <c r="P134" t="s">
        <v>612</v>
      </c>
      <c r="Q134">
        <v>1</v>
      </c>
      <c r="R134" t="s">
        <v>480</v>
      </c>
    </row>
    <row r="135" spans="1:18" x14ac:dyDescent="0.3">
      <c r="A135" t="s">
        <v>725</v>
      </c>
      <c r="B135" t="s">
        <v>882</v>
      </c>
      <c r="C135" t="s">
        <v>396</v>
      </c>
      <c r="D135" t="s">
        <v>612</v>
      </c>
      <c r="E135" t="s">
        <v>621</v>
      </c>
      <c r="F135" t="s">
        <v>479</v>
      </c>
      <c r="G135" t="s">
        <v>390</v>
      </c>
      <c r="H135" t="s">
        <v>391</v>
      </c>
      <c r="I135" t="s">
        <v>480</v>
      </c>
      <c r="J135" t="s">
        <v>622</v>
      </c>
      <c r="K135" t="s">
        <v>621</v>
      </c>
      <c r="L135" t="s">
        <v>623</v>
      </c>
      <c r="M135" t="s">
        <v>672</v>
      </c>
      <c r="N135" t="s">
        <v>643</v>
      </c>
      <c r="O135" t="s">
        <v>807</v>
      </c>
      <c r="P135" t="s">
        <v>612</v>
      </c>
      <c r="Q135">
        <v>1</v>
      </c>
      <c r="R135" t="s">
        <v>480</v>
      </c>
    </row>
    <row r="136" spans="1:18" x14ac:dyDescent="0.3">
      <c r="A136" t="s">
        <v>641</v>
      </c>
      <c r="B136" t="s">
        <v>882</v>
      </c>
      <c r="C136" t="s">
        <v>396</v>
      </c>
      <c r="D136" t="s">
        <v>612</v>
      </c>
      <c r="E136" t="s">
        <v>621</v>
      </c>
      <c r="F136" t="s">
        <v>479</v>
      </c>
      <c r="G136" t="s">
        <v>390</v>
      </c>
      <c r="H136" t="s">
        <v>391</v>
      </c>
      <c r="I136" t="s">
        <v>480</v>
      </c>
      <c r="J136" t="s">
        <v>622</v>
      </c>
      <c r="K136" t="s">
        <v>621</v>
      </c>
      <c r="L136" t="s">
        <v>623</v>
      </c>
      <c r="M136" t="s">
        <v>808</v>
      </c>
      <c r="N136" t="s">
        <v>643</v>
      </c>
      <c r="O136" t="s">
        <v>809</v>
      </c>
      <c r="P136" t="s">
        <v>612</v>
      </c>
      <c r="Q136">
        <v>1</v>
      </c>
      <c r="R136" t="s">
        <v>480</v>
      </c>
    </row>
    <row r="137" spans="1:18" x14ac:dyDescent="0.3">
      <c r="A137" t="s">
        <v>725</v>
      </c>
      <c r="B137" t="s">
        <v>882</v>
      </c>
      <c r="C137" t="s">
        <v>396</v>
      </c>
      <c r="D137" t="s">
        <v>612</v>
      </c>
      <c r="E137" t="s">
        <v>621</v>
      </c>
      <c r="F137" t="s">
        <v>479</v>
      </c>
      <c r="G137" t="s">
        <v>390</v>
      </c>
      <c r="H137" t="s">
        <v>391</v>
      </c>
      <c r="I137" t="s">
        <v>480</v>
      </c>
      <c r="J137" t="s">
        <v>622</v>
      </c>
      <c r="K137" t="s">
        <v>621</v>
      </c>
      <c r="L137" t="s">
        <v>623</v>
      </c>
      <c r="M137" t="s">
        <v>672</v>
      </c>
      <c r="N137" t="s">
        <v>643</v>
      </c>
      <c r="O137" t="s">
        <v>812</v>
      </c>
      <c r="P137" t="s">
        <v>612</v>
      </c>
      <c r="Q137">
        <v>1</v>
      </c>
      <c r="R137" t="s">
        <v>480</v>
      </c>
    </row>
    <row r="138" spans="1:18" x14ac:dyDescent="0.3">
      <c r="A138" t="s">
        <v>725</v>
      </c>
      <c r="B138" t="s">
        <v>882</v>
      </c>
      <c r="C138" t="s">
        <v>396</v>
      </c>
      <c r="D138" t="s">
        <v>612</v>
      </c>
      <c r="E138" t="s">
        <v>621</v>
      </c>
      <c r="F138" t="s">
        <v>479</v>
      </c>
      <c r="G138" t="s">
        <v>390</v>
      </c>
      <c r="H138" t="s">
        <v>391</v>
      </c>
      <c r="I138" t="s">
        <v>480</v>
      </c>
      <c r="J138" t="s">
        <v>622</v>
      </c>
      <c r="K138" t="s">
        <v>621</v>
      </c>
      <c r="L138" t="s">
        <v>623</v>
      </c>
      <c r="M138" t="s">
        <v>672</v>
      </c>
      <c r="N138" t="s">
        <v>643</v>
      </c>
      <c r="O138" t="s">
        <v>849</v>
      </c>
      <c r="P138" t="s">
        <v>612</v>
      </c>
      <c r="Q138">
        <v>1</v>
      </c>
      <c r="R138" t="s">
        <v>480</v>
      </c>
    </row>
    <row r="139" spans="1:18" x14ac:dyDescent="0.3">
      <c r="A139" t="s">
        <v>725</v>
      </c>
      <c r="B139" t="s">
        <v>882</v>
      </c>
      <c r="C139" t="s">
        <v>396</v>
      </c>
      <c r="D139" t="s">
        <v>612</v>
      </c>
      <c r="E139" t="s">
        <v>621</v>
      </c>
      <c r="F139" t="s">
        <v>479</v>
      </c>
      <c r="G139" t="s">
        <v>390</v>
      </c>
      <c r="H139" t="s">
        <v>391</v>
      </c>
      <c r="I139" t="s">
        <v>480</v>
      </c>
      <c r="J139" t="s">
        <v>622</v>
      </c>
      <c r="K139" t="s">
        <v>621</v>
      </c>
      <c r="L139" t="s">
        <v>623</v>
      </c>
      <c r="M139" t="s">
        <v>672</v>
      </c>
      <c r="N139" t="s">
        <v>643</v>
      </c>
      <c r="O139" t="s">
        <v>850</v>
      </c>
      <c r="P139" t="s">
        <v>612</v>
      </c>
      <c r="Q139">
        <v>1</v>
      </c>
      <c r="R139" t="s">
        <v>480</v>
      </c>
    </row>
    <row r="140" spans="1:18" x14ac:dyDescent="0.3">
      <c r="A140" t="s">
        <v>841</v>
      </c>
      <c r="B140" t="s">
        <v>882</v>
      </c>
      <c r="C140" t="s">
        <v>396</v>
      </c>
      <c r="D140" t="s">
        <v>612</v>
      </c>
      <c r="E140" t="s">
        <v>621</v>
      </c>
      <c r="F140" t="s">
        <v>479</v>
      </c>
      <c r="G140" t="s">
        <v>390</v>
      </c>
      <c r="H140" t="s">
        <v>391</v>
      </c>
      <c r="I140" t="s">
        <v>480</v>
      </c>
      <c r="J140" t="s">
        <v>622</v>
      </c>
      <c r="K140" t="s">
        <v>621</v>
      </c>
      <c r="L140" t="s">
        <v>623</v>
      </c>
      <c r="M140" t="s">
        <v>672</v>
      </c>
      <c r="N140" t="s">
        <v>643</v>
      </c>
      <c r="O140" t="s">
        <v>866</v>
      </c>
      <c r="P140" t="s">
        <v>612</v>
      </c>
      <c r="Q140">
        <v>1</v>
      </c>
      <c r="R140" t="s">
        <v>480</v>
      </c>
    </row>
    <row r="141" spans="1:18" x14ac:dyDescent="0.3">
      <c r="A141" t="s">
        <v>841</v>
      </c>
      <c r="B141" t="s">
        <v>882</v>
      </c>
      <c r="C141" t="s">
        <v>396</v>
      </c>
      <c r="D141" t="s">
        <v>612</v>
      </c>
      <c r="E141" t="s">
        <v>621</v>
      </c>
      <c r="F141" t="s">
        <v>479</v>
      </c>
      <c r="G141" t="s">
        <v>390</v>
      </c>
      <c r="H141" t="s">
        <v>391</v>
      </c>
      <c r="I141" t="s">
        <v>480</v>
      </c>
      <c r="J141" t="s">
        <v>622</v>
      </c>
      <c r="K141" t="s">
        <v>621</v>
      </c>
      <c r="L141" t="s">
        <v>623</v>
      </c>
      <c r="M141" t="s">
        <v>808</v>
      </c>
      <c r="N141" t="s">
        <v>643</v>
      </c>
      <c r="O141" t="s">
        <v>869</v>
      </c>
      <c r="P141" t="s">
        <v>612</v>
      </c>
      <c r="Q141">
        <v>1</v>
      </c>
      <c r="R141" t="s">
        <v>480</v>
      </c>
    </row>
    <row r="142" spans="1:18" x14ac:dyDescent="0.3">
      <c r="A142" t="s">
        <v>841</v>
      </c>
      <c r="B142" t="s">
        <v>882</v>
      </c>
      <c r="C142" t="s">
        <v>396</v>
      </c>
      <c r="D142" t="s">
        <v>612</v>
      </c>
      <c r="E142" t="s">
        <v>621</v>
      </c>
      <c r="F142" t="s">
        <v>479</v>
      </c>
      <c r="G142" t="s">
        <v>390</v>
      </c>
      <c r="H142" t="s">
        <v>391</v>
      </c>
      <c r="I142" t="s">
        <v>480</v>
      </c>
      <c r="J142" t="s">
        <v>622</v>
      </c>
      <c r="K142" t="s">
        <v>621</v>
      </c>
      <c r="L142" t="s">
        <v>623</v>
      </c>
      <c r="M142" t="s">
        <v>672</v>
      </c>
      <c r="N142" t="s">
        <v>643</v>
      </c>
      <c r="O142" t="s">
        <v>883</v>
      </c>
      <c r="P142" t="s">
        <v>612</v>
      </c>
      <c r="Q142">
        <v>1</v>
      </c>
      <c r="R142" t="s">
        <v>480</v>
      </c>
    </row>
    <row r="143" spans="1:18" x14ac:dyDescent="0.3">
      <c r="A143" t="s">
        <v>841</v>
      </c>
      <c r="B143" t="s">
        <v>923</v>
      </c>
      <c r="C143" t="s">
        <v>396</v>
      </c>
      <c r="D143" t="s">
        <v>612</v>
      </c>
      <c r="E143" t="s">
        <v>621</v>
      </c>
      <c r="F143" t="s">
        <v>479</v>
      </c>
      <c r="G143" t="s">
        <v>390</v>
      </c>
      <c r="H143" t="s">
        <v>391</v>
      </c>
      <c r="I143" t="s">
        <v>480</v>
      </c>
      <c r="J143" t="s">
        <v>622</v>
      </c>
      <c r="K143" t="s">
        <v>621</v>
      </c>
      <c r="L143" t="s">
        <v>623</v>
      </c>
      <c r="M143" t="s">
        <v>672</v>
      </c>
      <c r="N143" t="s">
        <v>643</v>
      </c>
      <c r="O143" t="s">
        <v>902</v>
      </c>
      <c r="P143" t="s">
        <v>612</v>
      </c>
      <c r="Q143">
        <v>0</v>
      </c>
      <c r="R143" t="s">
        <v>480</v>
      </c>
    </row>
    <row r="144" spans="1:18" x14ac:dyDescent="0.3">
      <c r="A144" t="s">
        <v>841</v>
      </c>
      <c r="B144" t="s">
        <v>923</v>
      </c>
      <c r="C144" t="s">
        <v>396</v>
      </c>
      <c r="D144" t="s">
        <v>612</v>
      </c>
      <c r="E144" t="s">
        <v>621</v>
      </c>
      <c r="F144" t="s">
        <v>479</v>
      </c>
      <c r="G144" t="s">
        <v>390</v>
      </c>
      <c r="H144" t="s">
        <v>391</v>
      </c>
      <c r="I144" t="s">
        <v>480</v>
      </c>
      <c r="J144" t="s">
        <v>622</v>
      </c>
      <c r="K144" t="s">
        <v>621</v>
      </c>
      <c r="L144" t="s">
        <v>623</v>
      </c>
      <c r="M144" t="s">
        <v>672</v>
      </c>
      <c r="N144" t="s">
        <v>893</v>
      </c>
      <c r="O144" t="s">
        <v>903</v>
      </c>
      <c r="P144" t="s">
        <v>612</v>
      </c>
      <c r="Q144">
        <v>0</v>
      </c>
      <c r="R144" t="s">
        <v>480</v>
      </c>
    </row>
    <row r="145" spans="1:18" x14ac:dyDescent="0.3">
      <c r="A145" t="s">
        <v>841</v>
      </c>
      <c r="B145" t="s">
        <v>923</v>
      </c>
      <c r="C145" t="s">
        <v>396</v>
      </c>
      <c r="D145" t="s">
        <v>612</v>
      </c>
      <c r="E145" t="s">
        <v>621</v>
      </c>
      <c r="F145" t="s">
        <v>479</v>
      </c>
      <c r="G145" t="s">
        <v>390</v>
      </c>
      <c r="H145" t="s">
        <v>391</v>
      </c>
      <c r="I145" t="s">
        <v>480</v>
      </c>
      <c r="J145" t="s">
        <v>622</v>
      </c>
      <c r="K145" t="s">
        <v>621</v>
      </c>
      <c r="L145" t="s">
        <v>623</v>
      </c>
      <c r="M145" t="s">
        <v>672</v>
      </c>
      <c r="N145" t="s">
        <v>893</v>
      </c>
      <c r="O145" t="s">
        <v>904</v>
      </c>
      <c r="P145" t="s">
        <v>612</v>
      </c>
      <c r="Q145">
        <v>0</v>
      </c>
      <c r="R145" t="s">
        <v>480</v>
      </c>
    </row>
    <row r="146" spans="1:18" x14ac:dyDescent="0.3">
      <c r="A146" t="s">
        <v>841</v>
      </c>
      <c r="B146" t="s">
        <v>957</v>
      </c>
      <c r="C146" t="s">
        <v>396</v>
      </c>
      <c r="D146" t="s">
        <v>612</v>
      </c>
      <c r="E146" t="s">
        <v>621</v>
      </c>
      <c r="F146" t="s">
        <v>479</v>
      </c>
      <c r="G146" t="s">
        <v>390</v>
      </c>
      <c r="H146" t="s">
        <v>391</v>
      </c>
      <c r="I146" t="s">
        <v>480</v>
      </c>
      <c r="J146" t="s">
        <v>622</v>
      </c>
      <c r="K146" t="s">
        <v>621</v>
      </c>
      <c r="L146" t="s">
        <v>623</v>
      </c>
      <c r="M146" t="s">
        <v>672</v>
      </c>
      <c r="N146" t="s">
        <v>893</v>
      </c>
      <c r="O146" t="s">
        <v>924</v>
      </c>
      <c r="P146" t="s">
        <v>612</v>
      </c>
      <c r="Q146">
        <v>0</v>
      </c>
      <c r="R146" t="s">
        <v>480</v>
      </c>
    </row>
    <row r="147" spans="1:18" x14ac:dyDescent="0.3">
      <c r="A147" t="s">
        <v>927</v>
      </c>
      <c r="B147" t="s">
        <v>957</v>
      </c>
      <c r="C147" t="s">
        <v>396</v>
      </c>
      <c r="D147" t="s">
        <v>612</v>
      </c>
      <c r="E147" t="s">
        <v>621</v>
      </c>
      <c r="F147" t="s">
        <v>479</v>
      </c>
      <c r="G147" t="s">
        <v>390</v>
      </c>
      <c r="H147" t="s">
        <v>391</v>
      </c>
      <c r="I147" t="s">
        <v>480</v>
      </c>
      <c r="J147" t="s">
        <v>622</v>
      </c>
      <c r="K147" t="s">
        <v>621</v>
      </c>
      <c r="L147" t="s">
        <v>623</v>
      </c>
      <c r="M147" t="s">
        <v>672</v>
      </c>
      <c r="N147" t="s">
        <v>893</v>
      </c>
      <c r="O147" t="s">
        <v>937</v>
      </c>
      <c r="P147" t="s">
        <v>612</v>
      </c>
      <c r="Q147">
        <v>0</v>
      </c>
      <c r="R147" t="s">
        <v>480</v>
      </c>
    </row>
    <row r="148" spans="1:18" x14ac:dyDescent="0.3">
      <c r="A148" t="s">
        <v>841</v>
      </c>
      <c r="B148" t="s">
        <v>957</v>
      </c>
      <c r="C148" t="s">
        <v>396</v>
      </c>
      <c r="D148" t="s">
        <v>612</v>
      </c>
      <c r="E148" t="s">
        <v>621</v>
      </c>
      <c r="F148" t="s">
        <v>479</v>
      </c>
      <c r="G148" t="s">
        <v>390</v>
      </c>
      <c r="H148" t="s">
        <v>391</v>
      </c>
      <c r="I148" t="s">
        <v>480</v>
      </c>
      <c r="J148" t="s">
        <v>622</v>
      </c>
      <c r="K148" t="s">
        <v>621</v>
      </c>
      <c r="L148" t="s">
        <v>623</v>
      </c>
      <c r="M148" t="s">
        <v>808</v>
      </c>
      <c r="N148" t="s">
        <v>893</v>
      </c>
      <c r="O148" t="s">
        <v>938</v>
      </c>
      <c r="P148" t="s">
        <v>612</v>
      </c>
      <c r="Q148">
        <v>0</v>
      </c>
      <c r="R148" t="s">
        <v>480</v>
      </c>
    </row>
    <row r="149" spans="1:18" x14ac:dyDescent="0.3">
      <c r="A149" t="s">
        <v>927</v>
      </c>
      <c r="B149" t="s">
        <v>957</v>
      </c>
      <c r="C149" t="s">
        <v>396</v>
      </c>
      <c r="D149" t="s">
        <v>612</v>
      </c>
      <c r="E149" t="s">
        <v>621</v>
      </c>
      <c r="F149" t="s">
        <v>479</v>
      </c>
      <c r="G149" t="s">
        <v>390</v>
      </c>
      <c r="H149" t="s">
        <v>391</v>
      </c>
      <c r="I149" t="s">
        <v>480</v>
      </c>
      <c r="J149" t="s">
        <v>622</v>
      </c>
      <c r="K149" t="s">
        <v>621</v>
      </c>
      <c r="L149" t="s">
        <v>623</v>
      </c>
      <c r="M149" t="s">
        <v>672</v>
      </c>
      <c r="N149" t="s">
        <v>893</v>
      </c>
      <c r="O149" t="s">
        <v>948</v>
      </c>
      <c r="P149" t="s">
        <v>612</v>
      </c>
      <c r="Q149">
        <v>0</v>
      </c>
      <c r="R149" t="s">
        <v>480</v>
      </c>
    </row>
    <row r="150" spans="1:18" x14ac:dyDescent="0.3">
      <c r="A150" t="s">
        <v>927</v>
      </c>
      <c r="B150" t="s">
        <v>484</v>
      </c>
      <c r="C150" t="s">
        <v>396</v>
      </c>
      <c r="D150" t="s">
        <v>612</v>
      </c>
      <c r="E150" t="s">
        <v>621</v>
      </c>
      <c r="F150" t="s">
        <v>479</v>
      </c>
      <c r="G150" t="s">
        <v>390</v>
      </c>
      <c r="H150" t="s">
        <v>391</v>
      </c>
      <c r="I150" t="s">
        <v>480</v>
      </c>
      <c r="J150" t="s">
        <v>622</v>
      </c>
      <c r="K150" t="s">
        <v>621</v>
      </c>
      <c r="L150" t="s">
        <v>623</v>
      </c>
      <c r="M150" t="s">
        <v>672</v>
      </c>
      <c r="N150" t="s">
        <v>893</v>
      </c>
      <c r="O150" t="s">
        <v>976</v>
      </c>
      <c r="P150" t="s">
        <v>612</v>
      </c>
      <c r="Q150">
        <v>0</v>
      </c>
      <c r="R150" t="s">
        <v>480</v>
      </c>
    </row>
    <row r="151" spans="1:18" x14ac:dyDescent="0.3">
      <c r="A151" t="s">
        <v>515</v>
      </c>
      <c r="B151" t="s">
        <v>544</v>
      </c>
      <c r="C151" t="s">
        <v>431</v>
      </c>
      <c r="D151" t="s">
        <v>490</v>
      </c>
      <c r="E151" t="s">
        <v>455</v>
      </c>
      <c r="F151" t="s">
        <v>479</v>
      </c>
      <c r="G151" t="s">
        <v>394</v>
      </c>
      <c r="H151" t="s">
        <v>491</v>
      </c>
      <c r="I151" t="s">
        <v>480</v>
      </c>
      <c r="J151" t="s">
        <v>456</v>
      </c>
      <c r="K151" t="s">
        <v>457</v>
      </c>
      <c r="L151" t="s">
        <v>512</v>
      </c>
      <c r="M151" t="s">
        <v>481</v>
      </c>
      <c r="N151" t="s">
        <v>511</v>
      </c>
      <c r="O151" t="s">
        <v>516</v>
      </c>
      <c r="P151" t="s">
        <v>490</v>
      </c>
      <c r="Q151">
        <v>1</v>
      </c>
      <c r="R151" t="s">
        <v>480</v>
      </c>
    </row>
    <row r="152" spans="1:18" x14ac:dyDescent="0.3">
      <c r="A152" t="s">
        <v>515</v>
      </c>
      <c r="B152" t="s">
        <v>592</v>
      </c>
      <c r="C152" t="s">
        <v>396</v>
      </c>
      <c r="D152" t="s">
        <v>490</v>
      </c>
      <c r="E152" t="s">
        <v>427</v>
      </c>
      <c r="F152" t="s">
        <v>479</v>
      </c>
      <c r="G152" t="s">
        <v>501</v>
      </c>
      <c r="H152" t="s">
        <v>486</v>
      </c>
      <c r="I152" t="s">
        <v>480</v>
      </c>
      <c r="J152" t="s">
        <v>401</v>
      </c>
      <c r="K152" t="s">
        <v>429</v>
      </c>
      <c r="L152" t="s">
        <v>513</v>
      </c>
      <c r="M152" t="s">
        <v>498</v>
      </c>
      <c r="N152" t="s">
        <v>511</v>
      </c>
      <c r="O152" t="s">
        <v>517</v>
      </c>
      <c r="P152" t="s">
        <v>490</v>
      </c>
      <c r="Q152">
        <v>1</v>
      </c>
      <c r="R152" t="s">
        <v>480</v>
      </c>
    </row>
    <row r="153" spans="1:18" x14ac:dyDescent="0.3">
      <c r="A153" t="s">
        <v>515</v>
      </c>
      <c r="B153" t="s">
        <v>592</v>
      </c>
      <c r="C153" t="s">
        <v>396</v>
      </c>
      <c r="D153" t="s">
        <v>490</v>
      </c>
      <c r="E153" t="s">
        <v>427</v>
      </c>
      <c r="F153" t="s">
        <v>479</v>
      </c>
      <c r="G153" t="s">
        <v>501</v>
      </c>
      <c r="H153" t="s">
        <v>486</v>
      </c>
      <c r="I153" t="s">
        <v>480</v>
      </c>
      <c r="J153" t="s">
        <v>401</v>
      </c>
      <c r="K153" t="s">
        <v>429</v>
      </c>
      <c r="L153" t="s">
        <v>513</v>
      </c>
      <c r="M153" t="s">
        <v>498</v>
      </c>
      <c r="N153" t="s">
        <v>511</v>
      </c>
      <c r="O153" t="s">
        <v>518</v>
      </c>
      <c r="P153" t="s">
        <v>490</v>
      </c>
      <c r="Q153">
        <v>1</v>
      </c>
      <c r="R153" t="s">
        <v>480</v>
      </c>
    </row>
    <row r="154" spans="1:18" x14ac:dyDescent="0.3">
      <c r="A154" t="s">
        <v>515</v>
      </c>
      <c r="B154" t="s">
        <v>544</v>
      </c>
      <c r="C154" t="s">
        <v>431</v>
      </c>
      <c r="D154" t="s">
        <v>490</v>
      </c>
      <c r="E154" t="s">
        <v>455</v>
      </c>
      <c r="F154" t="s">
        <v>479</v>
      </c>
      <c r="G154" t="s">
        <v>394</v>
      </c>
      <c r="H154" t="s">
        <v>486</v>
      </c>
      <c r="I154" t="s">
        <v>480</v>
      </c>
      <c r="J154" t="s">
        <v>456</v>
      </c>
      <c r="K154" t="s">
        <v>457</v>
      </c>
      <c r="L154" t="s">
        <v>512</v>
      </c>
      <c r="M154" t="s">
        <v>485</v>
      </c>
      <c r="N154" t="s">
        <v>511</v>
      </c>
      <c r="O154" t="s">
        <v>519</v>
      </c>
      <c r="P154" t="s">
        <v>490</v>
      </c>
      <c r="Q154">
        <v>1</v>
      </c>
      <c r="R154" t="s">
        <v>480</v>
      </c>
    </row>
    <row r="155" spans="1:18" x14ac:dyDescent="0.3">
      <c r="A155" t="s">
        <v>515</v>
      </c>
      <c r="B155" t="s">
        <v>592</v>
      </c>
      <c r="C155" t="s">
        <v>396</v>
      </c>
      <c r="D155" t="s">
        <v>490</v>
      </c>
      <c r="E155" t="s">
        <v>427</v>
      </c>
      <c r="F155" t="s">
        <v>479</v>
      </c>
      <c r="G155" t="s">
        <v>501</v>
      </c>
      <c r="H155" t="s">
        <v>486</v>
      </c>
      <c r="I155" t="s">
        <v>480</v>
      </c>
      <c r="J155" t="s">
        <v>401</v>
      </c>
      <c r="K155" t="s">
        <v>429</v>
      </c>
      <c r="L155" t="s">
        <v>513</v>
      </c>
      <c r="M155" t="s">
        <v>498</v>
      </c>
      <c r="N155" t="s">
        <v>511</v>
      </c>
      <c r="O155" t="s">
        <v>521</v>
      </c>
      <c r="P155" t="s">
        <v>490</v>
      </c>
      <c r="Q155">
        <v>1</v>
      </c>
      <c r="R155" t="s">
        <v>480</v>
      </c>
    </row>
    <row r="156" spans="1:18" x14ac:dyDescent="0.3">
      <c r="A156" t="s">
        <v>515</v>
      </c>
      <c r="B156" t="s">
        <v>544</v>
      </c>
      <c r="C156" t="s">
        <v>431</v>
      </c>
      <c r="D156" t="s">
        <v>490</v>
      </c>
      <c r="E156" t="s">
        <v>455</v>
      </c>
      <c r="F156" t="s">
        <v>479</v>
      </c>
      <c r="G156" t="s">
        <v>394</v>
      </c>
      <c r="H156" t="s">
        <v>486</v>
      </c>
      <c r="I156" t="s">
        <v>480</v>
      </c>
      <c r="J156" t="s">
        <v>456</v>
      </c>
      <c r="K156" t="s">
        <v>457</v>
      </c>
      <c r="L156" t="s">
        <v>512</v>
      </c>
      <c r="M156" t="s">
        <v>479</v>
      </c>
      <c r="N156" t="s">
        <v>511</v>
      </c>
      <c r="O156" t="s">
        <v>520</v>
      </c>
      <c r="P156" t="s">
        <v>490</v>
      </c>
      <c r="Q156">
        <v>1</v>
      </c>
      <c r="R156" t="s">
        <v>480</v>
      </c>
    </row>
    <row r="157" spans="1:18" x14ac:dyDescent="0.3">
      <c r="A157" t="s">
        <v>515</v>
      </c>
      <c r="B157" t="s">
        <v>544</v>
      </c>
      <c r="C157" t="s">
        <v>431</v>
      </c>
      <c r="D157" t="s">
        <v>490</v>
      </c>
      <c r="E157" t="s">
        <v>455</v>
      </c>
      <c r="F157" t="s">
        <v>479</v>
      </c>
      <c r="G157" t="s">
        <v>394</v>
      </c>
      <c r="H157" t="s">
        <v>491</v>
      </c>
      <c r="I157" t="s">
        <v>480</v>
      </c>
      <c r="J157" t="s">
        <v>456</v>
      </c>
      <c r="K157" t="s">
        <v>457</v>
      </c>
      <c r="L157" t="s">
        <v>512</v>
      </c>
      <c r="M157" t="s">
        <v>481</v>
      </c>
      <c r="N157" t="s">
        <v>511</v>
      </c>
      <c r="O157" t="s">
        <v>522</v>
      </c>
      <c r="P157" t="s">
        <v>490</v>
      </c>
      <c r="Q157">
        <v>1</v>
      </c>
      <c r="R157" t="s">
        <v>480</v>
      </c>
    </row>
    <row r="158" spans="1:18" x14ac:dyDescent="0.3">
      <c r="A158" t="s">
        <v>515</v>
      </c>
      <c r="B158" t="s">
        <v>592</v>
      </c>
      <c r="C158" t="s">
        <v>396</v>
      </c>
      <c r="D158" t="s">
        <v>490</v>
      </c>
      <c r="E158" t="s">
        <v>427</v>
      </c>
      <c r="F158" t="s">
        <v>479</v>
      </c>
      <c r="G158" t="s">
        <v>501</v>
      </c>
      <c r="H158" t="s">
        <v>486</v>
      </c>
      <c r="I158" t="s">
        <v>480</v>
      </c>
      <c r="J158" t="s">
        <v>401</v>
      </c>
      <c r="K158" t="s">
        <v>429</v>
      </c>
      <c r="L158" t="s">
        <v>513</v>
      </c>
      <c r="M158" t="s">
        <v>498</v>
      </c>
      <c r="N158" t="s">
        <v>511</v>
      </c>
      <c r="O158" t="s">
        <v>523</v>
      </c>
      <c r="P158" t="s">
        <v>490</v>
      </c>
      <c r="Q158">
        <v>1</v>
      </c>
      <c r="R158" t="s">
        <v>480</v>
      </c>
    </row>
    <row r="159" spans="1:18" x14ac:dyDescent="0.3">
      <c r="A159" t="s">
        <v>515</v>
      </c>
      <c r="B159" t="s">
        <v>592</v>
      </c>
      <c r="C159" t="s">
        <v>396</v>
      </c>
      <c r="D159" t="s">
        <v>490</v>
      </c>
      <c r="E159" t="s">
        <v>427</v>
      </c>
      <c r="F159" t="s">
        <v>479</v>
      </c>
      <c r="G159" t="s">
        <v>501</v>
      </c>
      <c r="H159" t="s">
        <v>486</v>
      </c>
      <c r="I159" t="s">
        <v>480</v>
      </c>
      <c r="J159" t="s">
        <v>401</v>
      </c>
      <c r="K159" t="s">
        <v>429</v>
      </c>
      <c r="L159" t="s">
        <v>513</v>
      </c>
      <c r="M159" t="s">
        <v>498</v>
      </c>
      <c r="N159" t="s">
        <v>511</v>
      </c>
      <c r="O159" t="s">
        <v>524</v>
      </c>
      <c r="P159" t="s">
        <v>490</v>
      </c>
      <c r="Q159">
        <v>1</v>
      </c>
      <c r="R159" t="s">
        <v>480</v>
      </c>
    </row>
    <row r="160" spans="1:18" x14ac:dyDescent="0.3">
      <c r="A160" t="s">
        <v>515</v>
      </c>
      <c r="B160" t="s">
        <v>544</v>
      </c>
      <c r="C160" t="s">
        <v>431</v>
      </c>
      <c r="D160" t="s">
        <v>490</v>
      </c>
      <c r="E160" t="s">
        <v>455</v>
      </c>
      <c r="F160" t="s">
        <v>479</v>
      </c>
      <c r="G160" t="s">
        <v>394</v>
      </c>
      <c r="H160" t="s">
        <v>491</v>
      </c>
      <c r="I160" t="s">
        <v>480</v>
      </c>
      <c r="J160" t="s">
        <v>456</v>
      </c>
      <c r="K160" t="s">
        <v>457</v>
      </c>
      <c r="L160" t="s">
        <v>512</v>
      </c>
      <c r="M160" t="s">
        <v>481</v>
      </c>
      <c r="N160" t="s">
        <v>511</v>
      </c>
      <c r="O160" t="s">
        <v>525</v>
      </c>
      <c r="P160" t="s">
        <v>490</v>
      </c>
      <c r="Q160">
        <v>1</v>
      </c>
      <c r="R160" t="s">
        <v>480</v>
      </c>
    </row>
    <row r="161" spans="1:18" x14ac:dyDescent="0.3">
      <c r="A161" t="s">
        <v>515</v>
      </c>
      <c r="B161" t="s">
        <v>544</v>
      </c>
      <c r="C161" t="s">
        <v>431</v>
      </c>
      <c r="D161" t="s">
        <v>490</v>
      </c>
      <c r="E161" t="s">
        <v>455</v>
      </c>
      <c r="F161" t="s">
        <v>479</v>
      </c>
      <c r="G161" t="s">
        <v>394</v>
      </c>
      <c r="H161" t="s">
        <v>491</v>
      </c>
      <c r="I161" t="s">
        <v>480</v>
      </c>
      <c r="J161" t="s">
        <v>456</v>
      </c>
      <c r="K161" t="s">
        <v>457</v>
      </c>
      <c r="L161" t="s">
        <v>512</v>
      </c>
      <c r="M161" t="s">
        <v>481</v>
      </c>
      <c r="N161" t="s">
        <v>511</v>
      </c>
      <c r="O161" t="s">
        <v>526</v>
      </c>
      <c r="P161" t="s">
        <v>490</v>
      </c>
      <c r="Q161">
        <v>1</v>
      </c>
      <c r="R161" t="s">
        <v>480</v>
      </c>
    </row>
    <row r="162" spans="1:18" x14ac:dyDescent="0.3">
      <c r="A162" t="s">
        <v>515</v>
      </c>
      <c r="B162" t="s">
        <v>545</v>
      </c>
      <c r="C162" t="s">
        <v>431</v>
      </c>
      <c r="D162" t="s">
        <v>490</v>
      </c>
      <c r="E162" t="s">
        <v>455</v>
      </c>
      <c r="F162" t="s">
        <v>479</v>
      </c>
      <c r="G162" t="s">
        <v>501</v>
      </c>
      <c r="H162" t="s">
        <v>486</v>
      </c>
      <c r="I162" t="s">
        <v>480</v>
      </c>
      <c r="J162" t="s">
        <v>456</v>
      </c>
      <c r="K162" t="s">
        <v>457</v>
      </c>
      <c r="L162" t="s">
        <v>512</v>
      </c>
      <c r="M162" t="s">
        <v>487</v>
      </c>
      <c r="N162" t="s">
        <v>511</v>
      </c>
      <c r="O162" t="s">
        <v>531</v>
      </c>
      <c r="P162" t="s">
        <v>490</v>
      </c>
      <c r="Q162">
        <v>1</v>
      </c>
      <c r="R162" t="s">
        <v>480</v>
      </c>
    </row>
    <row r="163" spans="1:18" x14ac:dyDescent="0.3">
      <c r="A163" t="s">
        <v>515</v>
      </c>
      <c r="B163" t="s">
        <v>545</v>
      </c>
      <c r="C163" t="s">
        <v>431</v>
      </c>
      <c r="D163" t="s">
        <v>490</v>
      </c>
      <c r="E163" t="s">
        <v>455</v>
      </c>
      <c r="F163" t="s">
        <v>479</v>
      </c>
      <c r="G163" t="s">
        <v>394</v>
      </c>
      <c r="H163" t="s">
        <v>486</v>
      </c>
      <c r="I163" t="s">
        <v>480</v>
      </c>
      <c r="J163" t="s">
        <v>456</v>
      </c>
      <c r="K163" t="s">
        <v>457</v>
      </c>
      <c r="L163" t="s">
        <v>512</v>
      </c>
      <c r="M163" t="s">
        <v>485</v>
      </c>
      <c r="N163" t="s">
        <v>511</v>
      </c>
      <c r="O163" t="s">
        <v>527</v>
      </c>
      <c r="P163" t="s">
        <v>490</v>
      </c>
      <c r="Q163">
        <v>1</v>
      </c>
      <c r="R163" t="s">
        <v>480</v>
      </c>
    </row>
    <row r="164" spans="1:18" x14ac:dyDescent="0.3">
      <c r="A164" t="s">
        <v>515</v>
      </c>
      <c r="B164" t="s">
        <v>545</v>
      </c>
      <c r="C164" t="s">
        <v>431</v>
      </c>
      <c r="D164" t="s">
        <v>490</v>
      </c>
      <c r="E164" t="s">
        <v>455</v>
      </c>
      <c r="F164" t="s">
        <v>479</v>
      </c>
      <c r="G164" t="s">
        <v>394</v>
      </c>
      <c r="H164" t="s">
        <v>491</v>
      </c>
      <c r="I164" t="s">
        <v>480</v>
      </c>
      <c r="J164" t="s">
        <v>456</v>
      </c>
      <c r="K164" t="s">
        <v>457</v>
      </c>
      <c r="L164" t="s">
        <v>512</v>
      </c>
      <c r="M164" t="s">
        <v>481</v>
      </c>
      <c r="N164" t="s">
        <v>511</v>
      </c>
      <c r="O164" t="s">
        <v>528</v>
      </c>
      <c r="P164" t="s">
        <v>490</v>
      </c>
      <c r="Q164">
        <v>1</v>
      </c>
      <c r="R164" t="s">
        <v>480</v>
      </c>
    </row>
    <row r="165" spans="1:18" x14ac:dyDescent="0.3">
      <c r="A165" t="s">
        <v>515</v>
      </c>
      <c r="B165" t="s">
        <v>592</v>
      </c>
      <c r="C165" t="s">
        <v>396</v>
      </c>
      <c r="D165" t="s">
        <v>490</v>
      </c>
      <c r="E165" t="s">
        <v>427</v>
      </c>
      <c r="F165" t="s">
        <v>479</v>
      </c>
      <c r="G165" t="s">
        <v>501</v>
      </c>
      <c r="H165" t="s">
        <v>486</v>
      </c>
      <c r="I165" t="s">
        <v>480</v>
      </c>
      <c r="J165" t="s">
        <v>401</v>
      </c>
      <c r="K165" t="s">
        <v>429</v>
      </c>
      <c r="L165" t="s">
        <v>513</v>
      </c>
      <c r="M165" t="s">
        <v>498</v>
      </c>
      <c r="N165" t="s">
        <v>511</v>
      </c>
      <c r="O165" t="s">
        <v>534</v>
      </c>
      <c r="P165" t="s">
        <v>490</v>
      </c>
      <c r="Q165">
        <v>1</v>
      </c>
      <c r="R165" t="s">
        <v>480</v>
      </c>
    </row>
    <row r="166" spans="1:18" x14ac:dyDescent="0.3">
      <c r="A166" t="s">
        <v>515</v>
      </c>
      <c r="B166" t="s">
        <v>592</v>
      </c>
      <c r="C166" t="s">
        <v>396</v>
      </c>
      <c r="D166" t="s">
        <v>490</v>
      </c>
      <c r="E166" t="s">
        <v>427</v>
      </c>
      <c r="F166" t="s">
        <v>479</v>
      </c>
      <c r="G166" t="s">
        <v>501</v>
      </c>
      <c r="H166" t="s">
        <v>486</v>
      </c>
      <c r="I166" t="s">
        <v>480</v>
      </c>
      <c r="J166" t="s">
        <v>401</v>
      </c>
      <c r="K166" t="s">
        <v>429</v>
      </c>
      <c r="L166" t="s">
        <v>513</v>
      </c>
      <c r="M166" t="s">
        <v>498</v>
      </c>
      <c r="N166" t="s">
        <v>511</v>
      </c>
      <c r="O166" t="s">
        <v>535</v>
      </c>
      <c r="P166" t="s">
        <v>490</v>
      </c>
      <c r="Q166">
        <v>1</v>
      </c>
      <c r="R166" t="s">
        <v>480</v>
      </c>
    </row>
    <row r="167" spans="1:18" x14ac:dyDescent="0.3">
      <c r="A167" t="s">
        <v>515</v>
      </c>
      <c r="B167" t="s">
        <v>545</v>
      </c>
      <c r="C167" t="s">
        <v>431</v>
      </c>
      <c r="D167" t="s">
        <v>490</v>
      </c>
      <c r="E167" t="s">
        <v>455</v>
      </c>
      <c r="F167" t="s">
        <v>479</v>
      </c>
      <c r="G167" t="s">
        <v>501</v>
      </c>
      <c r="H167" t="s">
        <v>486</v>
      </c>
      <c r="I167" t="s">
        <v>480</v>
      </c>
      <c r="J167" t="s">
        <v>456</v>
      </c>
      <c r="K167" t="s">
        <v>457</v>
      </c>
      <c r="L167" t="s">
        <v>512</v>
      </c>
      <c r="M167" t="s">
        <v>487</v>
      </c>
      <c r="N167" t="s">
        <v>511</v>
      </c>
      <c r="O167" t="s">
        <v>532</v>
      </c>
      <c r="P167" t="s">
        <v>490</v>
      </c>
      <c r="Q167">
        <v>1</v>
      </c>
      <c r="R167" t="s">
        <v>480</v>
      </c>
    </row>
    <row r="168" spans="1:18" x14ac:dyDescent="0.3">
      <c r="A168" t="s">
        <v>515</v>
      </c>
      <c r="B168" t="s">
        <v>545</v>
      </c>
      <c r="C168" t="s">
        <v>431</v>
      </c>
      <c r="D168" t="s">
        <v>490</v>
      </c>
      <c r="E168" t="s">
        <v>455</v>
      </c>
      <c r="F168" t="s">
        <v>479</v>
      </c>
      <c r="G168" t="s">
        <v>394</v>
      </c>
      <c r="H168" t="s">
        <v>486</v>
      </c>
      <c r="I168" t="s">
        <v>480</v>
      </c>
      <c r="J168" t="s">
        <v>456</v>
      </c>
      <c r="K168" t="s">
        <v>457</v>
      </c>
      <c r="L168" t="s">
        <v>512</v>
      </c>
      <c r="M168" t="s">
        <v>479</v>
      </c>
      <c r="N168" t="s">
        <v>511</v>
      </c>
      <c r="O168" t="s">
        <v>529</v>
      </c>
      <c r="P168" t="s">
        <v>490</v>
      </c>
      <c r="Q168">
        <v>1</v>
      </c>
      <c r="R168" t="s">
        <v>480</v>
      </c>
    </row>
    <row r="169" spans="1:18" x14ac:dyDescent="0.3">
      <c r="A169" t="s">
        <v>515</v>
      </c>
      <c r="B169" t="s">
        <v>545</v>
      </c>
      <c r="C169" t="s">
        <v>431</v>
      </c>
      <c r="D169" t="s">
        <v>490</v>
      </c>
      <c r="E169" t="s">
        <v>455</v>
      </c>
      <c r="F169" t="s">
        <v>479</v>
      </c>
      <c r="G169" t="s">
        <v>394</v>
      </c>
      <c r="H169" t="s">
        <v>491</v>
      </c>
      <c r="I169" t="s">
        <v>480</v>
      </c>
      <c r="J169" t="s">
        <v>456</v>
      </c>
      <c r="K169" t="s">
        <v>457</v>
      </c>
      <c r="L169" t="s">
        <v>512</v>
      </c>
      <c r="M169" t="s">
        <v>481</v>
      </c>
      <c r="N169" t="s">
        <v>511</v>
      </c>
      <c r="O169" t="s">
        <v>530</v>
      </c>
      <c r="P169" t="s">
        <v>490</v>
      </c>
      <c r="Q169">
        <v>1</v>
      </c>
      <c r="R169" t="s">
        <v>480</v>
      </c>
    </row>
    <row r="170" spans="1:18" x14ac:dyDescent="0.3">
      <c r="A170" t="s">
        <v>515</v>
      </c>
      <c r="B170" t="s">
        <v>545</v>
      </c>
      <c r="C170" t="s">
        <v>431</v>
      </c>
      <c r="D170" t="s">
        <v>490</v>
      </c>
      <c r="E170" t="s">
        <v>455</v>
      </c>
      <c r="F170" t="s">
        <v>479</v>
      </c>
      <c r="G170" t="s">
        <v>501</v>
      </c>
      <c r="H170" t="s">
        <v>486</v>
      </c>
      <c r="I170" t="s">
        <v>480</v>
      </c>
      <c r="J170" t="s">
        <v>456</v>
      </c>
      <c r="K170" t="s">
        <v>457</v>
      </c>
      <c r="L170" t="s">
        <v>512</v>
      </c>
      <c r="M170" t="s">
        <v>487</v>
      </c>
      <c r="N170" t="s">
        <v>511</v>
      </c>
      <c r="O170" t="s">
        <v>536</v>
      </c>
      <c r="P170" t="s">
        <v>490</v>
      </c>
      <c r="Q170">
        <v>1</v>
      </c>
      <c r="R170" t="s">
        <v>480</v>
      </c>
    </row>
    <row r="171" spans="1:18" x14ac:dyDescent="0.3">
      <c r="A171" t="s">
        <v>515</v>
      </c>
      <c r="B171" t="s">
        <v>545</v>
      </c>
      <c r="C171" t="s">
        <v>431</v>
      </c>
      <c r="D171" t="s">
        <v>490</v>
      </c>
      <c r="E171" t="s">
        <v>455</v>
      </c>
      <c r="F171" t="s">
        <v>479</v>
      </c>
      <c r="G171" t="s">
        <v>394</v>
      </c>
      <c r="H171" t="s">
        <v>486</v>
      </c>
      <c r="I171" t="s">
        <v>480</v>
      </c>
      <c r="J171" t="s">
        <v>456</v>
      </c>
      <c r="K171" t="s">
        <v>457</v>
      </c>
      <c r="L171" t="s">
        <v>512</v>
      </c>
      <c r="M171" t="s">
        <v>485</v>
      </c>
      <c r="N171" t="s">
        <v>511</v>
      </c>
      <c r="O171" t="s">
        <v>537</v>
      </c>
      <c r="P171" t="s">
        <v>490</v>
      </c>
      <c r="Q171">
        <v>1</v>
      </c>
      <c r="R171" t="s">
        <v>480</v>
      </c>
    </row>
    <row r="172" spans="1:18" x14ac:dyDescent="0.3">
      <c r="A172" t="s">
        <v>515</v>
      </c>
      <c r="B172" t="s">
        <v>592</v>
      </c>
      <c r="C172" t="s">
        <v>396</v>
      </c>
      <c r="D172" t="s">
        <v>490</v>
      </c>
      <c r="E172" t="s">
        <v>427</v>
      </c>
      <c r="F172" t="s">
        <v>479</v>
      </c>
      <c r="G172" t="s">
        <v>501</v>
      </c>
      <c r="H172" t="s">
        <v>486</v>
      </c>
      <c r="I172" t="s">
        <v>480</v>
      </c>
      <c r="J172" t="s">
        <v>401</v>
      </c>
      <c r="K172" t="s">
        <v>429</v>
      </c>
      <c r="L172" t="s">
        <v>513</v>
      </c>
      <c r="M172" t="s">
        <v>498</v>
      </c>
      <c r="N172" t="s">
        <v>511</v>
      </c>
      <c r="O172" t="s">
        <v>539</v>
      </c>
      <c r="P172" t="s">
        <v>490</v>
      </c>
      <c r="Q172">
        <v>1</v>
      </c>
      <c r="R172" t="s">
        <v>480</v>
      </c>
    </row>
    <row r="173" spans="1:18" x14ac:dyDescent="0.3">
      <c r="A173" t="s">
        <v>515</v>
      </c>
      <c r="B173" t="s">
        <v>545</v>
      </c>
      <c r="C173" t="s">
        <v>431</v>
      </c>
      <c r="D173" t="s">
        <v>490</v>
      </c>
      <c r="E173" t="s">
        <v>455</v>
      </c>
      <c r="F173" t="s">
        <v>479</v>
      </c>
      <c r="G173" t="s">
        <v>394</v>
      </c>
      <c r="H173" t="s">
        <v>491</v>
      </c>
      <c r="I173" t="s">
        <v>480</v>
      </c>
      <c r="J173" t="s">
        <v>456</v>
      </c>
      <c r="K173" t="s">
        <v>457</v>
      </c>
      <c r="L173" t="s">
        <v>512</v>
      </c>
      <c r="M173" t="s">
        <v>481</v>
      </c>
      <c r="N173" t="s">
        <v>511</v>
      </c>
      <c r="O173" t="s">
        <v>538</v>
      </c>
      <c r="P173" t="s">
        <v>490</v>
      </c>
      <c r="Q173">
        <v>1</v>
      </c>
      <c r="R173" t="s">
        <v>480</v>
      </c>
    </row>
    <row r="174" spans="1:18" x14ac:dyDescent="0.3">
      <c r="A174" t="s">
        <v>515</v>
      </c>
      <c r="B174" t="s">
        <v>592</v>
      </c>
      <c r="C174" t="s">
        <v>396</v>
      </c>
      <c r="D174" t="s">
        <v>490</v>
      </c>
      <c r="E174" t="s">
        <v>427</v>
      </c>
      <c r="F174" t="s">
        <v>479</v>
      </c>
      <c r="G174" t="s">
        <v>501</v>
      </c>
      <c r="H174" t="s">
        <v>486</v>
      </c>
      <c r="I174" t="s">
        <v>480</v>
      </c>
      <c r="J174" t="s">
        <v>401</v>
      </c>
      <c r="K174" t="s">
        <v>429</v>
      </c>
      <c r="L174" t="s">
        <v>513</v>
      </c>
      <c r="M174" t="s">
        <v>498</v>
      </c>
      <c r="N174" t="s">
        <v>511</v>
      </c>
      <c r="O174" t="s">
        <v>542</v>
      </c>
      <c r="P174" t="s">
        <v>490</v>
      </c>
      <c r="Q174">
        <v>1</v>
      </c>
      <c r="R174" t="s">
        <v>480</v>
      </c>
    </row>
    <row r="175" spans="1:18" x14ac:dyDescent="0.3">
      <c r="A175" t="s">
        <v>515</v>
      </c>
      <c r="B175" t="s">
        <v>592</v>
      </c>
      <c r="C175" t="s">
        <v>396</v>
      </c>
      <c r="D175" t="s">
        <v>490</v>
      </c>
      <c r="E175" t="s">
        <v>427</v>
      </c>
      <c r="F175" t="s">
        <v>479</v>
      </c>
      <c r="G175" t="s">
        <v>501</v>
      </c>
      <c r="H175" t="s">
        <v>486</v>
      </c>
      <c r="I175" t="s">
        <v>480</v>
      </c>
      <c r="J175" t="s">
        <v>401</v>
      </c>
      <c r="K175" t="s">
        <v>429</v>
      </c>
      <c r="L175" t="s">
        <v>513</v>
      </c>
      <c r="M175" t="s">
        <v>498</v>
      </c>
      <c r="N175" t="s">
        <v>511</v>
      </c>
      <c r="O175" t="s">
        <v>543</v>
      </c>
      <c r="P175" t="s">
        <v>490</v>
      </c>
      <c r="Q175">
        <v>1</v>
      </c>
      <c r="R175" t="s">
        <v>480</v>
      </c>
    </row>
    <row r="176" spans="1:18" x14ac:dyDescent="0.3">
      <c r="A176" t="s">
        <v>515</v>
      </c>
      <c r="B176" t="s">
        <v>545</v>
      </c>
      <c r="C176" t="s">
        <v>431</v>
      </c>
      <c r="D176" t="s">
        <v>490</v>
      </c>
      <c r="E176" t="s">
        <v>455</v>
      </c>
      <c r="F176" t="s">
        <v>479</v>
      </c>
      <c r="G176" t="s">
        <v>394</v>
      </c>
      <c r="H176" t="s">
        <v>491</v>
      </c>
      <c r="I176" t="s">
        <v>480</v>
      </c>
      <c r="J176" t="s">
        <v>456</v>
      </c>
      <c r="K176" t="s">
        <v>457</v>
      </c>
      <c r="L176" t="s">
        <v>512</v>
      </c>
      <c r="M176" t="s">
        <v>481</v>
      </c>
      <c r="N176" t="s">
        <v>511</v>
      </c>
      <c r="O176" t="s">
        <v>540</v>
      </c>
      <c r="P176" t="s">
        <v>490</v>
      </c>
      <c r="Q176">
        <v>1</v>
      </c>
      <c r="R176" t="s">
        <v>480</v>
      </c>
    </row>
    <row r="177" spans="1:18" x14ac:dyDescent="0.3">
      <c r="A177" t="s">
        <v>515</v>
      </c>
      <c r="B177" t="s">
        <v>545</v>
      </c>
      <c r="C177" t="s">
        <v>431</v>
      </c>
      <c r="D177" t="s">
        <v>490</v>
      </c>
      <c r="E177" t="s">
        <v>455</v>
      </c>
      <c r="F177" t="s">
        <v>479</v>
      </c>
      <c r="G177" t="s">
        <v>394</v>
      </c>
      <c r="H177" t="s">
        <v>486</v>
      </c>
      <c r="I177" t="s">
        <v>480</v>
      </c>
      <c r="J177" t="s">
        <v>456</v>
      </c>
      <c r="K177" t="s">
        <v>457</v>
      </c>
      <c r="L177" t="s">
        <v>512</v>
      </c>
      <c r="M177" t="s">
        <v>479</v>
      </c>
      <c r="N177" t="s">
        <v>511</v>
      </c>
      <c r="O177" t="s">
        <v>541</v>
      </c>
      <c r="P177" t="s">
        <v>490</v>
      </c>
      <c r="Q177">
        <v>1</v>
      </c>
      <c r="R177" t="s">
        <v>480</v>
      </c>
    </row>
    <row r="178" spans="1:18" x14ac:dyDescent="0.3">
      <c r="A178" t="s">
        <v>515</v>
      </c>
      <c r="B178" t="s">
        <v>549</v>
      </c>
      <c r="C178" t="s">
        <v>431</v>
      </c>
      <c r="D178" t="s">
        <v>490</v>
      </c>
      <c r="E178" t="s">
        <v>455</v>
      </c>
      <c r="F178" t="s">
        <v>481</v>
      </c>
      <c r="G178" t="s">
        <v>501</v>
      </c>
      <c r="H178" t="s">
        <v>486</v>
      </c>
      <c r="I178" t="s">
        <v>480</v>
      </c>
      <c r="J178" t="s">
        <v>456</v>
      </c>
      <c r="K178" t="s">
        <v>457</v>
      </c>
      <c r="L178" t="s">
        <v>512</v>
      </c>
      <c r="M178" t="s">
        <v>487</v>
      </c>
      <c r="N178" t="s">
        <v>511</v>
      </c>
      <c r="O178" t="s">
        <v>572</v>
      </c>
      <c r="P178" t="s">
        <v>490</v>
      </c>
      <c r="Q178">
        <v>1</v>
      </c>
      <c r="R178" t="s">
        <v>480</v>
      </c>
    </row>
    <row r="179" spans="1:18" x14ac:dyDescent="0.3">
      <c r="A179" t="s">
        <v>515</v>
      </c>
      <c r="B179" t="s">
        <v>549</v>
      </c>
      <c r="C179" t="s">
        <v>431</v>
      </c>
      <c r="D179" t="s">
        <v>490</v>
      </c>
      <c r="E179" t="s">
        <v>455</v>
      </c>
      <c r="F179" t="s">
        <v>481</v>
      </c>
      <c r="G179" t="s">
        <v>501</v>
      </c>
      <c r="H179" t="s">
        <v>486</v>
      </c>
      <c r="I179" t="s">
        <v>480</v>
      </c>
      <c r="J179" t="s">
        <v>456</v>
      </c>
      <c r="K179" t="s">
        <v>457</v>
      </c>
      <c r="L179" t="s">
        <v>512</v>
      </c>
      <c r="M179" t="s">
        <v>487</v>
      </c>
      <c r="N179" t="s">
        <v>511</v>
      </c>
      <c r="O179" t="s">
        <v>573</v>
      </c>
      <c r="P179" t="s">
        <v>490</v>
      </c>
      <c r="Q179">
        <v>1</v>
      </c>
      <c r="R179" t="s">
        <v>480</v>
      </c>
    </row>
    <row r="180" spans="1:18" x14ac:dyDescent="0.3">
      <c r="A180" t="s">
        <v>515</v>
      </c>
      <c r="B180" t="s">
        <v>549</v>
      </c>
      <c r="C180" t="s">
        <v>431</v>
      </c>
      <c r="D180" t="s">
        <v>490</v>
      </c>
      <c r="E180" t="s">
        <v>455</v>
      </c>
      <c r="F180" t="s">
        <v>481</v>
      </c>
      <c r="G180" t="s">
        <v>501</v>
      </c>
      <c r="H180" t="s">
        <v>486</v>
      </c>
      <c r="I180" t="s">
        <v>480</v>
      </c>
      <c r="J180" t="s">
        <v>456</v>
      </c>
      <c r="K180" t="s">
        <v>457</v>
      </c>
      <c r="L180" t="s">
        <v>512</v>
      </c>
      <c r="M180" t="s">
        <v>487</v>
      </c>
      <c r="N180" t="s">
        <v>511</v>
      </c>
      <c r="O180" t="s">
        <v>574</v>
      </c>
      <c r="P180" t="s">
        <v>490</v>
      </c>
      <c r="Q180">
        <v>1</v>
      </c>
      <c r="R180" t="s">
        <v>480</v>
      </c>
    </row>
    <row r="181" spans="1:18" x14ac:dyDescent="0.3">
      <c r="A181" t="s">
        <v>515</v>
      </c>
      <c r="B181" t="s">
        <v>549</v>
      </c>
      <c r="C181" t="s">
        <v>431</v>
      </c>
      <c r="D181" t="s">
        <v>490</v>
      </c>
      <c r="E181" t="s">
        <v>455</v>
      </c>
      <c r="F181" t="s">
        <v>481</v>
      </c>
      <c r="G181" t="s">
        <v>501</v>
      </c>
      <c r="H181" t="s">
        <v>486</v>
      </c>
      <c r="I181" t="s">
        <v>480</v>
      </c>
      <c r="J181" t="s">
        <v>456</v>
      </c>
      <c r="K181" t="s">
        <v>457</v>
      </c>
      <c r="L181" t="s">
        <v>512</v>
      </c>
      <c r="M181" t="s">
        <v>487</v>
      </c>
      <c r="N181" t="s">
        <v>511</v>
      </c>
      <c r="O181" t="s">
        <v>575</v>
      </c>
      <c r="P181" t="s">
        <v>490</v>
      </c>
      <c r="Q181">
        <v>1</v>
      </c>
      <c r="R181" t="s">
        <v>480</v>
      </c>
    </row>
    <row r="182" spans="1:18" x14ac:dyDescent="0.3">
      <c r="A182" t="s">
        <v>515</v>
      </c>
      <c r="B182" t="s">
        <v>549</v>
      </c>
      <c r="C182" t="s">
        <v>431</v>
      </c>
      <c r="D182" t="s">
        <v>490</v>
      </c>
      <c r="E182" t="s">
        <v>455</v>
      </c>
      <c r="F182" t="s">
        <v>481</v>
      </c>
      <c r="G182" t="s">
        <v>501</v>
      </c>
      <c r="H182" t="s">
        <v>486</v>
      </c>
      <c r="I182" t="s">
        <v>480</v>
      </c>
      <c r="J182" t="s">
        <v>456</v>
      </c>
      <c r="K182" t="s">
        <v>457</v>
      </c>
      <c r="L182" t="s">
        <v>512</v>
      </c>
      <c r="M182" t="s">
        <v>487</v>
      </c>
      <c r="N182" t="s">
        <v>511</v>
      </c>
      <c r="O182" t="s">
        <v>576</v>
      </c>
      <c r="P182" t="s">
        <v>490</v>
      </c>
      <c r="Q182">
        <v>1</v>
      </c>
      <c r="R182" t="s">
        <v>480</v>
      </c>
    </row>
    <row r="183" spans="1:18" x14ac:dyDescent="0.3">
      <c r="A183" t="s">
        <v>515</v>
      </c>
      <c r="B183" t="s">
        <v>549</v>
      </c>
      <c r="C183" t="s">
        <v>431</v>
      </c>
      <c r="D183" t="s">
        <v>490</v>
      </c>
      <c r="E183" t="s">
        <v>455</v>
      </c>
      <c r="F183" t="s">
        <v>481</v>
      </c>
      <c r="G183" t="s">
        <v>501</v>
      </c>
      <c r="H183" t="s">
        <v>486</v>
      </c>
      <c r="I183" t="s">
        <v>480</v>
      </c>
      <c r="J183" t="s">
        <v>456</v>
      </c>
      <c r="K183" t="s">
        <v>457</v>
      </c>
      <c r="L183" t="s">
        <v>512</v>
      </c>
      <c r="M183" t="s">
        <v>487</v>
      </c>
      <c r="N183" t="s">
        <v>511</v>
      </c>
      <c r="O183" t="s">
        <v>577</v>
      </c>
      <c r="P183" t="s">
        <v>490</v>
      </c>
      <c r="Q183">
        <v>1</v>
      </c>
      <c r="R183" t="s">
        <v>480</v>
      </c>
    </row>
    <row r="184" spans="1:18" x14ac:dyDescent="0.3">
      <c r="A184" t="s">
        <v>515</v>
      </c>
      <c r="B184" t="s">
        <v>546</v>
      </c>
      <c r="C184" t="s">
        <v>431</v>
      </c>
      <c r="D184" t="s">
        <v>490</v>
      </c>
      <c r="E184" t="s">
        <v>455</v>
      </c>
      <c r="F184" t="s">
        <v>479</v>
      </c>
      <c r="G184" t="s">
        <v>501</v>
      </c>
      <c r="H184" t="s">
        <v>486</v>
      </c>
      <c r="I184" t="s">
        <v>480</v>
      </c>
      <c r="J184" t="s">
        <v>456</v>
      </c>
      <c r="K184" t="s">
        <v>457</v>
      </c>
      <c r="L184" t="s">
        <v>512</v>
      </c>
      <c r="M184" t="s">
        <v>487</v>
      </c>
      <c r="N184" t="s">
        <v>511</v>
      </c>
      <c r="O184" t="s">
        <v>578</v>
      </c>
      <c r="P184" t="s">
        <v>490</v>
      </c>
      <c r="Q184">
        <v>1</v>
      </c>
      <c r="R184" t="s">
        <v>480</v>
      </c>
    </row>
    <row r="185" spans="1:18" x14ac:dyDescent="0.3">
      <c r="A185" t="s">
        <v>515</v>
      </c>
      <c r="B185" t="s">
        <v>546</v>
      </c>
      <c r="C185" t="s">
        <v>431</v>
      </c>
      <c r="D185" t="s">
        <v>490</v>
      </c>
      <c r="E185" t="s">
        <v>455</v>
      </c>
      <c r="F185" t="s">
        <v>479</v>
      </c>
      <c r="G185" t="s">
        <v>501</v>
      </c>
      <c r="H185" t="s">
        <v>486</v>
      </c>
      <c r="I185" t="s">
        <v>480</v>
      </c>
      <c r="J185" t="s">
        <v>456</v>
      </c>
      <c r="K185" t="s">
        <v>457</v>
      </c>
      <c r="L185" t="s">
        <v>512</v>
      </c>
      <c r="M185" t="s">
        <v>487</v>
      </c>
      <c r="N185" t="s">
        <v>511</v>
      </c>
      <c r="O185" t="s">
        <v>579</v>
      </c>
      <c r="P185" t="s">
        <v>490</v>
      </c>
      <c r="Q185">
        <v>1</v>
      </c>
      <c r="R185" t="s">
        <v>480</v>
      </c>
    </row>
    <row r="186" spans="1:18" x14ac:dyDescent="0.3">
      <c r="A186" t="s">
        <v>515</v>
      </c>
      <c r="B186" t="s">
        <v>546</v>
      </c>
      <c r="C186" t="s">
        <v>431</v>
      </c>
      <c r="D186" t="s">
        <v>490</v>
      </c>
      <c r="E186" t="s">
        <v>455</v>
      </c>
      <c r="F186" t="s">
        <v>479</v>
      </c>
      <c r="G186" t="s">
        <v>394</v>
      </c>
      <c r="H186" t="s">
        <v>486</v>
      </c>
      <c r="I186" t="s">
        <v>480</v>
      </c>
      <c r="J186" t="s">
        <v>456</v>
      </c>
      <c r="K186" t="s">
        <v>457</v>
      </c>
      <c r="L186" t="s">
        <v>512</v>
      </c>
      <c r="M186" t="s">
        <v>485</v>
      </c>
      <c r="N186" t="s">
        <v>511</v>
      </c>
      <c r="O186" t="s">
        <v>547</v>
      </c>
      <c r="P186" t="s">
        <v>490</v>
      </c>
      <c r="Q186">
        <v>1</v>
      </c>
      <c r="R186" t="s">
        <v>480</v>
      </c>
    </row>
    <row r="187" spans="1:18" x14ac:dyDescent="0.3">
      <c r="A187" t="s">
        <v>515</v>
      </c>
      <c r="B187" t="s">
        <v>546</v>
      </c>
      <c r="C187" t="s">
        <v>431</v>
      </c>
      <c r="D187" t="s">
        <v>490</v>
      </c>
      <c r="E187" t="s">
        <v>455</v>
      </c>
      <c r="F187" t="s">
        <v>479</v>
      </c>
      <c r="G187" t="s">
        <v>394</v>
      </c>
      <c r="H187" t="s">
        <v>491</v>
      </c>
      <c r="I187" t="s">
        <v>480</v>
      </c>
      <c r="J187" t="s">
        <v>456</v>
      </c>
      <c r="K187" t="s">
        <v>457</v>
      </c>
      <c r="L187" t="s">
        <v>512</v>
      </c>
      <c r="M187" t="s">
        <v>481</v>
      </c>
      <c r="N187" t="s">
        <v>511</v>
      </c>
      <c r="O187" t="s">
        <v>548</v>
      </c>
      <c r="P187" t="s">
        <v>490</v>
      </c>
      <c r="Q187">
        <v>1</v>
      </c>
      <c r="R187" t="s">
        <v>480</v>
      </c>
    </row>
    <row r="188" spans="1:18" x14ac:dyDescent="0.3">
      <c r="A188" t="s">
        <v>515</v>
      </c>
      <c r="B188" t="s">
        <v>546</v>
      </c>
      <c r="C188" t="s">
        <v>431</v>
      </c>
      <c r="D188" t="s">
        <v>490</v>
      </c>
      <c r="E188" t="s">
        <v>455</v>
      </c>
      <c r="F188" t="s">
        <v>481</v>
      </c>
      <c r="G188" t="s">
        <v>501</v>
      </c>
      <c r="H188" t="s">
        <v>486</v>
      </c>
      <c r="I188" t="s">
        <v>480</v>
      </c>
      <c r="J188" t="s">
        <v>456</v>
      </c>
      <c r="K188" t="s">
        <v>457</v>
      </c>
      <c r="L188" t="s">
        <v>512</v>
      </c>
      <c r="M188" t="s">
        <v>487</v>
      </c>
      <c r="N188" t="s">
        <v>511</v>
      </c>
      <c r="O188" t="s">
        <v>580</v>
      </c>
      <c r="P188" t="s">
        <v>490</v>
      </c>
      <c r="Q188">
        <v>1</v>
      </c>
      <c r="R188" t="s">
        <v>480</v>
      </c>
    </row>
    <row r="189" spans="1:18" x14ac:dyDescent="0.3">
      <c r="A189" t="s">
        <v>515</v>
      </c>
      <c r="B189" t="s">
        <v>546</v>
      </c>
      <c r="C189" t="s">
        <v>431</v>
      </c>
      <c r="D189" t="s">
        <v>490</v>
      </c>
      <c r="E189" t="s">
        <v>455</v>
      </c>
      <c r="F189" t="s">
        <v>481</v>
      </c>
      <c r="G189" t="s">
        <v>501</v>
      </c>
      <c r="H189" t="s">
        <v>486</v>
      </c>
      <c r="I189" t="s">
        <v>480</v>
      </c>
      <c r="J189" t="s">
        <v>456</v>
      </c>
      <c r="K189" t="s">
        <v>457</v>
      </c>
      <c r="L189" t="s">
        <v>512</v>
      </c>
      <c r="M189" t="s">
        <v>487</v>
      </c>
      <c r="N189" t="s">
        <v>511</v>
      </c>
      <c r="O189" t="s">
        <v>581</v>
      </c>
      <c r="P189" t="s">
        <v>490</v>
      </c>
      <c r="Q189">
        <v>1</v>
      </c>
      <c r="R189" t="s">
        <v>480</v>
      </c>
    </row>
    <row r="190" spans="1:18" x14ac:dyDescent="0.3">
      <c r="A190" t="s">
        <v>515</v>
      </c>
      <c r="B190" t="s">
        <v>546</v>
      </c>
      <c r="C190" t="s">
        <v>431</v>
      </c>
      <c r="D190" t="s">
        <v>490</v>
      </c>
      <c r="E190" t="s">
        <v>455</v>
      </c>
      <c r="F190" t="s">
        <v>481</v>
      </c>
      <c r="G190" t="s">
        <v>501</v>
      </c>
      <c r="H190" t="s">
        <v>486</v>
      </c>
      <c r="I190" t="s">
        <v>480</v>
      </c>
      <c r="J190" t="s">
        <v>456</v>
      </c>
      <c r="K190" t="s">
        <v>457</v>
      </c>
      <c r="L190" t="s">
        <v>512</v>
      </c>
      <c r="M190" t="s">
        <v>487</v>
      </c>
      <c r="N190" t="s">
        <v>511</v>
      </c>
      <c r="O190" t="s">
        <v>582</v>
      </c>
      <c r="P190" t="s">
        <v>490</v>
      </c>
      <c r="Q190">
        <v>1</v>
      </c>
      <c r="R190" t="s">
        <v>480</v>
      </c>
    </row>
    <row r="191" spans="1:18" x14ac:dyDescent="0.3">
      <c r="A191" t="s">
        <v>515</v>
      </c>
      <c r="B191" t="s">
        <v>546</v>
      </c>
      <c r="C191" t="s">
        <v>431</v>
      </c>
      <c r="D191" t="s">
        <v>490</v>
      </c>
      <c r="E191" t="s">
        <v>455</v>
      </c>
      <c r="F191" t="s">
        <v>481</v>
      </c>
      <c r="G191" t="s">
        <v>501</v>
      </c>
      <c r="H191" t="s">
        <v>486</v>
      </c>
      <c r="I191" t="s">
        <v>480</v>
      </c>
      <c r="J191" t="s">
        <v>456</v>
      </c>
      <c r="K191" t="s">
        <v>457</v>
      </c>
      <c r="L191" t="s">
        <v>512</v>
      </c>
      <c r="M191" t="s">
        <v>487</v>
      </c>
      <c r="N191" t="s">
        <v>511</v>
      </c>
      <c r="O191" t="s">
        <v>583</v>
      </c>
      <c r="P191" t="s">
        <v>490</v>
      </c>
      <c r="Q191">
        <v>1</v>
      </c>
      <c r="R191" t="s">
        <v>480</v>
      </c>
    </row>
    <row r="192" spans="1:18" x14ac:dyDescent="0.3">
      <c r="A192" t="s">
        <v>515</v>
      </c>
      <c r="B192" t="s">
        <v>549</v>
      </c>
      <c r="C192" t="s">
        <v>431</v>
      </c>
      <c r="D192" t="s">
        <v>490</v>
      </c>
      <c r="E192" t="s">
        <v>455</v>
      </c>
      <c r="F192" t="s">
        <v>479</v>
      </c>
      <c r="G192" t="s">
        <v>394</v>
      </c>
      <c r="H192" t="s">
        <v>486</v>
      </c>
      <c r="I192" t="s">
        <v>480</v>
      </c>
      <c r="J192" t="s">
        <v>456</v>
      </c>
      <c r="K192" t="s">
        <v>457</v>
      </c>
      <c r="L192" t="s">
        <v>512</v>
      </c>
      <c r="M192" t="s">
        <v>485</v>
      </c>
      <c r="N192" t="s">
        <v>511</v>
      </c>
      <c r="O192" t="s">
        <v>550</v>
      </c>
      <c r="P192" t="s">
        <v>490</v>
      </c>
      <c r="Q192">
        <v>1</v>
      </c>
      <c r="R192" t="s">
        <v>480</v>
      </c>
    </row>
    <row r="193" spans="1:18" x14ac:dyDescent="0.3">
      <c r="A193" t="s">
        <v>515</v>
      </c>
      <c r="B193" t="s">
        <v>549</v>
      </c>
      <c r="C193" t="s">
        <v>431</v>
      </c>
      <c r="D193" t="s">
        <v>490</v>
      </c>
      <c r="E193" t="s">
        <v>455</v>
      </c>
      <c r="F193" t="s">
        <v>479</v>
      </c>
      <c r="G193" t="s">
        <v>394</v>
      </c>
      <c r="H193" t="s">
        <v>491</v>
      </c>
      <c r="I193" t="s">
        <v>480</v>
      </c>
      <c r="J193" t="s">
        <v>456</v>
      </c>
      <c r="K193" t="s">
        <v>457</v>
      </c>
      <c r="L193" t="s">
        <v>512</v>
      </c>
      <c r="M193" t="s">
        <v>481</v>
      </c>
      <c r="N193" t="s">
        <v>511</v>
      </c>
      <c r="O193" t="s">
        <v>551</v>
      </c>
      <c r="P193" t="s">
        <v>490</v>
      </c>
      <c r="Q193">
        <v>1</v>
      </c>
      <c r="R193" t="s">
        <v>480</v>
      </c>
    </row>
    <row r="194" spans="1:18" x14ac:dyDescent="0.3">
      <c r="A194" t="s">
        <v>515</v>
      </c>
      <c r="B194" t="s">
        <v>546</v>
      </c>
      <c r="C194" t="s">
        <v>431</v>
      </c>
      <c r="D194" t="s">
        <v>490</v>
      </c>
      <c r="E194" t="s">
        <v>455</v>
      </c>
      <c r="F194" t="s">
        <v>479</v>
      </c>
      <c r="G194" t="s">
        <v>394</v>
      </c>
      <c r="H194" t="s">
        <v>491</v>
      </c>
      <c r="I194" t="s">
        <v>480</v>
      </c>
      <c r="J194" t="s">
        <v>456</v>
      </c>
      <c r="K194" t="s">
        <v>457</v>
      </c>
      <c r="L194" t="s">
        <v>512</v>
      </c>
      <c r="M194" t="s">
        <v>481</v>
      </c>
      <c r="N194" t="s">
        <v>511</v>
      </c>
      <c r="O194" t="s">
        <v>552</v>
      </c>
      <c r="P194" t="s">
        <v>490</v>
      </c>
      <c r="Q194">
        <v>1</v>
      </c>
      <c r="R194" t="s">
        <v>480</v>
      </c>
    </row>
    <row r="195" spans="1:18" x14ac:dyDescent="0.3">
      <c r="A195" t="s">
        <v>515</v>
      </c>
      <c r="B195" t="s">
        <v>546</v>
      </c>
      <c r="C195" t="s">
        <v>431</v>
      </c>
      <c r="D195" t="s">
        <v>490</v>
      </c>
      <c r="E195" t="s">
        <v>455</v>
      </c>
      <c r="F195" t="s">
        <v>479</v>
      </c>
      <c r="G195" t="s">
        <v>394</v>
      </c>
      <c r="H195" t="s">
        <v>491</v>
      </c>
      <c r="I195" t="s">
        <v>480</v>
      </c>
      <c r="J195" t="s">
        <v>456</v>
      </c>
      <c r="K195" t="s">
        <v>457</v>
      </c>
      <c r="L195" t="s">
        <v>512</v>
      </c>
      <c r="M195" t="s">
        <v>481</v>
      </c>
      <c r="N195" t="s">
        <v>511</v>
      </c>
      <c r="O195" t="s">
        <v>553</v>
      </c>
      <c r="P195" t="s">
        <v>490</v>
      </c>
      <c r="Q195">
        <v>1</v>
      </c>
      <c r="R195" t="s">
        <v>480</v>
      </c>
    </row>
    <row r="196" spans="1:18" x14ac:dyDescent="0.3">
      <c r="A196" t="s">
        <v>515</v>
      </c>
      <c r="B196" t="s">
        <v>546</v>
      </c>
      <c r="C196" t="s">
        <v>431</v>
      </c>
      <c r="D196" t="s">
        <v>490</v>
      </c>
      <c r="E196" t="s">
        <v>455</v>
      </c>
      <c r="F196" t="s">
        <v>479</v>
      </c>
      <c r="G196" t="s">
        <v>394</v>
      </c>
      <c r="H196" t="s">
        <v>486</v>
      </c>
      <c r="I196" t="s">
        <v>480</v>
      </c>
      <c r="J196" t="s">
        <v>456</v>
      </c>
      <c r="K196" t="s">
        <v>457</v>
      </c>
      <c r="L196" t="s">
        <v>512</v>
      </c>
      <c r="M196" t="s">
        <v>479</v>
      </c>
      <c r="N196" t="s">
        <v>511</v>
      </c>
      <c r="O196" t="s">
        <v>554</v>
      </c>
      <c r="P196" t="s">
        <v>490</v>
      </c>
      <c r="Q196">
        <v>1</v>
      </c>
      <c r="R196" t="s">
        <v>480</v>
      </c>
    </row>
    <row r="197" spans="1:18" x14ac:dyDescent="0.3">
      <c r="A197" t="s">
        <v>515</v>
      </c>
      <c r="B197" t="s">
        <v>592</v>
      </c>
      <c r="C197" t="s">
        <v>396</v>
      </c>
      <c r="D197" t="s">
        <v>490</v>
      </c>
      <c r="E197" t="s">
        <v>427</v>
      </c>
      <c r="F197" t="s">
        <v>479</v>
      </c>
      <c r="G197" t="s">
        <v>501</v>
      </c>
      <c r="H197" t="s">
        <v>486</v>
      </c>
      <c r="I197" t="s">
        <v>480</v>
      </c>
      <c r="J197" t="s">
        <v>401</v>
      </c>
      <c r="K197" t="s">
        <v>429</v>
      </c>
      <c r="L197" t="s">
        <v>513</v>
      </c>
      <c r="M197" t="s">
        <v>498</v>
      </c>
      <c r="N197" t="s">
        <v>511</v>
      </c>
      <c r="O197" t="s">
        <v>593</v>
      </c>
      <c r="P197" t="s">
        <v>490</v>
      </c>
      <c r="Q197">
        <v>1</v>
      </c>
      <c r="R197" t="s">
        <v>480</v>
      </c>
    </row>
    <row r="198" spans="1:18" x14ac:dyDescent="0.3">
      <c r="A198" t="s">
        <v>515</v>
      </c>
      <c r="B198" t="s">
        <v>594</v>
      </c>
      <c r="C198" t="s">
        <v>396</v>
      </c>
      <c r="D198" t="s">
        <v>490</v>
      </c>
      <c r="E198" t="s">
        <v>427</v>
      </c>
      <c r="F198" t="s">
        <v>479</v>
      </c>
      <c r="G198" t="s">
        <v>501</v>
      </c>
      <c r="H198" t="s">
        <v>486</v>
      </c>
      <c r="I198" t="s">
        <v>480</v>
      </c>
      <c r="J198" t="s">
        <v>401</v>
      </c>
      <c r="K198" t="s">
        <v>429</v>
      </c>
      <c r="L198" t="s">
        <v>513</v>
      </c>
      <c r="M198" t="s">
        <v>498</v>
      </c>
      <c r="N198" t="s">
        <v>511</v>
      </c>
      <c r="O198" t="s">
        <v>595</v>
      </c>
      <c r="P198" t="s">
        <v>490</v>
      </c>
      <c r="Q198">
        <v>1</v>
      </c>
      <c r="R198" t="s">
        <v>480</v>
      </c>
    </row>
    <row r="199" spans="1:18" x14ac:dyDescent="0.3">
      <c r="A199" t="s">
        <v>515</v>
      </c>
      <c r="B199" t="s">
        <v>594</v>
      </c>
      <c r="C199" t="s">
        <v>396</v>
      </c>
      <c r="D199" t="s">
        <v>490</v>
      </c>
      <c r="E199" t="s">
        <v>427</v>
      </c>
      <c r="F199" t="s">
        <v>479</v>
      </c>
      <c r="G199" t="s">
        <v>501</v>
      </c>
      <c r="H199" t="s">
        <v>486</v>
      </c>
      <c r="I199" t="s">
        <v>480</v>
      </c>
      <c r="J199" t="s">
        <v>401</v>
      </c>
      <c r="K199" t="s">
        <v>429</v>
      </c>
      <c r="L199" t="s">
        <v>513</v>
      </c>
      <c r="M199" t="s">
        <v>498</v>
      </c>
      <c r="N199" t="s">
        <v>511</v>
      </c>
      <c r="O199" t="s">
        <v>596</v>
      </c>
      <c r="P199" t="s">
        <v>490</v>
      </c>
      <c r="Q199">
        <v>1</v>
      </c>
      <c r="R199" t="s">
        <v>480</v>
      </c>
    </row>
    <row r="200" spans="1:18" x14ac:dyDescent="0.3">
      <c r="A200" t="s">
        <v>515</v>
      </c>
      <c r="B200" t="s">
        <v>594</v>
      </c>
      <c r="C200" t="s">
        <v>396</v>
      </c>
      <c r="D200" t="s">
        <v>490</v>
      </c>
      <c r="E200" t="s">
        <v>427</v>
      </c>
      <c r="F200" t="s">
        <v>479</v>
      </c>
      <c r="G200" t="s">
        <v>501</v>
      </c>
      <c r="H200" t="s">
        <v>486</v>
      </c>
      <c r="I200" t="s">
        <v>480</v>
      </c>
      <c r="J200" t="s">
        <v>401</v>
      </c>
      <c r="K200" t="s">
        <v>429</v>
      </c>
      <c r="L200" t="s">
        <v>513</v>
      </c>
      <c r="M200" t="s">
        <v>498</v>
      </c>
      <c r="N200" t="s">
        <v>511</v>
      </c>
      <c r="O200" t="s">
        <v>597</v>
      </c>
      <c r="P200" t="s">
        <v>490</v>
      </c>
      <c r="Q200">
        <v>1</v>
      </c>
      <c r="R200" t="s">
        <v>480</v>
      </c>
    </row>
    <row r="201" spans="1:18" x14ac:dyDescent="0.3">
      <c r="A201" t="s">
        <v>515</v>
      </c>
      <c r="B201" t="s">
        <v>594</v>
      </c>
      <c r="C201" t="s">
        <v>396</v>
      </c>
      <c r="D201" t="s">
        <v>490</v>
      </c>
      <c r="E201" t="s">
        <v>427</v>
      </c>
      <c r="F201" t="s">
        <v>479</v>
      </c>
      <c r="G201" t="s">
        <v>501</v>
      </c>
      <c r="H201" t="s">
        <v>486</v>
      </c>
      <c r="I201" t="s">
        <v>480</v>
      </c>
      <c r="J201" t="s">
        <v>401</v>
      </c>
      <c r="K201" t="s">
        <v>429</v>
      </c>
      <c r="L201" t="s">
        <v>513</v>
      </c>
      <c r="M201" t="s">
        <v>498</v>
      </c>
      <c r="N201" t="s">
        <v>511</v>
      </c>
      <c r="O201" t="s">
        <v>598</v>
      </c>
      <c r="P201" t="s">
        <v>490</v>
      </c>
      <c r="Q201">
        <v>1</v>
      </c>
      <c r="R201" t="s">
        <v>480</v>
      </c>
    </row>
    <row r="202" spans="1:18" x14ac:dyDescent="0.3">
      <c r="A202" t="s">
        <v>515</v>
      </c>
      <c r="B202" t="s">
        <v>555</v>
      </c>
      <c r="C202" t="s">
        <v>431</v>
      </c>
      <c r="D202" t="s">
        <v>490</v>
      </c>
      <c r="E202" t="s">
        <v>455</v>
      </c>
      <c r="F202" t="s">
        <v>481</v>
      </c>
      <c r="G202" t="s">
        <v>501</v>
      </c>
      <c r="H202" t="s">
        <v>486</v>
      </c>
      <c r="I202" t="s">
        <v>480</v>
      </c>
      <c r="J202" t="s">
        <v>456</v>
      </c>
      <c r="K202" t="s">
        <v>457</v>
      </c>
      <c r="L202" t="s">
        <v>512</v>
      </c>
      <c r="M202" t="s">
        <v>487</v>
      </c>
      <c r="N202" t="s">
        <v>511</v>
      </c>
      <c r="O202" t="s">
        <v>584</v>
      </c>
      <c r="P202" t="s">
        <v>490</v>
      </c>
      <c r="Q202">
        <v>1</v>
      </c>
      <c r="R202" t="s">
        <v>480</v>
      </c>
    </row>
    <row r="203" spans="1:18" x14ac:dyDescent="0.3">
      <c r="A203" t="s">
        <v>515</v>
      </c>
      <c r="B203" t="s">
        <v>555</v>
      </c>
      <c r="C203" t="s">
        <v>431</v>
      </c>
      <c r="D203" t="s">
        <v>490</v>
      </c>
      <c r="E203" t="s">
        <v>455</v>
      </c>
      <c r="F203" t="s">
        <v>479</v>
      </c>
      <c r="G203" t="s">
        <v>501</v>
      </c>
      <c r="H203" t="s">
        <v>486</v>
      </c>
      <c r="I203" t="s">
        <v>480</v>
      </c>
      <c r="J203" t="s">
        <v>456</v>
      </c>
      <c r="K203" t="s">
        <v>457</v>
      </c>
      <c r="L203" t="s">
        <v>512</v>
      </c>
      <c r="M203" t="s">
        <v>487</v>
      </c>
      <c r="N203" t="s">
        <v>511</v>
      </c>
      <c r="O203" t="s">
        <v>585</v>
      </c>
      <c r="P203" t="s">
        <v>490</v>
      </c>
      <c r="Q203">
        <v>1</v>
      </c>
      <c r="R203" t="s">
        <v>480</v>
      </c>
    </row>
    <row r="204" spans="1:18" x14ac:dyDescent="0.3">
      <c r="A204" t="s">
        <v>515</v>
      </c>
      <c r="B204" t="s">
        <v>555</v>
      </c>
      <c r="C204" t="s">
        <v>431</v>
      </c>
      <c r="D204" t="s">
        <v>490</v>
      </c>
      <c r="E204" t="s">
        <v>455</v>
      </c>
      <c r="F204" t="s">
        <v>479</v>
      </c>
      <c r="G204" t="s">
        <v>394</v>
      </c>
      <c r="H204" t="s">
        <v>486</v>
      </c>
      <c r="I204" t="s">
        <v>480</v>
      </c>
      <c r="J204" t="s">
        <v>456</v>
      </c>
      <c r="K204" t="s">
        <v>457</v>
      </c>
      <c r="L204" t="s">
        <v>512</v>
      </c>
      <c r="M204" t="s">
        <v>479</v>
      </c>
      <c r="N204" t="s">
        <v>511</v>
      </c>
      <c r="O204" t="s">
        <v>556</v>
      </c>
      <c r="P204" t="s">
        <v>490</v>
      </c>
      <c r="Q204">
        <v>1</v>
      </c>
      <c r="R204" t="s">
        <v>480</v>
      </c>
    </row>
    <row r="205" spans="1:18" x14ac:dyDescent="0.3">
      <c r="A205" t="s">
        <v>515</v>
      </c>
      <c r="B205" t="s">
        <v>555</v>
      </c>
      <c r="C205" t="s">
        <v>431</v>
      </c>
      <c r="D205" t="s">
        <v>490</v>
      </c>
      <c r="E205" t="s">
        <v>455</v>
      </c>
      <c r="F205" t="s">
        <v>479</v>
      </c>
      <c r="G205" t="s">
        <v>394</v>
      </c>
      <c r="H205" t="s">
        <v>491</v>
      </c>
      <c r="I205" t="s">
        <v>480</v>
      </c>
      <c r="J205" t="s">
        <v>456</v>
      </c>
      <c r="K205" t="s">
        <v>457</v>
      </c>
      <c r="L205" t="s">
        <v>512</v>
      </c>
      <c r="M205" t="s">
        <v>481</v>
      </c>
      <c r="N205" t="s">
        <v>511</v>
      </c>
      <c r="O205" t="s">
        <v>557</v>
      </c>
      <c r="P205" t="s">
        <v>490</v>
      </c>
      <c r="Q205">
        <v>1</v>
      </c>
      <c r="R205" t="s">
        <v>480</v>
      </c>
    </row>
    <row r="206" spans="1:18" x14ac:dyDescent="0.3">
      <c r="A206" t="s">
        <v>515</v>
      </c>
      <c r="B206" t="s">
        <v>555</v>
      </c>
      <c r="C206" t="s">
        <v>431</v>
      </c>
      <c r="D206" t="s">
        <v>490</v>
      </c>
      <c r="E206" t="s">
        <v>455</v>
      </c>
      <c r="F206" t="s">
        <v>479</v>
      </c>
      <c r="G206" t="s">
        <v>394</v>
      </c>
      <c r="H206" t="s">
        <v>491</v>
      </c>
      <c r="I206" t="s">
        <v>480</v>
      </c>
      <c r="J206" t="s">
        <v>456</v>
      </c>
      <c r="K206" t="s">
        <v>457</v>
      </c>
      <c r="L206" t="s">
        <v>512</v>
      </c>
      <c r="M206" t="s">
        <v>481</v>
      </c>
      <c r="N206" t="s">
        <v>511</v>
      </c>
      <c r="O206" t="s">
        <v>558</v>
      </c>
      <c r="P206" t="s">
        <v>490</v>
      </c>
      <c r="Q206">
        <v>1</v>
      </c>
      <c r="R206" t="s">
        <v>480</v>
      </c>
    </row>
    <row r="207" spans="1:18" x14ac:dyDescent="0.3">
      <c r="A207" t="s">
        <v>515</v>
      </c>
      <c r="B207" t="s">
        <v>555</v>
      </c>
      <c r="C207" t="s">
        <v>431</v>
      </c>
      <c r="D207" t="s">
        <v>490</v>
      </c>
      <c r="E207" t="s">
        <v>455</v>
      </c>
      <c r="F207" t="s">
        <v>479</v>
      </c>
      <c r="G207" t="s">
        <v>394</v>
      </c>
      <c r="H207" t="s">
        <v>486</v>
      </c>
      <c r="I207" t="s">
        <v>480</v>
      </c>
      <c r="J207" t="s">
        <v>456</v>
      </c>
      <c r="K207" t="s">
        <v>457</v>
      </c>
      <c r="L207" t="s">
        <v>512</v>
      </c>
      <c r="M207" t="s">
        <v>485</v>
      </c>
      <c r="N207" t="s">
        <v>511</v>
      </c>
      <c r="O207" t="s">
        <v>559</v>
      </c>
      <c r="P207" t="s">
        <v>490</v>
      </c>
      <c r="Q207">
        <v>1</v>
      </c>
      <c r="R207" t="s">
        <v>480</v>
      </c>
    </row>
    <row r="208" spans="1:18" x14ac:dyDescent="0.3">
      <c r="A208" t="s">
        <v>515</v>
      </c>
      <c r="B208" t="s">
        <v>555</v>
      </c>
      <c r="C208" t="s">
        <v>431</v>
      </c>
      <c r="D208" t="s">
        <v>490</v>
      </c>
      <c r="E208" t="s">
        <v>455</v>
      </c>
      <c r="F208" t="s">
        <v>481</v>
      </c>
      <c r="G208" t="s">
        <v>501</v>
      </c>
      <c r="H208" t="s">
        <v>486</v>
      </c>
      <c r="I208" t="s">
        <v>480</v>
      </c>
      <c r="J208" t="s">
        <v>456</v>
      </c>
      <c r="K208" t="s">
        <v>457</v>
      </c>
      <c r="L208" t="s">
        <v>512</v>
      </c>
      <c r="M208" t="s">
        <v>487</v>
      </c>
      <c r="N208" t="s">
        <v>511</v>
      </c>
      <c r="O208" t="s">
        <v>586</v>
      </c>
      <c r="P208" t="s">
        <v>490</v>
      </c>
      <c r="Q208">
        <v>1</v>
      </c>
      <c r="R208" t="s">
        <v>480</v>
      </c>
    </row>
    <row r="209" spans="1:18" x14ac:dyDescent="0.3">
      <c r="A209" t="s">
        <v>515</v>
      </c>
      <c r="B209" t="s">
        <v>555</v>
      </c>
      <c r="C209" t="s">
        <v>431</v>
      </c>
      <c r="D209" t="s">
        <v>490</v>
      </c>
      <c r="E209" t="s">
        <v>455</v>
      </c>
      <c r="F209" t="s">
        <v>481</v>
      </c>
      <c r="G209" t="s">
        <v>501</v>
      </c>
      <c r="H209" t="s">
        <v>486</v>
      </c>
      <c r="I209" t="s">
        <v>480</v>
      </c>
      <c r="J209" t="s">
        <v>456</v>
      </c>
      <c r="K209" t="s">
        <v>457</v>
      </c>
      <c r="L209" t="s">
        <v>512</v>
      </c>
      <c r="M209" t="s">
        <v>487</v>
      </c>
      <c r="N209" t="s">
        <v>511</v>
      </c>
      <c r="O209" t="s">
        <v>587</v>
      </c>
      <c r="P209" t="s">
        <v>490</v>
      </c>
      <c r="Q209">
        <v>1</v>
      </c>
      <c r="R209" t="s">
        <v>480</v>
      </c>
    </row>
    <row r="210" spans="1:18" x14ac:dyDescent="0.3">
      <c r="A210" t="s">
        <v>515</v>
      </c>
      <c r="B210" t="s">
        <v>555</v>
      </c>
      <c r="C210" t="s">
        <v>431</v>
      </c>
      <c r="D210" t="s">
        <v>490</v>
      </c>
      <c r="E210" t="s">
        <v>455</v>
      </c>
      <c r="F210" t="s">
        <v>479</v>
      </c>
      <c r="G210" t="s">
        <v>394</v>
      </c>
      <c r="H210" t="s">
        <v>486</v>
      </c>
      <c r="I210" t="s">
        <v>480</v>
      </c>
      <c r="J210" t="s">
        <v>456</v>
      </c>
      <c r="K210" t="s">
        <v>457</v>
      </c>
      <c r="L210" t="s">
        <v>512</v>
      </c>
      <c r="M210" t="s">
        <v>485</v>
      </c>
      <c r="N210" t="s">
        <v>511</v>
      </c>
      <c r="O210" t="s">
        <v>560</v>
      </c>
      <c r="P210" t="s">
        <v>490</v>
      </c>
      <c r="Q210">
        <v>1</v>
      </c>
      <c r="R210" t="s">
        <v>480</v>
      </c>
    </row>
    <row r="211" spans="1:18" x14ac:dyDescent="0.3">
      <c r="A211" t="s">
        <v>515</v>
      </c>
      <c r="B211" t="s">
        <v>555</v>
      </c>
      <c r="C211" t="s">
        <v>431</v>
      </c>
      <c r="D211" t="s">
        <v>490</v>
      </c>
      <c r="E211" t="s">
        <v>455</v>
      </c>
      <c r="F211" t="s">
        <v>479</v>
      </c>
      <c r="G211" t="s">
        <v>394</v>
      </c>
      <c r="H211" t="s">
        <v>491</v>
      </c>
      <c r="I211" t="s">
        <v>480</v>
      </c>
      <c r="J211" t="s">
        <v>456</v>
      </c>
      <c r="K211" t="s">
        <v>457</v>
      </c>
      <c r="L211" t="s">
        <v>512</v>
      </c>
      <c r="M211" t="s">
        <v>481</v>
      </c>
      <c r="N211" t="s">
        <v>511</v>
      </c>
      <c r="O211" t="s">
        <v>561</v>
      </c>
      <c r="P211" t="s">
        <v>490</v>
      </c>
      <c r="Q211">
        <v>1</v>
      </c>
      <c r="R211" t="s">
        <v>480</v>
      </c>
    </row>
    <row r="212" spans="1:18" x14ac:dyDescent="0.3">
      <c r="A212" t="s">
        <v>515</v>
      </c>
      <c r="B212" t="s">
        <v>555</v>
      </c>
      <c r="C212" t="s">
        <v>431</v>
      </c>
      <c r="D212" t="s">
        <v>490</v>
      </c>
      <c r="E212" t="s">
        <v>455</v>
      </c>
      <c r="F212" t="s">
        <v>479</v>
      </c>
      <c r="G212" t="s">
        <v>394</v>
      </c>
      <c r="H212" t="s">
        <v>486</v>
      </c>
      <c r="I212" t="s">
        <v>480</v>
      </c>
      <c r="J212" t="s">
        <v>456</v>
      </c>
      <c r="K212" t="s">
        <v>457</v>
      </c>
      <c r="L212" t="s">
        <v>512</v>
      </c>
      <c r="M212" t="s">
        <v>479</v>
      </c>
      <c r="N212" t="s">
        <v>511</v>
      </c>
      <c r="O212" t="s">
        <v>562</v>
      </c>
      <c r="P212" t="s">
        <v>490</v>
      </c>
      <c r="Q212">
        <v>1</v>
      </c>
      <c r="R212" t="s">
        <v>480</v>
      </c>
    </row>
    <row r="213" spans="1:18" x14ac:dyDescent="0.3">
      <c r="A213" t="s">
        <v>515</v>
      </c>
      <c r="B213" t="s">
        <v>681</v>
      </c>
      <c r="C213" t="s">
        <v>431</v>
      </c>
      <c r="D213" t="s">
        <v>490</v>
      </c>
      <c r="E213" t="s">
        <v>455</v>
      </c>
      <c r="F213" t="s">
        <v>479</v>
      </c>
      <c r="G213" t="s">
        <v>501</v>
      </c>
      <c r="H213" t="s">
        <v>486</v>
      </c>
      <c r="I213" t="s">
        <v>480</v>
      </c>
      <c r="J213" t="s">
        <v>456</v>
      </c>
      <c r="K213" t="s">
        <v>457</v>
      </c>
      <c r="L213" t="s">
        <v>512</v>
      </c>
      <c r="M213" t="s">
        <v>487</v>
      </c>
      <c r="N213" t="s">
        <v>511</v>
      </c>
      <c r="O213" t="s">
        <v>588</v>
      </c>
      <c r="P213" t="s">
        <v>490</v>
      </c>
      <c r="Q213">
        <v>1</v>
      </c>
      <c r="R213" t="s">
        <v>480</v>
      </c>
    </row>
    <row r="214" spans="1:18" x14ac:dyDescent="0.3">
      <c r="A214" t="s">
        <v>515</v>
      </c>
      <c r="B214" t="s">
        <v>681</v>
      </c>
      <c r="C214" t="s">
        <v>431</v>
      </c>
      <c r="D214" t="s">
        <v>490</v>
      </c>
      <c r="E214" t="s">
        <v>455</v>
      </c>
      <c r="F214" t="s">
        <v>479</v>
      </c>
      <c r="G214" t="s">
        <v>394</v>
      </c>
      <c r="H214" t="s">
        <v>491</v>
      </c>
      <c r="I214" t="s">
        <v>480</v>
      </c>
      <c r="J214" t="s">
        <v>456</v>
      </c>
      <c r="K214" t="s">
        <v>457</v>
      </c>
      <c r="L214" t="s">
        <v>512</v>
      </c>
      <c r="M214" t="s">
        <v>481</v>
      </c>
      <c r="N214" t="s">
        <v>511</v>
      </c>
      <c r="O214" t="s">
        <v>563</v>
      </c>
      <c r="P214" t="s">
        <v>490</v>
      </c>
      <c r="Q214">
        <v>1</v>
      </c>
      <c r="R214" t="s">
        <v>480</v>
      </c>
    </row>
    <row r="215" spans="1:18" x14ac:dyDescent="0.3">
      <c r="A215" t="s">
        <v>515</v>
      </c>
      <c r="B215" t="s">
        <v>681</v>
      </c>
      <c r="C215" t="s">
        <v>431</v>
      </c>
      <c r="D215" t="s">
        <v>490</v>
      </c>
      <c r="E215" t="s">
        <v>455</v>
      </c>
      <c r="F215" t="s">
        <v>479</v>
      </c>
      <c r="G215" t="s">
        <v>394</v>
      </c>
      <c r="H215" t="s">
        <v>491</v>
      </c>
      <c r="I215" t="s">
        <v>480</v>
      </c>
      <c r="J215" t="s">
        <v>456</v>
      </c>
      <c r="K215" t="s">
        <v>457</v>
      </c>
      <c r="L215" t="s">
        <v>512</v>
      </c>
      <c r="M215" t="s">
        <v>481</v>
      </c>
      <c r="N215" t="s">
        <v>511</v>
      </c>
      <c r="O215" t="s">
        <v>564</v>
      </c>
      <c r="P215" t="s">
        <v>490</v>
      </c>
      <c r="Q215">
        <v>1</v>
      </c>
      <c r="R215" t="s">
        <v>480</v>
      </c>
    </row>
    <row r="216" spans="1:18" x14ac:dyDescent="0.3">
      <c r="A216" t="s">
        <v>515</v>
      </c>
      <c r="B216" t="s">
        <v>681</v>
      </c>
      <c r="C216" t="s">
        <v>431</v>
      </c>
      <c r="D216" t="s">
        <v>490</v>
      </c>
      <c r="E216" t="s">
        <v>455</v>
      </c>
      <c r="F216" t="s">
        <v>481</v>
      </c>
      <c r="G216" t="s">
        <v>501</v>
      </c>
      <c r="H216" t="s">
        <v>486</v>
      </c>
      <c r="I216" t="s">
        <v>480</v>
      </c>
      <c r="J216" t="s">
        <v>456</v>
      </c>
      <c r="K216" t="s">
        <v>457</v>
      </c>
      <c r="L216" t="s">
        <v>512</v>
      </c>
      <c r="M216" t="s">
        <v>487</v>
      </c>
      <c r="N216" t="s">
        <v>511</v>
      </c>
      <c r="O216" t="s">
        <v>589</v>
      </c>
      <c r="P216" t="s">
        <v>490</v>
      </c>
      <c r="Q216">
        <v>1</v>
      </c>
      <c r="R216" t="s">
        <v>480</v>
      </c>
    </row>
    <row r="217" spans="1:18" x14ac:dyDescent="0.3">
      <c r="A217" t="s">
        <v>515</v>
      </c>
      <c r="B217" t="s">
        <v>594</v>
      </c>
      <c r="C217" t="s">
        <v>396</v>
      </c>
      <c r="D217" t="s">
        <v>490</v>
      </c>
      <c r="E217" t="s">
        <v>427</v>
      </c>
      <c r="F217" t="s">
        <v>479</v>
      </c>
      <c r="G217" t="s">
        <v>501</v>
      </c>
      <c r="H217" t="s">
        <v>486</v>
      </c>
      <c r="I217" t="s">
        <v>480</v>
      </c>
      <c r="J217" t="s">
        <v>401</v>
      </c>
      <c r="K217" t="s">
        <v>429</v>
      </c>
      <c r="L217" t="s">
        <v>513</v>
      </c>
      <c r="M217" t="s">
        <v>498</v>
      </c>
      <c r="N217" t="s">
        <v>511</v>
      </c>
      <c r="O217" t="s">
        <v>599</v>
      </c>
      <c r="P217" t="s">
        <v>490</v>
      </c>
      <c r="Q217">
        <v>1</v>
      </c>
      <c r="R217" t="s">
        <v>480</v>
      </c>
    </row>
    <row r="218" spans="1:18" x14ac:dyDescent="0.3">
      <c r="A218" t="s">
        <v>515</v>
      </c>
      <c r="B218" t="s">
        <v>594</v>
      </c>
      <c r="C218" t="s">
        <v>396</v>
      </c>
      <c r="D218" t="s">
        <v>490</v>
      </c>
      <c r="E218" t="s">
        <v>427</v>
      </c>
      <c r="F218" t="s">
        <v>479</v>
      </c>
      <c r="G218" t="s">
        <v>501</v>
      </c>
      <c r="H218" t="s">
        <v>486</v>
      </c>
      <c r="I218" t="s">
        <v>480</v>
      </c>
      <c r="J218" t="s">
        <v>401</v>
      </c>
      <c r="K218" t="s">
        <v>429</v>
      </c>
      <c r="L218" t="s">
        <v>513</v>
      </c>
      <c r="M218" t="s">
        <v>498</v>
      </c>
      <c r="N218" t="s">
        <v>511</v>
      </c>
      <c r="O218" t="s">
        <v>600</v>
      </c>
      <c r="P218" t="s">
        <v>490</v>
      </c>
      <c r="Q218">
        <v>1</v>
      </c>
      <c r="R218" t="s">
        <v>480</v>
      </c>
    </row>
    <row r="219" spans="1:18" x14ac:dyDescent="0.3">
      <c r="A219" t="s">
        <v>515</v>
      </c>
      <c r="B219" t="s">
        <v>594</v>
      </c>
      <c r="C219" t="s">
        <v>396</v>
      </c>
      <c r="D219" t="s">
        <v>490</v>
      </c>
      <c r="E219" t="s">
        <v>427</v>
      </c>
      <c r="F219" t="s">
        <v>479</v>
      </c>
      <c r="G219" t="s">
        <v>501</v>
      </c>
      <c r="H219" t="s">
        <v>486</v>
      </c>
      <c r="I219" t="s">
        <v>480</v>
      </c>
      <c r="J219" t="s">
        <v>401</v>
      </c>
      <c r="K219" t="s">
        <v>429</v>
      </c>
      <c r="L219" t="s">
        <v>513</v>
      </c>
      <c r="M219" t="s">
        <v>498</v>
      </c>
      <c r="N219" t="s">
        <v>511</v>
      </c>
      <c r="O219" t="s">
        <v>601</v>
      </c>
      <c r="P219" t="s">
        <v>490</v>
      </c>
      <c r="Q219">
        <v>1</v>
      </c>
      <c r="R219" t="s">
        <v>480</v>
      </c>
    </row>
    <row r="220" spans="1:18" x14ac:dyDescent="0.3">
      <c r="A220" t="s">
        <v>515</v>
      </c>
      <c r="B220" t="s">
        <v>594</v>
      </c>
      <c r="C220" t="s">
        <v>396</v>
      </c>
      <c r="D220" t="s">
        <v>490</v>
      </c>
      <c r="E220" t="s">
        <v>427</v>
      </c>
      <c r="F220" t="s">
        <v>479</v>
      </c>
      <c r="G220" t="s">
        <v>501</v>
      </c>
      <c r="H220" t="s">
        <v>486</v>
      </c>
      <c r="I220" t="s">
        <v>480</v>
      </c>
      <c r="J220" t="s">
        <v>401</v>
      </c>
      <c r="K220" t="s">
        <v>429</v>
      </c>
      <c r="L220" t="s">
        <v>513</v>
      </c>
      <c r="M220" t="s">
        <v>498</v>
      </c>
      <c r="N220" t="s">
        <v>511</v>
      </c>
      <c r="O220" t="s">
        <v>602</v>
      </c>
      <c r="P220" t="s">
        <v>490</v>
      </c>
      <c r="Q220">
        <v>1</v>
      </c>
      <c r="R220" t="s">
        <v>480</v>
      </c>
    </row>
    <row r="221" spans="1:18" x14ac:dyDescent="0.3">
      <c r="A221" t="s">
        <v>515</v>
      </c>
      <c r="B221" t="s">
        <v>594</v>
      </c>
      <c r="C221" t="s">
        <v>396</v>
      </c>
      <c r="D221" t="s">
        <v>490</v>
      </c>
      <c r="E221" t="s">
        <v>427</v>
      </c>
      <c r="F221" t="s">
        <v>479</v>
      </c>
      <c r="G221" t="s">
        <v>501</v>
      </c>
      <c r="H221" t="s">
        <v>486</v>
      </c>
      <c r="I221" t="s">
        <v>480</v>
      </c>
      <c r="J221" t="s">
        <v>401</v>
      </c>
      <c r="K221" t="s">
        <v>429</v>
      </c>
      <c r="L221" t="s">
        <v>513</v>
      </c>
      <c r="M221" t="s">
        <v>498</v>
      </c>
      <c r="N221" t="s">
        <v>511</v>
      </c>
      <c r="O221" t="s">
        <v>603</v>
      </c>
      <c r="P221" t="s">
        <v>490</v>
      </c>
      <c r="Q221">
        <v>1</v>
      </c>
      <c r="R221" t="s">
        <v>480</v>
      </c>
    </row>
    <row r="222" spans="1:18" x14ac:dyDescent="0.3">
      <c r="A222" t="s">
        <v>515</v>
      </c>
      <c r="B222" t="s">
        <v>681</v>
      </c>
      <c r="C222" t="s">
        <v>431</v>
      </c>
      <c r="D222" t="s">
        <v>490</v>
      </c>
      <c r="E222" t="s">
        <v>455</v>
      </c>
      <c r="F222" t="s">
        <v>479</v>
      </c>
      <c r="G222" t="s">
        <v>394</v>
      </c>
      <c r="H222" t="s">
        <v>486</v>
      </c>
      <c r="I222" t="s">
        <v>480</v>
      </c>
      <c r="J222" t="s">
        <v>456</v>
      </c>
      <c r="K222" t="s">
        <v>457</v>
      </c>
      <c r="L222" t="s">
        <v>512</v>
      </c>
      <c r="M222" t="s">
        <v>485</v>
      </c>
      <c r="N222" t="s">
        <v>511</v>
      </c>
      <c r="O222" t="s">
        <v>565</v>
      </c>
      <c r="P222" t="s">
        <v>490</v>
      </c>
      <c r="Q222">
        <v>1</v>
      </c>
      <c r="R222" t="s">
        <v>480</v>
      </c>
    </row>
    <row r="223" spans="1:18" x14ac:dyDescent="0.3">
      <c r="A223" t="s">
        <v>515</v>
      </c>
      <c r="B223" t="s">
        <v>681</v>
      </c>
      <c r="C223" t="s">
        <v>431</v>
      </c>
      <c r="D223" t="s">
        <v>490</v>
      </c>
      <c r="E223" t="s">
        <v>455</v>
      </c>
      <c r="F223" t="s">
        <v>479</v>
      </c>
      <c r="G223" t="s">
        <v>394</v>
      </c>
      <c r="H223" t="s">
        <v>486</v>
      </c>
      <c r="I223" t="s">
        <v>480</v>
      </c>
      <c r="J223" t="s">
        <v>456</v>
      </c>
      <c r="K223" t="s">
        <v>457</v>
      </c>
      <c r="L223" t="s">
        <v>512</v>
      </c>
      <c r="M223" t="s">
        <v>479</v>
      </c>
      <c r="N223" t="s">
        <v>511</v>
      </c>
      <c r="O223" t="s">
        <v>566</v>
      </c>
      <c r="P223" t="s">
        <v>490</v>
      </c>
      <c r="Q223">
        <v>1</v>
      </c>
      <c r="R223" t="s">
        <v>480</v>
      </c>
    </row>
    <row r="224" spans="1:18" x14ac:dyDescent="0.3">
      <c r="A224" t="s">
        <v>515</v>
      </c>
      <c r="B224" t="s">
        <v>681</v>
      </c>
      <c r="C224" t="s">
        <v>431</v>
      </c>
      <c r="D224" t="s">
        <v>490</v>
      </c>
      <c r="E224" t="s">
        <v>455</v>
      </c>
      <c r="F224" t="s">
        <v>481</v>
      </c>
      <c r="G224" t="s">
        <v>501</v>
      </c>
      <c r="H224" t="s">
        <v>486</v>
      </c>
      <c r="I224" t="s">
        <v>480</v>
      </c>
      <c r="J224" t="s">
        <v>456</v>
      </c>
      <c r="K224" t="s">
        <v>457</v>
      </c>
      <c r="L224" t="s">
        <v>512</v>
      </c>
      <c r="M224" t="s">
        <v>487</v>
      </c>
      <c r="N224" t="s">
        <v>511</v>
      </c>
      <c r="O224" t="s">
        <v>590</v>
      </c>
      <c r="P224" t="s">
        <v>490</v>
      </c>
      <c r="Q224">
        <v>1</v>
      </c>
      <c r="R224" t="s">
        <v>480</v>
      </c>
    </row>
    <row r="225" spans="1:18" x14ac:dyDescent="0.3">
      <c r="A225" t="s">
        <v>515</v>
      </c>
      <c r="B225" t="s">
        <v>681</v>
      </c>
      <c r="C225" t="s">
        <v>431</v>
      </c>
      <c r="D225" t="s">
        <v>490</v>
      </c>
      <c r="E225" t="s">
        <v>455</v>
      </c>
      <c r="F225" t="s">
        <v>479</v>
      </c>
      <c r="G225" t="s">
        <v>394</v>
      </c>
      <c r="H225" t="s">
        <v>491</v>
      </c>
      <c r="I225" t="s">
        <v>480</v>
      </c>
      <c r="J225" t="s">
        <v>456</v>
      </c>
      <c r="K225" t="s">
        <v>457</v>
      </c>
      <c r="L225" t="s">
        <v>512</v>
      </c>
      <c r="M225" t="s">
        <v>481</v>
      </c>
      <c r="N225" t="s">
        <v>511</v>
      </c>
      <c r="O225" t="s">
        <v>567</v>
      </c>
      <c r="P225" t="s">
        <v>490</v>
      </c>
      <c r="Q225">
        <v>1</v>
      </c>
      <c r="R225" t="s">
        <v>480</v>
      </c>
    </row>
    <row r="226" spans="1:18" x14ac:dyDescent="0.3">
      <c r="A226" t="s">
        <v>515</v>
      </c>
      <c r="B226" t="s">
        <v>594</v>
      </c>
      <c r="C226" t="s">
        <v>396</v>
      </c>
      <c r="D226" t="s">
        <v>490</v>
      </c>
      <c r="E226" t="s">
        <v>427</v>
      </c>
      <c r="F226" t="s">
        <v>479</v>
      </c>
      <c r="G226" t="s">
        <v>501</v>
      </c>
      <c r="H226" t="s">
        <v>486</v>
      </c>
      <c r="I226" t="s">
        <v>480</v>
      </c>
      <c r="J226" t="s">
        <v>401</v>
      </c>
      <c r="K226" t="s">
        <v>429</v>
      </c>
      <c r="L226" t="s">
        <v>513</v>
      </c>
      <c r="M226" t="s">
        <v>498</v>
      </c>
      <c r="N226" t="s">
        <v>511</v>
      </c>
      <c r="O226" t="s">
        <v>604</v>
      </c>
      <c r="P226" t="s">
        <v>490</v>
      </c>
      <c r="Q226">
        <v>1</v>
      </c>
      <c r="R226" t="s">
        <v>480</v>
      </c>
    </row>
    <row r="227" spans="1:18" x14ac:dyDescent="0.3">
      <c r="A227" t="s">
        <v>515</v>
      </c>
      <c r="B227" t="s">
        <v>594</v>
      </c>
      <c r="C227" t="s">
        <v>396</v>
      </c>
      <c r="D227" t="s">
        <v>490</v>
      </c>
      <c r="E227" t="s">
        <v>427</v>
      </c>
      <c r="F227" t="s">
        <v>479</v>
      </c>
      <c r="G227" t="s">
        <v>501</v>
      </c>
      <c r="H227" t="s">
        <v>486</v>
      </c>
      <c r="I227" t="s">
        <v>480</v>
      </c>
      <c r="J227" t="s">
        <v>401</v>
      </c>
      <c r="K227" t="s">
        <v>429</v>
      </c>
      <c r="L227" t="s">
        <v>513</v>
      </c>
      <c r="M227" t="s">
        <v>498</v>
      </c>
      <c r="N227" t="s">
        <v>511</v>
      </c>
      <c r="O227" t="s">
        <v>605</v>
      </c>
      <c r="P227" t="s">
        <v>490</v>
      </c>
      <c r="Q227">
        <v>1</v>
      </c>
      <c r="R227" t="s">
        <v>480</v>
      </c>
    </row>
    <row r="228" spans="1:18" x14ac:dyDescent="0.3">
      <c r="A228" t="s">
        <v>515</v>
      </c>
      <c r="B228" t="s">
        <v>681</v>
      </c>
      <c r="C228" t="s">
        <v>431</v>
      </c>
      <c r="D228" t="s">
        <v>490</v>
      </c>
      <c r="E228" t="s">
        <v>455</v>
      </c>
      <c r="F228" t="s">
        <v>481</v>
      </c>
      <c r="G228" t="s">
        <v>394</v>
      </c>
      <c r="H228" t="s">
        <v>491</v>
      </c>
      <c r="I228" t="s">
        <v>480</v>
      </c>
      <c r="J228" t="s">
        <v>456</v>
      </c>
      <c r="K228" t="s">
        <v>457</v>
      </c>
      <c r="L228" t="s">
        <v>512</v>
      </c>
      <c r="M228" t="s">
        <v>481</v>
      </c>
      <c r="N228" t="s">
        <v>511</v>
      </c>
      <c r="O228" t="s">
        <v>568</v>
      </c>
      <c r="P228" t="s">
        <v>490</v>
      </c>
      <c r="Q228">
        <v>1</v>
      </c>
      <c r="R228" t="s">
        <v>480</v>
      </c>
    </row>
    <row r="229" spans="1:18" x14ac:dyDescent="0.3">
      <c r="A229" t="s">
        <v>515</v>
      </c>
      <c r="B229" t="s">
        <v>594</v>
      </c>
      <c r="C229" t="s">
        <v>396</v>
      </c>
      <c r="D229" t="s">
        <v>490</v>
      </c>
      <c r="E229" t="s">
        <v>427</v>
      </c>
      <c r="F229" t="s">
        <v>479</v>
      </c>
      <c r="G229" t="s">
        <v>501</v>
      </c>
      <c r="H229" t="s">
        <v>486</v>
      </c>
      <c r="I229" t="s">
        <v>480</v>
      </c>
      <c r="J229" t="s">
        <v>401</v>
      </c>
      <c r="K229" t="s">
        <v>429</v>
      </c>
      <c r="L229" t="s">
        <v>513</v>
      </c>
      <c r="M229" t="s">
        <v>487</v>
      </c>
      <c r="N229" t="s">
        <v>511</v>
      </c>
      <c r="O229" t="s">
        <v>606</v>
      </c>
      <c r="P229" t="s">
        <v>490</v>
      </c>
      <c r="Q229">
        <v>1</v>
      </c>
      <c r="R229" t="s">
        <v>480</v>
      </c>
    </row>
    <row r="230" spans="1:18" x14ac:dyDescent="0.3">
      <c r="A230" t="s">
        <v>515</v>
      </c>
      <c r="B230" t="s">
        <v>681</v>
      </c>
      <c r="C230" t="s">
        <v>431</v>
      </c>
      <c r="D230" t="s">
        <v>490</v>
      </c>
      <c r="E230" t="s">
        <v>455</v>
      </c>
      <c r="F230" t="s">
        <v>479</v>
      </c>
      <c r="G230" t="s">
        <v>394</v>
      </c>
      <c r="H230" t="s">
        <v>491</v>
      </c>
      <c r="I230" t="s">
        <v>480</v>
      </c>
      <c r="J230" t="s">
        <v>456</v>
      </c>
      <c r="K230" t="s">
        <v>457</v>
      </c>
      <c r="L230" t="s">
        <v>512</v>
      </c>
      <c r="M230" t="s">
        <v>481</v>
      </c>
      <c r="N230" t="s">
        <v>511</v>
      </c>
      <c r="O230" t="s">
        <v>569</v>
      </c>
      <c r="P230" t="s">
        <v>490</v>
      </c>
      <c r="Q230">
        <v>1</v>
      </c>
      <c r="R230" t="s">
        <v>480</v>
      </c>
    </row>
    <row r="231" spans="1:18" x14ac:dyDescent="0.3">
      <c r="A231" t="s">
        <v>515</v>
      </c>
      <c r="B231" t="s">
        <v>681</v>
      </c>
      <c r="C231" t="s">
        <v>431</v>
      </c>
      <c r="D231" t="s">
        <v>490</v>
      </c>
      <c r="E231" t="s">
        <v>455</v>
      </c>
      <c r="F231" t="s">
        <v>481</v>
      </c>
      <c r="G231" t="s">
        <v>394</v>
      </c>
      <c r="H231" t="s">
        <v>486</v>
      </c>
      <c r="I231" t="s">
        <v>480</v>
      </c>
      <c r="J231" t="s">
        <v>456</v>
      </c>
      <c r="K231" t="s">
        <v>457</v>
      </c>
      <c r="L231" t="s">
        <v>512</v>
      </c>
      <c r="M231" t="s">
        <v>479</v>
      </c>
      <c r="N231" t="s">
        <v>511</v>
      </c>
      <c r="O231" t="s">
        <v>570</v>
      </c>
      <c r="P231" t="s">
        <v>490</v>
      </c>
      <c r="Q231">
        <v>1</v>
      </c>
      <c r="R231" t="s">
        <v>480</v>
      </c>
    </row>
    <row r="232" spans="1:18" x14ac:dyDescent="0.3">
      <c r="A232" t="s">
        <v>515</v>
      </c>
      <c r="B232" t="s">
        <v>681</v>
      </c>
      <c r="C232" t="s">
        <v>431</v>
      </c>
      <c r="D232" t="s">
        <v>490</v>
      </c>
      <c r="E232" t="s">
        <v>455</v>
      </c>
      <c r="F232" t="s">
        <v>481</v>
      </c>
      <c r="G232" t="s">
        <v>394</v>
      </c>
      <c r="H232" t="s">
        <v>491</v>
      </c>
      <c r="I232" t="s">
        <v>480</v>
      </c>
      <c r="J232" t="s">
        <v>456</v>
      </c>
      <c r="K232" t="s">
        <v>457</v>
      </c>
      <c r="L232" t="s">
        <v>512</v>
      </c>
      <c r="M232" t="s">
        <v>481</v>
      </c>
      <c r="N232" t="s">
        <v>511</v>
      </c>
      <c r="O232" t="s">
        <v>571</v>
      </c>
      <c r="P232" t="s">
        <v>490</v>
      </c>
      <c r="Q232">
        <v>1</v>
      </c>
      <c r="R232" t="s">
        <v>480</v>
      </c>
    </row>
    <row r="233" spans="1:18" x14ac:dyDescent="0.3">
      <c r="A233" t="s">
        <v>641</v>
      </c>
      <c r="B233" t="s">
        <v>905</v>
      </c>
      <c r="C233" t="s">
        <v>478</v>
      </c>
      <c r="D233" t="s">
        <v>612</v>
      </c>
      <c r="E233" t="s">
        <v>450</v>
      </c>
      <c r="F233" t="s">
        <v>479</v>
      </c>
      <c r="G233" t="s">
        <v>394</v>
      </c>
      <c r="H233" t="s">
        <v>391</v>
      </c>
      <c r="I233" t="s">
        <v>503</v>
      </c>
      <c r="J233" t="s">
        <v>439</v>
      </c>
      <c r="K233" t="s">
        <v>450</v>
      </c>
      <c r="L233" t="s">
        <v>613</v>
      </c>
      <c r="M233" t="s">
        <v>652</v>
      </c>
      <c r="N233" t="s">
        <v>643</v>
      </c>
      <c r="O233" t="s">
        <v>667</v>
      </c>
      <c r="P233" t="s">
        <v>612</v>
      </c>
      <c r="Q233">
        <v>1</v>
      </c>
      <c r="R233" t="s">
        <v>480</v>
      </c>
    </row>
    <row r="234" spans="1:18" x14ac:dyDescent="0.3">
      <c r="A234" t="s">
        <v>641</v>
      </c>
      <c r="B234" t="s">
        <v>905</v>
      </c>
      <c r="C234" t="s">
        <v>478</v>
      </c>
      <c r="D234" t="s">
        <v>612</v>
      </c>
      <c r="E234" t="s">
        <v>450</v>
      </c>
      <c r="F234" t="s">
        <v>479</v>
      </c>
      <c r="G234" t="s">
        <v>394</v>
      </c>
      <c r="H234" t="s">
        <v>391</v>
      </c>
      <c r="I234" t="s">
        <v>503</v>
      </c>
      <c r="J234" t="s">
        <v>439</v>
      </c>
      <c r="K234" t="s">
        <v>450</v>
      </c>
      <c r="L234" t="s">
        <v>613</v>
      </c>
      <c r="M234" t="s">
        <v>652</v>
      </c>
      <c r="N234" t="s">
        <v>643</v>
      </c>
      <c r="O234" t="s">
        <v>668</v>
      </c>
      <c r="P234" t="s">
        <v>612</v>
      </c>
      <c r="Q234">
        <v>1</v>
      </c>
      <c r="R234" t="s">
        <v>480</v>
      </c>
    </row>
    <row r="235" spans="1:18" x14ac:dyDescent="0.3">
      <c r="A235" t="s">
        <v>641</v>
      </c>
      <c r="B235" t="s">
        <v>905</v>
      </c>
      <c r="C235" t="s">
        <v>478</v>
      </c>
      <c r="D235" t="s">
        <v>612</v>
      </c>
      <c r="E235" t="s">
        <v>450</v>
      </c>
      <c r="F235" t="s">
        <v>479</v>
      </c>
      <c r="G235" t="s">
        <v>394</v>
      </c>
      <c r="H235" t="s">
        <v>391</v>
      </c>
      <c r="I235" t="s">
        <v>503</v>
      </c>
      <c r="J235" t="s">
        <v>439</v>
      </c>
      <c r="K235" t="s">
        <v>450</v>
      </c>
      <c r="L235" t="s">
        <v>613</v>
      </c>
      <c r="M235" t="s">
        <v>652</v>
      </c>
      <c r="N235" t="s">
        <v>643</v>
      </c>
      <c r="O235" t="s">
        <v>680</v>
      </c>
      <c r="P235" t="s">
        <v>612</v>
      </c>
      <c r="Q235">
        <v>1</v>
      </c>
      <c r="R235" t="s">
        <v>480</v>
      </c>
    </row>
    <row r="236" spans="1:18" x14ac:dyDescent="0.3">
      <c r="A236" t="s">
        <v>641</v>
      </c>
      <c r="B236" t="s">
        <v>905</v>
      </c>
      <c r="C236" t="s">
        <v>478</v>
      </c>
      <c r="D236" t="s">
        <v>612</v>
      </c>
      <c r="E236" t="s">
        <v>450</v>
      </c>
      <c r="F236" t="s">
        <v>479</v>
      </c>
      <c r="G236" t="s">
        <v>394</v>
      </c>
      <c r="H236" t="s">
        <v>391</v>
      </c>
      <c r="I236" t="s">
        <v>503</v>
      </c>
      <c r="J236" t="s">
        <v>439</v>
      </c>
      <c r="K236" t="s">
        <v>450</v>
      </c>
      <c r="L236" t="s">
        <v>613</v>
      </c>
      <c r="M236" t="s">
        <v>655</v>
      </c>
      <c r="N236" t="s">
        <v>643</v>
      </c>
      <c r="O236" t="s">
        <v>689</v>
      </c>
      <c r="P236" t="s">
        <v>612</v>
      </c>
      <c r="Q236">
        <v>1</v>
      </c>
      <c r="R236" t="s">
        <v>480</v>
      </c>
    </row>
    <row r="237" spans="1:18" x14ac:dyDescent="0.3">
      <c r="A237" t="s">
        <v>641</v>
      </c>
      <c r="B237" t="s">
        <v>905</v>
      </c>
      <c r="C237" t="s">
        <v>478</v>
      </c>
      <c r="D237" t="s">
        <v>612</v>
      </c>
      <c r="E237" t="s">
        <v>450</v>
      </c>
      <c r="F237" t="s">
        <v>479</v>
      </c>
      <c r="G237" t="s">
        <v>394</v>
      </c>
      <c r="H237" t="s">
        <v>391</v>
      </c>
      <c r="I237" t="s">
        <v>503</v>
      </c>
      <c r="J237" t="s">
        <v>439</v>
      </c>
      <c r="K237" t="s">
        <v>450</v>
      </c>
      <c r="L237" t="s">
        <v>613</v>
      </c>
      <c r="M237" t="s">
        <v>652</v>
      </c>
      <c r="N237" t="s">
        <v>643</v>
      </c>
      <c r="O237" t="s">
        <v>690</v>
      </c>
      <c r="P237" t="s">
        <v>612</v>
      </c>
      <c r="Q237">
        <v>1</v>
      </c>
      <c r="R237" t="s">
        <v>480</v>
      </c>
    </row>
    <row r="238" spans="1:18" x14ac:dyDescent="0.3">
      <c r="A238" t="s">
        <v>641</v>
      </c>
      <c r="B238" t="s">
        <v>905</v>
      </c>
      <c r="C238" t="s">
        <v>478</v>
      </c>
      <c r="D238" t="s">
        <v>612</v>
      </c>
      <c r="E238" t="s">
        <v>450</v>
      </c>
      <c r="F238" t="s">
        <v>479</v>
      </c>
      <c r="G238" t="s">
        <v>394</v>
      </c>
      <c r="H238" t="s">
        <v>391</v>
      </c>
      <c r="I238" t="s">
        <v>503</v>
      </c>
      <c r="J238" t="s">
        <v>439</v>
      </c>
      <c r="K238" t="s">
        <v>450</v>
      </c>
      <c r="L238" t="s">
        <v>613</v>
      </c>
      <c r="M238" t="s">
        <v>652</v>
      </c>
      <c r="N238" t="s">
        <v>643</v>
      </c>
      <c r="O238" t="s">
        <v>710</v>
      </c>
      <c r="P238" t="s">
        <v>612</v>
      </c>
      <c r="Q238">
        <v>1</v>
      </c>
      <c r="R238" t="s">
        <v>480</v>
      </c>
    </row>
    <row r="239" spans="1:18" x14ac:dyDescent="0.3">
      <c r="A239" t="s">
        <v>641</v>
      </c>
      <c r="B239" t="s">
        <v>905</v>
      </c>
      <c r="C239" t="s">
        <v>478</v>
      </c>
      <c r="D239" t="s">
        <v>612</v>
      </c>
      <c r="E239" t="s">
        <v>450</v>
      </c>
      <c r="F239" t="s">
        <v>479</v>
      </c>
      <c r="G239" t="s">
        <v>394</v>
      </c>
      <c r="H239" t="s">
        <v>391</v>
      </c>
      <c r="I239" t="s">
        <v>503</v>
      </c>
      <c r="J239" t="s">
        <v>439</v>
      </c>
      <c r="K239" t="s">
        <v>450</v>
      </c>
      <c r="L239" t="s">
        <v>613</v>
      </c>
      <c r="M239" t="s">
        <v>652</v>
      </c>
      <c r="N239" t="s">
        <v>643</v>
      </c>
      <c r="O239" t="s">
        <v>718</v>
      </c>
      <c r="P239" t="s">
        <v>612</v>
      </c>
      <c r="Q239">
        <v>1</v>
      </c>
      <c r="R239" t="s">
        <v>480</v>
      </c>
    </row>
    <row r="240" spans="1:18" x14ac:dyDescent="0.3">
      <c r="A240" t="s">
        <v>641</v>
      </c>
      <c r="B240" t="s">
        <v>905</v>
      </c>
      <c r="C240" t="s">
        <v>478</v>
      </c>
      <c r="D240" t="s">
        <v>612</v>
      </c>
      <c r="E240" t="s">
        <v>450</v>
      </c>
      <c r="F240" t="s">
        <v>479</v>
      </c>
      <c r="G240" t="s">
        <v>394</v>
      </c>
      <c r="H240" t="s">
        <v>391</v>
      </c>
      <c r="I240" t="s">
        <v>503</v>
      </c>
      <c r="J240" t="s">
        <v>439</v>
      </c>
      <c r="K240" t="s">
        <v>450</v>
      </c>
      <c r="L240" t="s">
        <v>613</v>
      </c>
      <c r="M240" t="s">
        <v>652</v>
      </c>
      <c r="N240" t="s">
        <v>643</v>
      </c>
      <c r="O240" t="s">
        <v>722</v>
      </c>
      <c r="P240" t="s">
        <v>612</v>
      </c>
      <c r="Q240">
        <v>1</v>
      </c>
      <c r="R240" t="s">
        <v>480</v>
      </c>
    </row>
    <row r="241" spans="1:18" x14ac:dyDescent="0.3">
      <c r="A241" t="s">
        <v>641</v>
      </c>
      <c r="B241" t="s">
        <v>905</v>
      </c>
      <c r="C241" t="s">
        <v>478</v>
      </c>
      <c r="D241" t="s">
        <v>612</v>
      </c>
      <c r="E241" t="s">
        <v>450</v>
      </c>
      <c r="F241" t="s">
        <v>479</v>
      </c>
      <c r="G241" t="s">
        <v>394</v>
      </c>
      <c r="H241" t="s">
        <v>391</v>
      </c>
      <c r="I241" t="s">
        <v>503</v>
      </c>
      <c r="J241" t="s">
        <v>439</v>
      </c>
      <c r="K241" t="s">
        <v>450</v>
      </c>
      <c r="L241" t="s">
        <v>613</v>
      </c>
      <c r="M241" t="s">
        <v>655</v>
      </c>
      <c r="N241" t="s">
        <v>643</v>
      </c>
      <c r="O241" t="s">
        <v>723</v>
      </c>
      <c r="P241" t="s">
        <v>612</v>
      </c>
      <c r="Q241">
        <v>1</v>
      </c>
      <c r="R241" t="s">
        <v>480</v>
      </c>
    </row>
    <row r="242" spans="1:18" x14ac:dyDescent="0.3">
      <c r="A242" t="s">
        <v>725</v>
      </c>
      <c r="B242" t="s">
        <v>905</v>
      </c>
      <c r="C242" t="s">
        <v>478</v>
      </c>
      <c r="D242" t="s">
        <v>612</v>
      </c>
      <c r="E242" t="s">
        <v>450</v>
      </c>
      <c r="F242" t="s">
        <v>479</v>
      </c>
      <c r="G242" t="s">
        <v>394</v>
      </c>
      <c r="H242" t="s">
        <v>391</v>
      </c>
      <c r="I242" t="s">
        <v>503</v>
      </c>
      <c r="J242" t="s">
        <v>439</v>
      </c>
      <c r="K242" t="s">
        <v>450</v>
      </c>
      <c r="L242" t="s">
        <v>613</v>
      </c>
      <c r="M242" t="s">
        <v>652</v>
      </c>
      <c r="N242" t="s">
        <v>643</v>
      </c>
      <c r="O242" t="s">
        <v>730</v>
      </c>
      <c r="P242" t="s">
        <v>612</v>
      </c>
      <c r="Q242">
        <v>1</v>
      </c>
      <c r="R242" t="s">
        <v>480</v>
      </c>
    </row>
    <row r="243" spans="1:18" x14ac:dyDescent="0.3">
      <c r="A243" t="s">
        <v>725</v>
      </c>
      <c r="B243" t="s">
        <v>906</v>
      </c>
      <c r="C243" t="s">
        <v>478</v>
      </c>
      <c r="D243" t="s">
        <v>612</v>
      </c>
      <c r="E243" t="s">
        <v>500</v>
      </c>
      <c r="F243" t="s">
        <v>479</v>
      </c>
      <c r="G243" t="s">
        <v>394</v>
      </c>
      <c r="H243" t="s">
        <v>391</v>
      </c>
      <c r="I243" t="s">
        <v>616</v>
      </c>
      <c r="J243" t="s">
        <v>494</v>
      </c>
      <c r="K243" t="s">
        <v>500</v>
      </c>
      <c r="L243" t="s">
        <v>613</v>
      </c>
      <c r="M243" t="s">
        <v>652</v>
      </c>
      <c r="N243" t="s">
        <v>643</v>
      </c>
      <c r="O243" t="s">
        <v>745</v>
      </c>
      <c r="P243" t="s">
        <v>612</v>
      </c>
      <c r="Q243">
        <v>1</v>
      </c>
      <c r="R243" t="s">
        <v>480</v>
      </c>
    </row>
    <row r="244" spans="1:18" x14ac:dyDescent="0.3">
      <c r="A244" t="s">
        <v>725</v>
      </c>
      <c r="B244" t="s">
        <v>906</v>
      </c>
      <c r="C244" t="s">
        <v>478</v>
      </c>
      <c r="D244" t="s">
        <v>612</v>
      </c>
      <c r="E244" t="s">
        <v>500</v>
      </c>
      <c r="F244" t="s">
        <v>479</v>
      </c>
      <c r="G244" t="s">
        <v>394</v>
      </c>
      <c r="H244" t="s">
        <v>391</v>
      </c>
      <c r="I244" t="s">
        <v>616</v>
      </c>
      <c r="J244" t="s">
        <v>494</v>
      </c>
      <c r="K244" t="s">
        <v>500</v>
      </c>
      <c r="L244" t="s">
        <v>613</v>
      </c>
      <c r="M244" t="s">
        <v>652</v>
      </c>
      <c r="N244" t="s">
        <v>643</v>
      </c>
      <c r="O244" t="s">
        <v>755</v>
      </c>
      <c r="P244" t="s">
        <v>612</v>
      </c>
      <c r="Q244">
        <v>1</v>
      </c>
      <c r="R244" t="s">
        <v>480</v>
      </c>
    </row>
    <row r="245" spans="1:18" x14ac:dyDescent="0.3">
      <c r="A245" t="s">
        <v>725</v>
      </c>
      <c r="B245" t="s">
        <v>905</v>
      </c>
      <c r="C245" t="s">
        <v>478</v>
      </c>
      <c r="D245" t="s">
        <v>612</v>
      </c>
      <c r="E245" t="s">
        <v>450</v>
      </c>
      <c r="F245" t="s">
        <v>479</v>
      </c>
      <c r="G245" t="s">
        <v>394</v>
      </c>
      <c r="H245" t="s">
        <v>391</v>
      </c>
      <c r="I245" t="s">
        <v>503</v>
      </c>
      <c r="J245" t="s">
        <v>439</v>
      </c>
      <c r="K245" t="s">
        <v>450</v>
      </c>
      <c r="L245" t="s">
        <v>613</v>
      </c>
      <c r="M245" t="s">
        <v>655</v>
      </c>
      <c r="N245" t="s">
        <v>643</v>
      </c>
      <c r="O245" t="s">
        <v>759</v>
      </c>
      <c r="P245" t="s">
        <v>612</v>
      </c>
      <c r="Q245">
        <v>1</v>
      </c>
      <c r="R245" t="s">
        <v>480</v>
      </c>
    </row>
    <row r="246" spans="1:18" x14ac:dyDescent="0.3">
      <c r="A246" t="s">
        <v>725</v>
      </c>
      <c r="B246" t="s">
        <v>906</v>
      </c>
      <c r="C246" t="s">
        <v>478</v>
      </c>
      <c r="D246" t="s">
        <v>612</v>
      </c>
      <c r="E246" t="s">
        <v>500</v>
      </c>
      <c r="F246" t="s">
        <v>479</v>
      </c>
      <c r="G246" t="s">
        <v>394</v>
      </c>
      <c r="H246" t="s">
        <v>391</v>
      </c>
      <c r="I246" t="s">
        <v>616</v>
      </c>
      <c r="J246" t="s">
        <v>494</v>
      </c>
      <c r="K246" t="s">
        <v>500</v>
      </c>
      <c r="L246" t="s">
        <v>613</v>
      </c>
      <c r="M246" t="s">
        <v>652</v>
      </c>
      <c r="N246" t="s">
        <v>643</v>
      </c>
      <c r="O246" t="s">
        <v>774</v>
      </c>
      <c r="P246" t="s">
        <v>612</v>
      </c>
      <c r="Q246">
        <v>1</v>
      </c>
      <c r="R246" t="s">
        <v>480</v>
      </c>
    </row>
    <row r="247" spans="1:18" x14ac:dyDescent="0.3">
      <c r="A247" t="s">
        <v>725</v>
      </c>
      <c r="B247" t="s">
        <v>906</v>
      </c>
      <c r="C247" t="s">
        <v>478</v>
      </c>
      <c r="D247" t="s">
        <v>612</v>
      </c>
      <c r="E247" t="s">
        <v>500</v>
      </c>
      <c r="F247" t="s">
        <v>479</v>
      </c>
      <c r="G247" t="s">
        <v>394</v>
      </c>
      <c r="H247" t="s">
        <v>391</v>
      </c>
      <c r="I247" t="s">
        <v>616</v>
      </c>
      <c r="J247" t="s">
        <v>494</v>
      </c>
      <c r="K247" t="s">
        <v>500</v>
      </c>
      <c r="L247" t="s">
        <v>613</v>
      </c>
      <c r="M247" t="s">
        <v>652</v>
      </c>
      <c r="N247" t="s">
        <v>643</v>
      </c>
      <c r="O247" t="s">
        <v>775</v>
      </c>
      <c r="P247" t="s">
        <v>612</v>
      </c>
      <c r="Q247">
        <v>1</v>
      </c>
      <c r="R247" t="s">
        <v>480</v>
      </c>
    </row>
    <row r="248" spans="1:18" x14ac:dyDescent="0.3">
      <c r="A248" t="s">
        <v>725</v>
      </c>
      <c r="B248" t="s">
        <v>906</v>
      </c>
      <c r="C248" t="s">
        <v>478</v>
      </c>
      <c r="D248" t="s">
        <v>612</v>
      </c>
      <c r="E248" t="s">
        <v>500</v>
      </c>
      <c r="F248" t="s">
        <v>479</v>
      </c>
      <c r="G248" t="s">
        <v>394</v>
      </c>
      <c r="H248" t="s">
        <v>391</v>
      </c>
      <c r="I248" t="s">
        <v>616</v>
      </c>
      <c r="J248" t="s">
        <v>494</v>
      </c>
      <c r="K248" t="s">
        <v>500</v>
      </c>
      <c r="L248" t="s">
        <v>613</v>
      </c>
      <c r="M248" t="s">
        <v>652</v>
      </c>
      <c r="N248" t="s">
        <v>643</v>
      </c>
      <c r="O248" t="s">
        <v>776</v>
      </c>
      <c r="P248" t="s">
        <v>612</v>
      </c>
      <c r="Q248">
        <v>1</v>
      </c>
      <c r="R248" t="s">
        <v>480</v>
      </c>
    </row>
    <row r="249" spans="1:18" x14ac:dyDescent="0.3">
      <c r="A249" t="s">
        <v>725</v>
      </c>
      <c r="B249" t="s">
        <v>906</v>
      </c>
      <c r="C249" t="s">
        <v>478</v>
      </c>
      <c r="D249" t="s">
        <v>612</v>
      </c>
      <c r="E249" t="s">
        <v>500</v>
      </c>
      <c r="F249" t="s">
        <v>479</v>
      </c>
      <c r="G249" t="s">
        <v>394</v>
      </c>
      <c r="H249" t="s">
        <v>391</v>
      </c>
      <c r="I249" t="s">
        <v>616</v>
      </c>
      <c r="J249" t="s">
        <v>494</v>
      </c>
      <c r="K249" t="s">
        <v>500</v>
      </c>
      <c r="L249" t="s">
        <v>613</v>
      </c>
      <c r="M249" t="s">
        <v>652</v>
      </c>
      <c r="N249" t="s">
        <v>643</v>
      </c>
      <c r="O249" t="s">
        <v>777</v>
      </c>
      <c r="P249" t="s">
        <v>612</v>
      </c>
      <c r="Q249">
        <v>1</v>
      </c>
      <c r="R249" t="s">
        <v>480</v>
      </c>
    </row>
    <row r="250" spans="1:18" x14ac:dyDescent="0.3">
      <c r="A250" t="s">
        <v>641</v>
      </c>
      <c r="B250" t="s">
        <v>905</v>
      </c>
      <c r="C250" t="s">
        <v>478</v>
      </c>
      <c r="D250" t="s">
        <v>612</v>
      </c>
      <c r="E250" t="s">
        <v>450</v>
      </c>
      <c r="F250" t="s">
        <v>479</v>
      </c>
      <c r="G250" t="s">
        <v>394</v>
      </c>
      <c r="H250" t="s">
        <v>391</v>
      </c>
      <c r="I250" t="s">
        <v>503</v>
      </c>
      <c r="J250" t="s">
        <v>439</v>
      </c>
      <c r="K250" t="s">
        <v>450</v>
      </c>
      <c r="L250" t="s">
        <v>613</v>
      </c>
      <c r="M250" t="s">
        <v>672</v>
      </c>
      <c r="N250" t="s">
        <v>643</v>
      </c>
      <c r="O250" t="s">
        <v>778</v>
      </c>
      <c r="P250" t="s">
        <v>612</v>
      </c>
      <c r="Q250">
        <v>1</v>
      </c>
      <c r="R250" t="s">
        <v>480</v>
      </c>
    </row>
    <row r="251" spans="1:18" x14ac:dyDescent="0.3">
      <c r="A251" t="s">
        <v>725</v>
      </c>
      <c r="B251" t="s">
        <v>906</v>
      </c>
      <c r="C251" t="s">
        <v>478</v>
      </c>
      <c r="D251" t="s">
        <v>612</v>
      </c>
      <c r="E251" t="s">
        <v>500</v>
      </c>
      <c r="F251" t="s">
        <v>479</v>
      </c>
      <c r="G251" t="s">
        <v>394</v>
      </c>
      <c r="H251" t="s">
        <v>391</v>
      </c>
      <c r="I251" t="s">
        <v>616</v>
      </c>
      <c r="J251" t="s">
        <v>494</v>
      </c>
      <c r="K251" t="s">
        <v>500</v>
      </c>
      <c r="L251" t="s">
        <v>613</v>
      </c>
      <c r="M251" t="s">
        <v>655</v>
      </c>
      <c r="N251" t="s">
        <v>643</v>
      </c>
      <c r="O251" t="s">
        <v>792</v>
      </c>
      <c r="P251" t="s">
        <v>612</v>
      </c>
      <c r="Q251">
        <v>1</v>
      </c>
      <c r="R251" t="s">
        <v>480</v>
      </c>
    </row>
    <row r="252" spans="1:18" x14ac:dyDescent="0.3">
      <c r="A252" t="s">
        <v>725</v>
      </c>
      <c r="B252" t="s">
        <v>906</v>
      </c>
      <c r="C252" t="s">
        <v>478</v>
      </c>
      <c r="D252" t="s">
        <v>612</v>
      </c>
      <c r="E252" t="s">
        <v>500</v>
      </c>
      <c r="F252" t="s">
        <v>479</v>
      </c>
      <c r="G252" t="s">
        <v>394</v>
      </c>
      <c r="H252" t="s">
        <v>391</v>
      </c>
      <c r="I252" t="s">
        <v>616</v>
      </c>
      <c r="J252" t="s">
        <v>494</v>
      </c>
      <c r="K252" t="s">
        <v>500</v>
      </c>
      <c r="L252" t="s">
        <v>613</v>
      </c>
      <c r="M252" t="s">
        <v>652</v>
      </c>
      <c r="N252" t="s">
        <v>643</v>
      </c>
      <c r="O252" t="s">
        <v>793</v>
      </c>
      <c r="P252" t="s">
        <v>612</v>
      </c>
      <c r="Q252">
        <v>1</v>
      </c>
      <c r="R252" t="s">
        <v>480</v>
      </c>
    </row>
    <row r="253" spans="1:18" x14ac:dyDescent="0.3">
      <c r="A253" t="s">
        <v>725</v>
      </c>
      <c r="B253" t="s">
        <v>906</v>
      </c>
      <c r="C253" t="s">
        <v>478</v>
      </c>
      <c r="D253" t="s">
        <v>612</v>
      </c>
      <c r="E253" t="s">
        <v>500</v>
      </c>
      <c r="F253" t="s">
        <v>479</v>
      </c>
      <c r="G253" t="s">
        <v>394</v>
      </c>
      <c r="H253" t="s">
        <v>391</v>
      </c>
      <c r="I253" t="s">
        <v>616</v>
      </c>
      <c r="J253" t="s">
        <v>494</v>
      </c>
      <c r="K253" t="s">
        <v>500</v>
      </c>
      <c r="L253" t="s">
        <v>613</v>
      </c>
      <c r="M253" t="s">
        <v>652</v>
      </c>
      <c r="N253" t="s">
        <v>643</v>
      </c>
      <c r="O253" t="s">
        <v>818</v>
      </c>
      <c r="P253" t="s">
        <v>612</v>
      </c>
      <c r="Q253">
        <v>1</v>
      </c>
      <c r="R253" t="s">
        <v>480</v>
      </c>
    </row>
    <row r="254" spans="1:18" x14ac:dyDescent="0.3">
      <c r="A254" t="s">
        <v>725</v>
      </c>
      <c r="B254" t="s">
        <v>906</v>
      </c>
      <c r="C254" t="s">
        <v>478</v>
      </c>
      <c r="D254" t="s">
        <v>612</v>
      </c>
      <c r="E254" t="s">
        <v>500</v>
      </c>
      <c r="F254" t="s">
        <v>479</v>
      </c>
      <c r="G254" t="s">
        <v>394</v>
      </c>
      <c r="H254" t="s">
        <v>391</v>
      </c>
      <c r="I254" t="s">
        <v>616</v>
      </c>
      <c r="J254" t="s">
        <v>494</v>
      </c>
      <c r="K254" t="s">
        <v>500</v>
      </c>
      <c r="L254" t="s">
        <v>613</v>
      </c>
      <c r="M254" t="s">
        <v>652</v>
      </c>
      <c r="N254" t="s">
        <v>643</v>
      </c>
      <c r="O254" t="s">
        <v>819</v>
      </c>
      <c r="P254" t="s">
        <v>612</v>
      </c>
      <c r="Q254">
        <v>1</v>
      </c>
      <c r="R254" t="s">
        <v>480</v>
      </c>
    </row>
    <row r="255" spans="1:18" x14ac:dyDescent="0.3">
      <c r="A255" t="s">
        <v>725</v>
      </c>
      <c r="B255" t="s">
        <v>906</v>
      </c>
      <c r="C255" t="s">
        <v>478</v>
      </c>
      <c r="D255" t="s">
        <v>612</v>
      </c>
      <c r="E255" t="s">
        <v>500</v>
      </c>
      <c r="F255" t="s">
        <v>479</v>
      </c>
      <c r="G255" t="s">
        <v>394</v>
      </c>
      <c r="H255" t="s">
        <v>391</v>
      </c>
      <c r="I255" t="s">
        <v>616</v>
      </c>
      <c r="J255" t="s">
        <v>494</v>
      </c>
      <c r="K255" t="s">
        <v>500</v>
      </c>
      <c r="L255" t="s">
        <v>613</v>
      </c>
      <c r="M255" t="s">
        <v>655</v>
      </c>
      <c r="N255" t="s">
        <v>643</v>
      </c>
      <c r="O255" t="s">
        <v>820</v>
      </c>
      <c r="P255" t="s">
        <v>612</v>
      </c>
      <c r="Q255">
        <v>1</v>
      </c>
      <c r="R255" t="s">
        <v>480</v>
      </c>
    </row>
    <row r="256" spans="1:18" x14ac:dyDescent="0.3">
      <c r="A256" t="s">
        <v>725</v>
      </c>
      <c r="B256" t="s">
        <v>906</v>
      </c>
      <c r="C256" t="s">
        <v>478</v>
      </c>
      <c r="D256" t="s">
        <v>612</v>
      </c>
      <c r="E256" t="s">
        <v>500</v>
      </c>
      <c r="F256" t="s">
        <v>479</v>
      </c>
      <c r="G256" t="s">
        <v>394</v>
      </c>
      <c r="H256" t="s">
        <v>391</v>
      </c>
      <c r="I256" t="s">
        <v>616</v>
      </c>
      <c r="J256" t="s">
        <v>494</v>
      </c>
      <c r="K256" t="s">
        <v>500</v>
      </c>
      <c r="L256" t="s">
        <v>613</v>
      </c>
      <c r="M256" t="s">
        <v>652</v>
      </c>
      <c r="N256" t="s">
        <v>643</v>
      </c>
      <c r="O256" t="s">
        <v>828</v>
      </c>
      <c r="P256" t="s">
        <v>612</v>
      </c>
      <c r="Q256">
        <v>1</v>
      </c>
      <c r="R256" t="s">
        <v>480</v>
      </c>
    </row>
    <row r="257" spans="1:18" x14ac:dyDescent="0.3">
      <c r="A257" t="s">
        <v>725</v>
      </c>
      <c r="B257" t="s">
        <v>907</v>
      </c>
      <c r="C257" t="s">
        <v>478</v>
      </c>
      <c r="D257" t="s">
        <v>612</v>
      </c>
      <c r="E257" t="s">
        <v>500</v>
      </c>
      <c r="F257" t="s">
        <v>479</v>
      </c>
      <c r="G257" t="s">
        <v>394</v>
      </c>
      <c r="H257" t="s">
        <v>391</v>
      </c>
      <c r="I257" t="s">
        <v>618</v>
      </c>
      <c r="J257" t="s">
        <v>494</v>
      </c>
      <c r="K257" t="s">
        <v>500</v>
      </c>
      <c r="L257" t="s">
        <v>613</v>
      </c>
      <c r="M257" t="s">
        <v>652</v>
      </c>
      <c r="N257" t="s">
        <v>643</v>
      </c>
      <c r="O257" t="s">
        <v>829</v>
      </c>
      <c r="P257" t="s">
        <v>612</v>
      </c>
      <c r="Q257">
        <v>1</v>
      </c>
      <c r="R257" t="s">
        <v>480</v>
      </c>
    </row>
    <row r="258" spans="1:18" x14ac:dyDescent="0.3">
      <c r="A258" t="s">
        <v>725</v>
      </c>
      <c r="B258" t="s">
        <v>907</v>
      </c>
      <c r="C258" t="s">
        <v>478</v>
      </c>
      <c r="D258" t="s">
        <v>612</v>
      </c>
      <c r="E258" t="s">
        <v>500</v>
      </c>
      <c r="F258" t="s">
        <v>479</v>
      </c>
      <c r="G258" t="s">
        <v>394</v>
      </c>
      <c r="H258" t="s">
        <v>391</v>
      </c>
      <c r="I258" t="s">
        <v>618</v>
      </c>
      <c r="J258" t="s">
        <v>494</v>
      </c>
      <c r="K258" t="s">
        <v>500</v>
      </c>
      <c r="L258" t="s">
        <v>613</v>
      </c>
      <c r="M258" t="s">
        <v>652</v>
      </c>
      <c r="N258" t="s">
        <v>643</v>
      </c>
      <c r="O258" t="s">
        <v>851</v>
      </c>
      <c r="P258" t="s">
        <v>612</v>
      </c>
      <c r="Q258">
        <v>1</v>
      </c>
      <c r="R258" t="s">
        <v>480</v>
      </c>
    </row>
    <row r="259" spans="1:18" x14ac:dyDescent="0.3">
      <c r="A259" t="s">
        <v>725</v>
      </c>
      <c r="B259" t="s">
        <v>907</v>
      </c>
      <c r="C259" t="s">
        <v>478</v>
      </c>
      <c r="D259" t="s">
        <v>612</v>
      </c>
      <c r="E259" t="s">
        <v>500</v>
      </c>
      <c r="F259" t="s">
        <v>479</v>
      </c>
      <c r="G259" t="s">
        <v>394</v>
      </c>
      <c r="H259" t="s">
        <v>391</v>
      </c>
      <c r="I259" t="s">
        <v>616</v>
      </c>
      <c r="J259" t="s">
        <v>494</v>
      </c>
      <c r="K259" t="s">
        <v>500</v>
      </c>
      <c r="L259" t="s">
        <v>613</v>
      </c>
      <c r="M259" t="s">
        <v>655</v>
      </c>
      <c r="N259" t="s">
        <v>643</v>
      </c>
      <c r="O259" t="s">
        <v>852</v>
      </c>
      <c r="P259" t="s">
        <v>612</v>
      </c>
      <c r="Q259">
        <v>1</v>
      </c>
      <c r="R259" t="s">
        <v>480</v>
      </c>
    </row>
    <row r="260" spans="1:18" x14ac:dyDescent="0.3">
      <c r="A260" t="s">
        <v>841</v>
      </c>
      <c r="B260" t="s">
        <v>907</v>
      </c>
      <c r="C260" t="s">
        <v>478</v>
      </c>
      <c r="D260" t="s">
        <v>612</v>
      </c>
      <c r="E260" t="s">
        <v>500</v>
      </c>
      <c r="F260" t="s">
        <v>479</v>
      </c>
      <c r="G260" t="s">
        <v>394</v>
      </c>
      <c r="H260" t="s">
        <v>391</v>
      </c>
      <c r="I260" t="s">
        <v>618</v>
      </c>
      <c r="J260" t="s">
        <v>494</v>
      </c>
      <c r="K260" t="s">
        <v>500</v>
      </c>
      <c r="L260" t="s">
        <v>613</v>
      </c>
      <c r="M260" t="s">
        <v>652</v>
      </c>
      <c r="N260" t="s">
        <v>643</v>
      </c>
      <c r="O260" t="s">
        <v>853</v>
      </c>
      <c r="P260" t="s">
        <v>612</v>
      </c>
      <c r="Q260">
        <v>1</v>
      </c>
      <c r="R260" t="s">
        <v>480</v>
      </c>
    </row>
    <row r="261" spans="1:18" x14ac:dyDescent="0.3">
      <c r="A261" t="s">
        <v>841</v>
      </c>
      <c r="B261" t="s">
        <v>907</v>
      </c>
      <c r="C261" t="s">
        <v>478</v>
      </c>
      <c r="D261" t="s">
        <v>612</v>
      </c>
      <c r="E261" t="s">
        <v>500</v>
      </c>
      <c r="F261" t="s">
        <v>479</v>
      </c>
      <c r="G261" t="s">
        <v>394</v>
      </c>
      <c r="H261" t="s">
        <v>391</v>
      </c>
      <c r="I261" t="s">
        <v>618</v>
      </c>
      <c r="J261" t="s">
        <v>494</v>
      </c>
      <c r="K261" t="s">
        <v>500</v>
      </c>
      <c r="L261" t="s">
        <v>613</v>
      </c>
      <c r="M261" t="s">
        <v>652</v>
      </c>
      <c r="N261" t="s">
        <v>643</v>
      </c>
      <c r="O261" t="s">
        <v>854</v>
      </c>
      <c r="P261" t="s">
        <v>612</v>
      </c>
      <c r="Q261">
        <v>1</v>
      </c>
      <c r="R261" t="s">
        <v>480</v>
      </c>
    </row>
    <row r="262" spans="1:18" x14ac:dyDescent="0.3">
      <c r="A262" t="s">
        <v>841</v>
      </c>
      <c r="B262" t="s">
        <v>907</v>
      </c>
      <c r="C262" t="s">
        <v>478</v>
      </c>
      <c r="D262" t="s">
        <v>612</v>
      </c>
      <c r="E262" t="s">
        <v>500</v>
      </c>
      <c r="F262" t="s">
        <v>479</v>
      </c>
      <c r="G262" t="s">
        <v>394</v>
      </c>
      <c r="H262" t="s">
        <v>391</v>
      </c>
      <c r="I262" t="s">
        <v>618</v>
      </c>
      <c r="J262" t="s">
        <v>494</v>
      </c>
      <c r="K262" t="s">
        <v>500</v>
      </c>
      <c r="L262" t="s">
        <v>613</v>
      </c>
      <c r="M262" t="s">
        <v>652</v>
      </c>
      <c r="N262" t="s">
        <v>643</v>
      </c>
      <c r="O262" t="s">
        <v>855</v>
      </c>
      <c r="P262" t="s">
        <v>612</v>
      </c>
      <c r="Q262">
        <v>1</v>
      </c>
      <c r="R262" t="s">
        <v>480</v>
      </c>
    </row>
    <row r="263" spans="1:18" x14ac:dyDescent="0.3">
      <c r="A263" t="s">
        <v>725</v>
      </c>
      <c r="B263" t="s">
        <v>905</v>
      </c>
      <c r="C263" t="s">
        <v>478</v>
      </c>
      <c r="D263" t="s">
        <v>612</v>
      </c>
      <c r="E263" t="s">
        <v>450</v>
      </c>
      <c r="F263" t="s">
        <v>479</v>
      </c>
      <c r="G263" t="s">
        <v>394</v>
      </c>
      <c r="H263" t="s">
        <v>391</v>
      </c>
      <c r="I263" t="s">
        <v>503</v>
      </c>
      <c r="J263" t="s">
        <v>439</v>
      </c>
      <c r="K263" t="s">
        <v>450</v>
      </c>
      <c r="L263" t="s">
        <v>613</v>
      </c>
      <c r="M263" t="s">
        <v>672</v>
      </c>
      <c r="N263" t="s">
        <v>643</v>
      </c>
      <c r="O263" t="s">
        <v>856</v>
      </c>
      <c r="P263" t="s">
        <v>612</v>
      </c>
      <c r="Q263">
        <v>1</v>
      </c>
      <c r="R263" t="s">
        <v>480</v>
      </c>
    </row>
    <row r="264" spans="1:18" x14ac:dyDescent="0.3">
      <c r="A264" t="s">
        <v>841</v>
      </c>
      <c r="B264" t="s">
        <v>907</v>
      </c>
      <c r="C264" t="s">
        <v>478</v>
      </c>
      <c r="D264" t="s">
        <v>612</v>
      </c>
      <c r="E264" t="s">
        <v>500</v>
      </c>
      <c r="F264" t="s">
        <v>479</v>
      </c>
      <c r="G264" t="s">
        <v>394</v>
      </c>
      <c r="H264" t="s">
        <v>391</v>
      </c>
      <c r="I264" t="s">
        <v>618</v>
      </c>
      <c r="J264" t="s">
        <v>494</v>
      </c>
      <c r="K264" t="s">
        <v>500</v>
      </c>
      <c r="L264" t="s">
        <v>613</v>
      </c>
      <c r="M264" t="s">
        <v>655</v>
      </c>
      <c r="N264" t="s">
        <v>643</v>
      </c>
      <c r="O264" t="s">
        <v>857</v>
      </c>
      <c r="P264" t="s">
        <v>612</v>
      </c>
      <c r="Q264">
        <v>1</v>
      </c>
      <c r="R264" t="s">
        <v>480</v>
      </c>
    </row>
    <row r="265" spans="1:18" x14ac:dyDescent="0.3">
      <c r="A265" t="s">
        <v>841</v>
      </c>
      <c r="B265" t="s">
        <v>907</v>
      </c>
      <c r="C265" t="s">
        <v>478</v>
      </c>
      <c r="D265" t="s">
        <v>612</v>
      </c>
      <c r="E265" t="s">
        <v>500</v>
      </c>
      <c r="F265" t="s">
        <v>479</v>
      </c>
      <c r="G265" t="s">
        <v>394</v>
      </c>
      <c r="H265" t="s">
        <v>391</v>
      </c>
      <c r="I265" t="s">
        <v>618</v>
      </c>
      <c r="J265" t="s">
        <v>494</v>
      </c>
      <c r="K265" t="s">
        <v>500</v>
      </c>
      <c r="L265" t="s">
        <v>613</v>
      </c>
      <c r="M265" t="s">
        <v>652</v>
      </c>
      <c r="N265" t="s">
        <v>643</v>
      </c>
      <c r="O265" t="s">
        <v>867</v>
      </c>
      <c r="P265" t="s">
        <v>612</v>
      </c>
      <c r="Q265">
        <v>1</v>
      </c>
      <c r="R265" t="s">
        <v>480</v>
      </c>
    </row>
    <row r="266" spans="1:18" x14ac:dyDescent="0.3">
      <c r="A266" t="s">
        <v>841</v>
      </c>
      <c r="B266" t="s">
        <v>907</v>
      </c>
      <c r="C266" t="s">
        <v>478</v>
      </c>
      <c r="D266" t="s">
        <v>612</v>
      </c>
      <c r="E266" t="s">
        <v>500</v>
      </c>
      <c r="F266" t="s">
        <v>479</v>
      </c>
      <c r="G266" t="s">
        <v>394</v>
      </c>
      <c r="H266" t="s">
        <v>391</v>
      </c>
      <c r="I266" t="s">
        <v>618</v>
      </c>
      <c r="J266" t="s">
        <v>494</v>
      </c>
      <c r="K266" t="s">
        <v>500</v>
      </c>
      <c r="L266" t="s">
        <v>613</v>
      </c>
      <c r="M266" t="s">
        <v>652</v>
      </c>
      <c r="N266" t="s">
        <v>643</v>
      </c>
      <c r="O266" t="s">
        <v>868</v>
      </c>
      <c r="P266" t="s">
        <v>612</v>
      </c>
      <c r="Q266">
        <v>1</v>
      </c>
      <c r="R266" t="s">
        <v>480</v>
      </c>
    </row>
    <row r="267" spans="1:18" x14ac:dyDescent="0.3">
      <c r="A267" t="s">
        <v>841</v>
      </c>
      <c r="B267" t="s">
        <v>907</v>
      </c>
      <c r="C267" t="s">
        <v>478</v>
      </c>
      <c r="D267" t="s">
        <v>612</v>
      </c>
      <c r="E267" t="s">
        <v>500</v>
      </c>
      <c r="F267" t="s">
        <v>479</v>
      </c>
      <c r="G267" t="s">
        <v>394</v>
      </c>
      <c r="H267" t="s">
        <v>391</v>
      </c>
      <c r="I267" t="s">
        <v>618</v>
      </c>
      <c r="J267" t="s">
        <v>494</v>
      </c>
      <c r="K267" t="s">
        <v>500</v>
      </c>
      <c r="L267" t="s">
        <v>613</v>
      </c>
      <c r="M267" t="s">
        <v>652</v>
      </c>
      <c r="N267" t="s">
        <v>643</v>
      </c>
      <c r="O267" t="s">
        <v>884</v>
      </c>
      <c r="P267" t="s">
        <v>612</v>
      </c>
      <c r="Q267">
        <v>1</v>
      </c>
      <c r="R267" t="s">
        <v>480</v>
      </c>
    </row>
    <row r="268" spans="1:18" x14ac:dyDescent="0.3">
      <c r="A268" t="s">
        <v>841</v>
      </c>
      <c r="B268" t="s">
        <v>907</v>
      </c>
      <c r="C268" t="s">
        <v>478</v>
      </c>
      <c r="D268" t="s">
        <v>612</v>
      </c>
      <c r="E268" t="s">
        <v>500</v>
      </c>
      <c r="F268" t="s">
        <v>479</v>
      </c>
      <c r="G268" t="s">
        <v>394</v>
      </c>
      <c r="H268" t="s">
        <v>391</v>
      </c>
      <c r="I268" t="s">
        <v>618</v>
      </c>
      <c r="J268" t="s">
        <v>494</v>
      </c>
      <c r="K268" t="s">
        <v>500</v>
      </c>
      <c r="L268" t="s">
        <v>613</v>
      </c>
      <c r="M268" t="s">
        <v>655</v>
      </c>
      <c r="N268" t="s">
        <v>643</v>
      </c>
      <c r="O268" t="s">
        <v>885</v>
      </c>
      <c r="P268" t="s">
        <v>612</v>
      </c>
      <c r="Q268">
        <v>1</v>
      </c>
      <c r="R268" t="s">
        <v>480</v>
      </c>
    </row>
    <row r="269" spans="1:18" x14ac:dyDescent="0.3">
      <c r="A269" t="s">
        <v>841</v>
      </c>
      <c r="B269" t="s">
        <v>907</v>
      </c>
      <c r="C269" t="s">
        <v>478</v>
      </c>
      <c r="D269" t="s">
        <v>612</v>
      </c>
      <c r="E269" t="s">
        <v>500</v>
      </c>
      <c r="F269" t="s">
        <v>479</v>
      </c>
      <c r="G269" t="s">
        <v>394</v>
      </c>
      <c r="H269" t="s">
        <v>391</v>
      </c>
      <c r="I269" t="s">
        <v>618</v>
      </c>
      <c r="J269" t="s">
        <v>494</v>
      </c>
      <c r="K269" t="s">
        <v>500</v>
      </c>
      <c r="L269" t="s">
        <v>613</v>
      </c>
      <c r="M269" t="s">
        <v>655</v>
      </c>
      <c r="N269" t="s">
        <v>893</v>
      </c>
      <c r="O269" t="s">
        <v>908</v>
      </c>
      <c r="P269" t="s">
        <v>612</v>
      </c>
      <c r="Q269">
        <v>1</v>
      </c>
      <c r="R269" t="s">
        <v>480</v>
      </c>
    </row>
    <row r="270" spans="1:18" x14ac:dyDescent="0.3">
      <c r="A270" t="s">
        <v>841</v>
      </c>
      <c r="B270" t="s">
        <v>484</v>
      </c>
      <c r="C270" t="s">
        <v>478</v>
      </c>
      <c r="D270" t="s">
        <v>612</v>
      </c>
      <c r="E270" t="s">
        <v>450</v>
      </c>
      <c r="F270" t="s">
        <v>479</v>
      </c>
      <c r="G270" t="s">
        <v>394</v>
      </c>
      <c r="H270" t="s">
        <v>391</v>
      </c>
      <c r="I270" t="s">
        <v>503</v>
      </c>
      <c r="J270" t="s">
        <v>439</v>
      </c>
      <c r="K270" t="s">
        <v>450</v>
      </c>
      <c r="L270" t="s">
        <v>613</v>
      </c>
      <c r="M270" t="s">
        <v>672</v>
      </c>
      <c r="N270" t="s">
        <v>643</v>
      </c>
      <c r="O270" t="s">
        <v>909</v>
      </c>
      <c r="P270" t="s">
        <v>612</v>
      </c>
      <c r="Q270">
        <v>0</v>
      </c>
      <c r="R270" t="s">
        <v>480</v>
      </c>
    </row>
    <row r="271" spans="1:18" x14ac:dyDescent="0.3">
      <c r="A271" t="s">
        <v>841</v>
      </c>
      <c r="B271" t="s">
        <v>484</v>
      </c>
      <c r="C271" t="s">
        <v>478</v>
      </c>
      <c r="D271" t="s">
        <v>612</v>
      </c>
      <c r="E271" t="s">
        <v>500</v>
      </c>
      <c r="F271" t="s">
        <v>479</v>
      </c>
      <c r="G271" t="s">
        <v>394</v>
      </c>
      <c r="H271" t="s">
        <v>391</v>
      </c>
      <c r="I271" t="s">
        <v>618</v>
      </c>
      <c r="J271" t="s">
        <v>494</v>
      </c>
      <c r="K271" t="s">
        <v>500</v>
      </c>
      <c r="L271" t="s">
        <v>613</v>
      </c>
      <c r="M271" t="s">
        <v>655</v>
      </c>
      <c r="N271" t="s">
        <v>893</v>
      </c>
      <c r="O271" t="s">
        <v>933</v>
      </c>
      <c r="P271" t="s">
        <v>612</v>
      </c>
      <c r="Q271">
        <v>0</v>
      </c>
      <c r="R271" t="s">
        <v>480</v>
      </c>
    </row>
    <row r="272" spans="1:18" x14ac:dyDescent="0.3">
      <c r="A272" t="s">
        <v>927</v>
      </c>
      <c r="B272" t="s">
        <v>484</v>
      </c>
      <c r="C272" t="s">
        <v>478</v>
      </c>
      <c r="D272" t="s">
        <v>612</v>
      </c>
      <c r="E272" t="s">
        <v>500</v>
      </c>
      <c r="F272" t="s">
        <v>479</v>
      </c>
      <c r="G272" t="s">
        <v>394</v>
      </c>
      <c r="H272" t="s">
        <v>391</v>
      </c>
      <c r="I272" t="s">
        <v>616</v>
      </c>
      <c r="J272" t="s">
        <v>494</v>
      </c>
      <c r="K272" t="s">
        <v>500</v>
      </c>
      <c r="L272" t="s">
        <v>613</v>
      </c>
      <c r="M272" t="s">
        <v>655</v>
      </c>
      <c r="N272" t="s">
        <v>643</v>
      </c>
      <c r="O272" t="s">
        <v>1010</v>
      </c>
      <c r="P272" t="s">
        <v>612</v>
      </c>
      <c r="Q272">
        <v>0</v>
      </c>
      <c r="R272" t="s">
        <v>480</v>
      </c>
    </row>
    <row r="273" spans="1:18" x14ac:dyDescent="0.3">
      <c r="A273" t="s">
        <v>641</v>
      </c>
      <c r="B273" t="s">
        <v>703</v>
      </c>
      <c r="C273" t="s">
        <v>396</v>
      </c>
      <c r="D273" t="s">
        <v>612</v>
      </c>
      <c r="E273" t="s">
        <v>397</v>
      </c>
      <c r="F273" t="s">
        <v>479</v>
      </c>
      <c r="G273" t="s">
        <v>390</v>
      </c>
      <c r="H273" t="s">
        <v>391</v>
      </c>
      <c r="I273" t="s">
        <v>632</v>
      </c>
      <c r="J273" t="s">
        <v>398</v>
      </c>
      <c r="K273" t="s">
        <v>397</v>
      </c>
      <c r="L273" t="s">
        <v>623</v>
      </c>
      <c r="M273" t="s">
        <v>642</v>
      </c>
      <c r="N273" t="s">
        <v>643</v>
      </c>
      <c r="O273" t="s">
        <v>644</v>
      </c>
      <c r="P273" t="s">
        <v>612</v>
      </c>
      <c r="Q273">
        <v>1</v>
      </c>
      <c r="R273" t="s">
        <v>480</v>
      </c>
    </row>
    <row r="274" spans="1:18" x14ac:dyDescent="0.3">
      <c r="A274" t="s">
        <v>641</v>
      </c>
      <c r="B274" t="s">
        <v>703</v>
      </c>
      <c r="C274" t="s">
        <v>396</v>
      </c>
      <c r="D274" t="s">
        <v>612</v>
      </c>
      <c r="E274" t="s">
        <v>397</v>
      </c>
      <c r="F274" t="s">
        <v>479</v>
      </c>
      <c r="G274" t="s">
        <v>390</v>
      </c>
      <c r="H274" t="s">
        <v>391</v>
      </c>
      <c r="I274" t="s">
        <v>632</v>
      </c>
      <c r="J274" t="s">
        <v>398</v>
      </c>
      <c r="K274" t="s">
        <v>397</v>
      </c>
      <c r="L274" t="s">
        <v>623</v>
      </c>
      <c r="M274" t="s">
        <v>645</v>
      </c>
      <c r="N274" t="s">
        <v>643</v>
      </c>
      <c r="O274" t="s">
        <v>646</v>
      </c>
      <c r="P274" t="s">
        <v>612</v>
      </c>
      <c r="Q274">
        <v>1</v>
      </c>
      <c r="R274" t="s">
        <v>480</v>
      </c>
    </row>
    <row r="275" spans="1:18" x14ac:dyDescent="0.3">
      <c r="A275" t="s">
        <v>641</v>
      </c>
      <c r="B275" t="s">
        <v>703</v>
      </c>
      <c r="C275" t="s">
        <v>396</v>
      </c>
      <c r="D275" t="s">
        <v>612</v>
      </c>
      <c r="E275" t="s">
        <v>397</v>
      </c>
      <c r="F275" t="s">
        <v>479</v>
      </c>
      <c r="G275" t="s">
        <v>390</v>
      </c>
      <c r="H275" t="s">
        <v>391</v>
      </c>
      <c r="I275" t="s">
        <v>632</v>
      </c>
      <c r="J275" t="s">
        <v>398</v>
      </c>
      <c r="K275" t="s">
        <v>397</v>
      </c>
      <c r="L275" t="s">
        <v>623</v>
      </c>
      <c r="M275" t="s">
        <v>645</v>
      </c>
      <c r="N275" t="s">
        <v>643</v>
      </c>
      <c r="O275" t="s">
        <v>647</v>
      </c>
      <c r="P275" t="s">
        <v>612</v>
      </c>
      <c r="Q275">
        <v>1</v>
      </c>
      <c r="R275" t="s">
        <v>480</v>
      </c>
    </row>
    <row r="276" spans="1:18" x14ac:dyDescent="0.3">
      <c r="A276" t="s">
        <v>641</v>
      </c>
      <c r="B276" t="s">
        <v>703</v>
      </c>
      <c r="C276" t="s">
        <v>396</v>
      </c>
      <c r="D276" t="s">
        <v>612</v>
      </c>
      <c r="E276" t="s">
        <v>397</v>
      </c>
      <c r="F276" t="s">
        <v>479</v>
      </c>
      <c r="G276" t="s">
        <v>390</v>
      </c>
      <c r="H276" t="s">
        <v>391</v>
      </c>
      <c r="I276" t="s">
        <v>632</v>
      </c>
      <c r="J276" t="s">
        <v>398</v>
      </c>
      <c r="K276" t="s">
        <v>397</v>
      </c>
      <c r="L276" t="s">
        <v>623</v>
      </c>
      <c r="M276" t="s">
        <v>642</v>
      </c>
      <c r="N276" t="s">
        <v>643</v>
      </c>
      <c r="O276" t="s">
        <v>648</v>
      </c>
      <c r="P276" t="s">
        <v>612</v>
      </c>
      <c r="Q276">
        <v>1</v>
      </c>
      <c r="R276" t="s">
        <v>480</v>
      </c>
    </row>
    <row r="277" spans="1:18" x14ac:dyDescent="0.3">
      <c r="A277" t="s">
        <v>641</v>
      </c>
      <c r="B277" t="s">
        <v>703</v>
      </c>
      <c r="C277" t="s">
        <v>396</v>
      </c>
      <c r="D277" t="s">
        <v>612</v>
      </c>
      <c r="E277" t="s">
        <v>397</v>
      </c>
      <c r="F277" t="s">
        <v>479</v>
      </c>
      <c r="G277" t="s">
        <v>390</v>
      </c>
      <c r="H277" t="s">
        <v>391</v>
      </c>
      <c r="I277" t="s">
        <v>632</v>
      </c>
      <c r="J277" t="s">
        <v>398</v>
      </c>
      <c r="K277" t="s">
        <v>397</v>
      </c>
      <c r="L277" t="s">
        <v>623</v>
      </c>
      <c r="M277" t="s">
        <v>645</v>
      </c>
      <c r="N277" t="s">
        <v>643</v>
      </c>
      <c r="O277" t="s">
        <v>649</v>
      </c>
      <c r="P277" t="s">
        <v>612</v>
      </c>
      <c r="Q277">
        <v>1</v>
      </c>
      <c r="R277" t="s">
        <v>480</v>
      </c>
    </row>
    <row r="278" spans="1:18" x14ac:dyDescent="0.3">
      <c r="A278" t="s">
        <v>641</v>
      </c>
      <c r="B278" t="s">
        <v>704</v>
      </c>
      <c r="C278" t="s">
        <v>396</v>
      </c>
      <c r="D278" t="s">
        <v>612</v>
      </c>
      <c r="E278" t="s">
        <v>397</v>
      </c>
      <c r="F278" t="s">
        <v>479</v>
      </c>
      <c r="G278" t="s">
        <v>394</v>
      </c>
      <c r="H278" t="s">
        <v>419</v>
      </c>
      <c r="I278" t="s">
        <v>632</v>
      </c>
      <c r="J278" t="s">
        <v>398</v>
      </c>
      <c r="K278" t="s">
        <v>397</v>
      </c>
      <c r="L278" t="s">
        <v>623</v>
      </c>
      <c r="M278" t="s">
        <v>650</v>
      </c>
      <c r="N278" t="s">
        <v>643</v>
      </c>
      <c r="O278" t="s">
        <v>651</v>
      </c>
      <c r="P278" t="s">
        <v>612</v>
      </c>
      <c r="Q278">
        <v>1</v>
      </c>
      <c r="R278" t="s">
        <v>480</v>
      </c>
    </row>
    <row r="279" spans="1:18" x14ac:dyDescent="0.3">
      <c r="A279" t="s">
        <v>641</v>
      </c>
      <c r="B279" t="s">
        <v>704</v>
      </c>
      <c r="C279" t="s">
        <v>396</v>
      </c>
      <c r="D279" t="s">
        <v>612</v>
      </c>
      <c r="E279" t="s">
        <v>397</v>
      </c>
      <c r="F279" t="s">
        <v>479</v>
      </c>
      <c r="G279" t="s">
        <v>394</v>
      </c>
      <c r="H279" t="s">
        <v>419</v>
      </c>
      <c r="I279" t="s">
        <v>632</v>
      </c>
      <c r="J279" t="s">
        <v>398</v>
      </c>
      <c r="K279" t="s">
        <v>397</v>
      </c>
      <c r="L279" t="s">
        <v>623</v>
      </c>
      <c r="M279" t="s">
        <v>650</v>
      </c>
      <c r="N279" t="s">
        <v>643</v>
      </c>
      <c r="O279" t="s">
        <v>658</v>
      </c>
      <c r="P279" t="s">
        <v>612</v>
      </c>
      <c r="Q279">
        <v>1</v>
      </c>
      <c r="R279" t="s">
        <v>480</v>
      </c>
    </row>
    <row r="280" spans="1:18" x14ac:dyDescent="0.3">
      <c r="A280" t="s">
        <v>641</v>
      </c>
      <c r="B280" t="s">
        <v>703</v>
      </c>
      <c r="C280" t="s">
        <v>396</v>
      </c>
      <c r="D280" t="s">
        <v>612</v>
      </c>
      <c r="E280" t="s">
        <v>397</v>
      </c>
      <c r="F280" t="s">
        <v>479</v>
      </c>
      <c r="G280" t="s">
        <v>390</v>
      </c>
      <c r="H280" t="s">
        <v>391</v>
      </c>
      <c r="I280" t="s">
        <v>632</v>
      </c>
      <c r="J280" t="s">
        <v>398</v>
      </c>
      <c r="K280" t="s">
        <v>397</v>
      </c>
      <c r="L280" t="s">
        <v>623</v>
      </c>
      <c r="M280" t="s">
        <v>642</v>
      </c>
      <c r="N280" t="s">
        <v>643</v>
      </c>
      <c r="O280" t="s">
        <v>659</v>
      </c>
      <c r="P280" t="s">
        <v>612</v>
      </c>
      <c r="Q280">
        <v>1</v>
      </c>
      <c r="R280" t="s">
        <v>480</v>
      </c>
    </row>
    <row r="281" spans="1:18" x14ac:dyDescent="0.3">
      <c r="A281" t="s">
        <v>641</v>
      </c>
      <c r="B281" t="s">
        <v>703</v>
      </c>
      <c r="C281" t="s">
        <v>396</v>
      </c>
      <c r="D281" t="s">
        <v>612</v>
      </c>
      <c r="E281" t="s">
        <v>397</v>
      </c>
      <c r="F281" t="s">
        <v>479</v>
      </c>
      <c r="G281" t="s">
        <v>390</v>
      </c>
      <c r="H281" t="s">
        <v>391</v>
      </c>
      <c r="I281" t="s">
        <v>632</v>
      </c>
      <c r="J281" t="s">
        <v>398</v>
      </c>
      <c r="K281" t="s">
        <v>397</v>
      </c>
      <c r="L281" t="s">
        <v>623</v>
      </c>
      <c r="M281" t="s">
        <v>645</v>
      </c>
      <c r="N281" t="s">
        <v>643</v>
      </c>
      <c r="O281" t="s">
        <v>660</v>
      </c>
      <c r="P281" t="s">
        <v>612</v>
      </c>
      <c r="Q281">
        <v>1</v>
      </c>
      <c r="R281" t="s">
        <v>480</v>
      </c>
    </row>
    <row r="282" spans="1:18" x14ac:dyDescent="0.3">
      <c r="A282" t="s">
        <v>641</v>
      </c>
      <c r="B282" t="s">
        <v>703</v>
      </c>
      <c r="C282" t="s">
        <v>396</v>
      </c>
      <c r="D282" t="s">
        <v>612</v>
      </c>
      <c r="E282" t="s">
        <v>397</v>
      </c>
      <c r="F282" t="s">
        <v>479</v>
      </c>
      <c r="G282" t="s">
        <v>390</v>
      </c>
      <c r="H282" t="s">
        <v>391</v>
      </c>
      <c r="I282" t="s">
        <v>632</v>
      </c>
      <c r="J282" t="s">
        <v>398</v>
      </c>
      <c r="K282" t="s">
        <v>397</v>
      </c>
      <c r="L282" t="s">
        <v>623</v>
      </c>
      <c r="M282" t="s">
        <v>645</v>
      </c>
      <c r="N282" t="s">
        <v>643</v>
      </c>
      <c r="O282" t="s">
        <v>661</v>
      </c>
      <c r="P282" t="s">
        <v>612</v>
      </c>
      <c r="Q282">
        <v>1</v>
      </c>
      <c r="R282" t="s">
        <v>480</v>
      </c>
    </row>
    <row r="283" spans="1:18" x14ac:dyDescent="0.3">
      <c r="A283" t="s">
        <v>641</v>
      </c>
      <c r="B283" t="s">
        <v>703</v>
      </c>
      <c r="C283" t="s">
        <v>396</v>
      </c>
      <c r="D283" t="s">
        <v>612</v>
      </c>
      <c r="E283" t="s">
        <v>397</v>
      </c>
      <c r="F283" t="s">
        <v>479</v>
      </c>
      <c r="G283" t="s">
        <v>390</v>
      </c>
      <c r="H283" t="s">
        <v>391</v>
      </c>
      <c r="I283" t="s">
        <v>632</v>
      </c>
      <c r="J283" t="s">
        <v>398</v>
      </c>
      <c r="K283" t="s">
        <v>397</v>
      </c>
      <c r="L283" t="s">
        <v>623</v>
      </c>
      <c r="M283" t="s">
        <v>642</v>
      </c>
      <c r="N283" t="s">
        <v>643</v>
      </c>
      <c r="O283" t="s">
        <v>665</v>
      </c>
      <c r="P283" t="s">
        <v>612</v>
      </c>
      <c r="Q283">
        <v>1</v>
      </c>
      <c r="R283" t="s">
        <v>480</v>
      </c>
    </row>
    <row r="284" spans="1:18" x14ac:dyDescent="0.3">
      <c r="A284" t="s">
        <v>641</v>
      </c>
      <c r="B284" t="s">
        <v>703</v>
      </c>
      <c r="C284" t="s">
        <v>396</v>
      </c>
      <c r="D284" t="s">
        <v>612</v>
      </c>
      <c r="E284" t="s">
        <v>397</v>
      </c>
      <c r="F284" t="s">
        <v>479</v>
      </c>
      <c r="G284" t="s">
        <v>390</v>
      </c>
      <c r="H284" t="s">
        <v>391</v>
      </c>
      <c r="I284" t="s">
        <v>632</v>
      </c>
      <c r="J284" t="s">
        <v>398</v>
      </c>
      <c r="K284" t="s">
        <v>397</v>
      </c>
      <c r="L284" t="s">
        <v>623</v>
      </c>
      <c r="M284" t="s">
        <v>645</v>
      </c>
      <c r="N284" t="s">
        <v>643</v>
      </c>
      <c r="O284" t="s">
        <v>666</v>
      </c>
      <c r="P284" t="s">
        <v>612</v>
      </c>
      <c r="Q284">
        <v>1</v>
      </c>
      <c r="R284" t="s">
        <v>480</v>
      </c>
    </row>
    <row r="285" spans="1:18" x14ac:dyDescent="0.3">
      <c r="A285" t="s">
        <v>641</v>
      </c>
      <c r="B285" t="s">
        <v>704</v>
      </c>
      <c r="C285" t="s">
        <v>396</v>
      </c>
      <c r="D285" t="s">
        <v>612</v>
      </c>
      <c r="E285" t="s">
        <v>397</v>
      </c>
      <c r="F285" t="s">
        <v>479</v>
      </c>
      <c r="G285" t="s">
        <v>394</v>
      </c>
      <c r="H285" t="s">
        <v>419</v>
      </c>
      <c r="I285" t="s">
        <v>632</v>
      </c>
      <c r="J285" t="s">
        <v>398</v>
      </c>
      <c r="K285" t="s">
        <v>397</v>
      </c>
      <c r="L285" t="s">
        <v>623</v>
      </c>
      <c r="M285" t="s">
        <v>650</v>
      </c>
      <c r="N285" t="s">
        <v>643</v>
      </c>
      <c r="O285" t="s">
        <v>675</v>
      </c>
      <c r="P285" t="s">
        <v>612</v>
      </c>
      <c r="Q285">
        <v>1</v>
      </c>
      <c r="R285" t="s">
        <v>480</v>
      </c>
    </row>
    <row r="286" spans="1:18" x14ac:dyDescent="0.3">
      <c r="A286" t="s">
        <v>641</v>
      </c>
      <c r="B286" t="s">
        <v>703</v>
      </c>
      <c r="C286" t="s">
        <v>396</v>
      </c>
      <c r="D286" t="s">
        <v>612</v>
      </c>
      <c r="E286" t="s">
        <v>397</v>
      </c>
      <c r="F286" t="s">
        <v>479</v>
      </c>
      <c r="G286" t="s">
        <v>390</v>
      </c>
      <c r="H286" t="s">
        <v>391</v>
      </c>
      <c r="I286" t="s">
        <v>632</v>
      </c>
      <c r="J286" t="s">
        <v>398</v>
      </c>
      <c r="K286" t="s">
        <v>397</v>
      </c>
      <c r="L286" t="s">
        <v>623</v>
      </c>
      <c r="M286" t="s">
        <v>642</v>
      </c>
      <c r="N286" t="s">
        <v>643</v>
      </c>
      <c r="O286" t="s">
        <v>676</v>
      </c>
      <c r="P286" t="s">
        <v>612</v>
      </c>
      <c r="Q286">
        <v>1</v>
      </c>
      <c r="R286" t="s">
        <v>480</v>
      </c>
    </row>
    <row r="287" spans="1:18" x14ac:dyDescent="0.3">
      <c r="A287" t="s">
        <v>641</v>
      </c>
      <c r="B287" t="s">
        <v>703</v>
      </c>
      <c r="C287" t="s">
        <v>396</v>
      </c>
      <c r="D287" t="s">
        <v>612</v>
      </c>
      <c r="E287" t="s">
        <v>397</v>
      </c>
      <c r="F287" t="s">
        <v>479</v>
      </c>
      <c r="G287" t="s">
        <v>390</v>
      </c>
      <c r="H287" t="s">
        <v>391</v>
      </c>
      <c r="I287" t="s">
        <v>632</v>
      </c>
      <c r="J287" t="s">
        <v>398</v>
      </c>
      <c r="K287" t="s">
        <v>397</v>
      </c>
      <c r="L287" t="s">
        <v>623</v>
      </c>
      <c r="M287" t="s">
        <v>645</v>
      </c>
      <c r="N287" t="s">
        <v>643</v>
      </c>
      <c r="O287" t="s">
        <v>677</v>
      </c>
      <c r="P287" t="s">
        <v>612</v>
      </c>
      <c r="Q287">
        <v>1</v>
      </c>
      <c r="R287" t="s">
        <v>480</v>
      </c>
    </row>
    <row r="288" spans="1:18" x14ac:dyDescent="0.3">
      <c r="A288" t="s">
        <v>641</v>
      </c>
      <c r="B288" t="s">
        <v>704</v>
      </c>
      <c r="C288" t="s">
        <v>396</v>
      </c>
      <c r="D288" t="s">
        <v>612</v>
      </c>
      <c r="E288" t="s">
        <v>397</v>
      </c>
      <c r="F288" t="s">
        <v>479</v>
      </c>
      <c r="G288" t="s">
        <v>390</v>
      </c>
      <c r="H288" t="s">
        <v>391</v>
      </c>
      <c r="I288" t="s">
        <v>632</v>
      </c>
      <c r="J288" t="s">
        <v>398</v>
      </c>
      <c r="K288" t="s">
        <v>397</v>
      </c>
      <c r="L288" t="s">
        <v>623</v>
      </c>
      <c r="M288" t="s">
        <v>645</v>
      </c>
      <c r="N288" t="s">
        <v>643</v>
      </c>
      <c r="O288" t="s">
        <v>678</v>
      </c>
      <c r="P288" t="s">
        <v>612</v>
      </c>
      <c r="Q288">
        <v>1</v>
      </c>
      <c r="R288" t="s">
        <v>480</v>
      </c>
    </row>
    <row r="289" spans="1:18" x14ac:dyDescent="0.3">
      <c r="A289" t="s">
        <v>641</v>
      </c>
      <c r="B289" t="s">
        <v>704</v>
      </c>
      <c r="C289" t="s">
        <v>396</v>
      </c>
      <c r="D289" t="s">
        <v>612</v>
      </c>
      <c r="E289" t="s">
        <v>397</v>
      </c>
      <c r="F289" t="s">
        <v>479</v>
      </c>
      <c r="G289" t="s">
        <v>394</v>
      </c>
      <c r="H289" t="s">
        <v>419</v>
      </c>
      <c r="I289" t="s">
        <v>632</v>
      </c>
      <c r="J289" t="s">
        <v>398</v>
      </c>
      <c r="K289" t="s">
        <v>397</v>
      </c>
      <c r="L289" t="s">
        <v>623</v>
      </c>
      <c r="M289" t="s">
        <v>650</v>
      </c>
      <c r="N289" t="s">
        <v>643</v>
      </c>
      <c r="O289" t="s">
        <v>679</v>
      </c>
      <c r="P289" t="s">
        <v>612</v>
      </c>
      <c r="Q289">
        <v>1</v>
      </c>
      <c r="R289" t="s">
        <v>480</v>
      </c>
    </row>
    <row r="290" spans="1:18" x14ac:dyDescent="0.3">
      <c r="A290" t="s">
        <v>641</v>
      </c>
      <c r="B290" t="s">
        <v>704</v>
      </c>
      <c r="C290" t="s">
        <v>396</v>
      </c>
      <c r="D290" t="s">
        <v>612</v>
      </c>
      <c r="E290" t="s">
        <v>397</v>
      </c>
      <c r="F290" t="s">
        <v>479</v>
      </c>
      <c r="G290" t="s">
        <v>390</v>
      </c>
      <c r="H290" t="s">
        <v>391</v>
      </c>
      <c r="I290" t="s">
        <v>632</v>
      </c>
      <c r="J290" t="s">
        <v>398</v>
      </c>
      <c r="K290" t="s">
        <v>397</v>
      </c>
      <c r="L290" t="s">
        <v>623</v>
      </c>
      <c r="M290" t="s">
        <v>642</v>
      </c>
      <c r="N290" t="s">
        <v>643</v>
      </c>
      <c r="O290" t="s">
        <v>685</v>
      </c>
      <c r="P290" t="s">
        <v>612</v>
      </c>
      <c r="Q290">
        <v>1</v>
      </c>
      <c r="R290" t="s">
        <v>480</v>
      </c>
    </row>
    <row r="291" spans="1:18" x14ac:dyDescent="0.3">
      <c r="A291" t="s">
        <v>641</v>
      </c>
      <c r="B291" t="s">
        <v>704</v>
      </c>
      <c r="C291" t="s">
        <v>396</v>
      </c>
      <c r="D291" t="s">
        <v>612</v>
      </c>
      <c r="E291" t="s">
        <v>397</v>
      </c>
      <c r="F291" t="s">
        <v>479</v>
      </c>
      <c r="G291" t="s">
        <v>394</v>
      </c>
      <c r="H291" t="s">
        <v>419</v>
      </c>
      <c r="I291" t="s">
        <v>632</v>
      </c>
      <c r="J291" t="s">
        <v>398</v>
      </c>
      <c r="K291" t="s">
        <v>397</v>
      </c>
      <c r="L291" t="s">
        <v>623</v>
      </c>
      <c r="M291" t="s">
        <v>650</v>
      </c>
      <c r="N291" t="s">
        <v>643</v>
      </c>
      <c r="O291" t="s">
        <v>686</v>
      </c>
      <c r="P291" t="s">
        <v>612</v>
      </c>
      <c r="Q291">
        <v>1</v>
      </c>
      <c r="R291" t="s">
        <v>480</v>
      </c>
    </row>
    <row r="292" spans="1:18" x14ac:dyDescent="0.3">
      <c r="A292" t="s">
        <v>641</v>
      </c>
      <c r="B292" t="s">
        <v>704</v>
      </c>
      <c r="C292" t="s">
        <v>396</v>
      </c>
      <c r="D292" t="s">
        <v>612</v>
      </c>
      <c r="E292" t="s">
        <v>397</v>
      </c>
      <c r="F292" t="s">
        <v>479</v>
      </c>
      <c r="G292" t="s">
        <v>390</v>
      </c>
      <c r="H292" t="s">
        <v>391</v>
      </c>
      <c r="I292" t="s">
        <v>632</v>
      </c>
      <c r="J292" t="s">
        <v>398</v>
      </c>
      <c r="K292" t="s">
        <v>397</v>
      </c>
      <c r="L292" t="s">
        <v>623</v>
      </c>
      <c r="M292" t="s">
        <v>645</v>
      </c>
      <c r="N292" t="s">
        <v>643</v>
      </c>
      <c r="O292" t="s">
        <v>687</v>
      </c>
      <c r="P292" t="s">
        <v>612</v>
      </c>
      <c r="Q292">
        <v>1</v>
      </c>
      <c r="R292" t="s">
        <v>480</v>
      </c>
    </row>
    <row r="293" spans="1:18" x14ac:dyDescent="0.3">
      <c r="A293" t="s">
        <v>641</v>
      </c>
      <c r="B293" t="s">
        <v>704</v>
      </c>
      <c r="C293" t="s">
        <v>396</v>
      </c>
      <c r="D293" t="s">
        <v>612</v>
      </c>
      <c r="E293" t="s">
        <v>397</v>
      </c>
      <c r="F293" t="s">
        <v>479</v>
      </c>
      <c r="G293" t="s">
        <v>390</v>
      </c>
      <c r="H293" t="s">
        <v>391</v>
      </c>
      <c r="I293" t="s">
        <v>632</v>
      </c>
      <c r="J293" t="s">
        <v>398</v>
      </c>
      <c r="K293" t="s">
        <v>397</v>
      </c>
      <c r="L293" t="s">
        <v>623</v>
      </c>
      <c r="M293" t="s">
        <v>645</v>
      </c>
      <c r="N293" t="s">
        <v>643</v>
      </c>
      <c r="O293" t="s">
        <v>688</v>
      </c>
      <c r="P293" t="s">
        <v>612</v>
      </c>
      <c r="Q293">
        <v>1</v>
      </c>
      <c r="R293" t="s">
        <v>480</v>
      </c>
    </row>
    <row r="294" spans="1:18" x14ac:dyDescent="0.3">
      <c r="A294" t="s">
        <v>641</v>
      </c>
      <c r="B294" t="s">
        <v>704</v>
      </c>
      <c r="C294" t="s">
        <v>396</v>
      </c>
      <c r="D294" t="s">
        <v>612</v>
      </c>
      <c r="E294" t="s">
        <v>397</v>
      </c>
      <c r="F294" t="s">
        <v>479</v>
      </c>
      <c r="G294" t="s">
        <v>390</v>
      </c>
      <c r="H294" t="s">
        <v>391</v>
      </c>
      <c r="I294" t="s">
        <v>632</v>
      </c>
      <c r="J294" t="s">
        <v>398</v>
      </c>
      <c r="K294" t="s">
        <v>397</v>
      </c>
      <c r="L294" t="s">
        <v>623</v>
      </c>
      <c r="M294" t="s">
        <v>642</v>
      </c>
      <c r="N294" t="s">
        <v>643</v>
      </c>
      <c r="O294" t="s">
        <v>691</v>
      </c>
      <c r="P294" t="s">
        <v>612</v>
      </c>
      <c r="Q294">
        <v>1</v>
      </c>
      <c r="R294" t="s">
        <v>480</v>
      </c>
    </row>
    <row r="295" spans="1:18" x14ac:dyDescent="0.3">
      <c r="A295" t="s">
        <v>641</v>
      </c>
      <c r="B295" t="s">
        <v>704</v>
      </c>
      <c r="C295" t="s">
        <v>396</v>
      </c>
      <c r="D295" t="s">
        <v>612</v>
      </c>
      <c r="E295" t="s">
        <v>397</v>
      </c>
      <c r="F295" t="s">
        <v>479</v>
      </c>
      <c r="G295" t="s">
        <v>390</v>
      </c>
      <c r="H295" t="s">
        <v>391</v>
      </c>
      <c r="I295" t="s">
        <v>632</v>
      </c>
      <c r="J295" t="s">
        <v>398</v>
      </c>
      <c r="K295" t="s">
        <v>397</v>
      </c>
      <c r="L295" t="s">
        <v>623</v>
      </c>
      <c r="M295" t="s">
        <v>645</v>
      </c>
      <c r="N295" t="s">
        <v>643</v>
      </c>
      <c r="O295" t="s">
        <v>692</v>
      </c>
      <c r="P295" t="s">
        <v>612</v>
      </c>
      <c r="Q295">
        <v>1</v>
      </c>
      <c r="R295" t="s">
        <v>480</v>
      </c>
    </row>
    <row r="296" spans="1:18" x14ac:dyDescent="0.3">
      <c r="A296" t="s">
        <v>641</v>
      </c>
      <c r="B296" t="s">
        <v>704</v>
      </c>
      <c r="C296" t="s">
        <v>396</v>
      </c>
      <c r="D296" t="s">
        <v>612</v>
      </c>
      <c r="E296" t="s">
        <v>397</v>
      </c>
      <c r="F296" t="s">
        <v>479</v>
      </c>
      <c r="G296" t="s">
        <v>390</v>
      </c>
      <c r="H296" t="s">
        <v>391</v>
      </c>
      <c r="I296" t="s">
        <v>632</v>
      </c>
      <c r="J296" t="s">
        <v>398</v>
      </c>
      <c r="K296" t="s">
        <v>397</v>
      </c>
      <c r="L296" t="s">
        <v>623</v>
      </c>
      <c r="M296" t="s">
        <v>645</v>
      </c>
      <c r="N296" t="s">
        <v>643</v>
      </c>
      <c r="O296" t="s">
        <v>693</v>
      </c>
      <c r="P296" t="s">
        <v>612</v>
      </c>
      <c r="Q296">
        <v>1</v>
      </c>
      <c r="R296" t="s">
        <v>480</v>
      </c>
    </row>
    <row r="297" spans="1:18" x14ac:dyDescent="0.3">
      <c r="A297" t="s">
        <v>641</v>
      </c>
      <c r="B297" t="s">
        <v>779</v>
      </c>
      <c r="C297" t="s">
        <v>396</v>
      </c>
      <c r="D297" t="s">
        <v>612</v>
      </c>
      <c r="E297" t="s">
        <v>397</v>
      </c>
      <c r="F297" t="s">
        <v>479</v>
      </c>
      <c r="G297" t="s">
        <v>390</v>
      </c>
      <c r="H297" t="s">
        <v>391</v>
      </c>
      <c r="I297" t="s">
        <v>632</v>
      </c>
      <c r="J297" t="s">
        <v>398</v>
      </c>
      <c r="K297" t="s">
        <v>397</v>
      </c>
      <c r="L297" t="s">
        <v>623</v>
      </c>
      <c r="M297" t="s">
        <v>642</v>
      </c>
      <c r="N297" t="s">
        <v>643</v>
      </c>
      <c r="O297" t="s">
        <v>694</v>
      </c>
      <c r="P297" t="s">
        <v>612</v>
      </c>
      <c r="Q297">
        <v>1</v>
      </c>
      <c r="R297" t="s">
        <v>480</v>
      </c>
    </row>
    <row r="298" spans="1:18" x14ac:dyDescent="0.3">
      <c r="A298" t="s">
        <v>641</v>
      </c>
      <c r="B298" t="s">
        <v>779</v>
      </c>
      <c r="C298" t="s">
        <v>396</v>
      </c>
      <c r="D298" t="s">
        <v>612</v>
      </c>
      <c r="E298" t="s">
        <v>397</v>
      </c>
      <c r="F298" t="s">
        <v>479</v>
      </c>
      <c r="G298" t="s">
        <v>394</v>
      </c>
      <c r="H298" t="s">
        <v>419</v>
      </c>
      <c r="I298" t="s">
        <v>632</v>
      </c>
      <c r="J298" t="s">
        <v>398</v>
      </c>
      <c r="K298" t="s">
        <v>397</v>
      </c>
      <c r="L298" t="s">
        <v>623</v>
      </c>
      <c r="M298" t="s">
        <v>650</v>
      </c>
      <c r="N298" t="s">
        <v>643</v>
      </c>
      <c r="O298" t="s">
        <v>695</v>
      </c>
      <c r="P298" t="s">
        <v>612</v>
      </c>
      <c r="Q298">
        <v>1</v>
      </c>
      <c r="R298" t="s">
        <v>480</v>
      </c>
    </row>
    <row r="299" spans="1:18" x14ac:dyDescent="0.3">
      <c r="A299" t="s">
        <v>641</v>
      </c>
      <c r="B299" t="s">
        <v>779</v>
      </c>
      <c r="C299" t="s">
        <v>396</v>
      </c>
      <c r="D299" t="s">
        <v>612</v>
      </c>
      <c r="E299" t="s">
        <v>397</v>
      </c>
      <c r="F299" t="s">
        <v>479</v>
      </c>
      <c r="G299" t="s">
        <v>394</v>
      </c>
      <c r="H299" t="s">
        <v>419</v>
      </c>
      <c r="I299" t="s">
        <v>632</v>
      </c>
      <c r="J299" t="s">
        <v>398</v>
      </c>
      <c r="K299" t="s">
        <v>397</v>
      </c>
      <c r="L299" t="s">
        <v>623</v>
      </c>
      <c r="M299" t="s">
        <v>650</v>
      </c>
      <c r="N299" t="s">
        <v>643</v>
      </c>
      <c r="O299" t="s">
        <v>705</v>
      </c>
      <c r="P299" t="s">
        <v>612</v>
      </c>
      <c r="Q299">
        <v>1</v>
      </c>
      <c r="R299" t="s">
        <v>480</v>
      </c>
    </row>
    <row r="300" spans="1:18" x14ac:dyDescent="0.3">
      <c r="A300" t="s">
        <v>641</v>
      </c>
      <c r="B300" t="s">
        <v>779</v>
      </c>
      <c r="C300" t="s">
        <v>396</v>
      </c>
      <c r="D300" t="s">
        <v>612</v>
      </c>
      <c r="E300" t="s">
        <v>397</v>
      </c>
      <c r="F300" t="s">
        <v>479</v>
      </c>
      <c r="G300" t="s">
        <v>390</v>
      </c>
      <c r="H300" t="s">
        <v>391</v>
      </c>
      <c r="I300" t="s">
        <v>632</v>
      </c>
      <c r="J300" t="s">
        <v>398</v>
      </c>
      <c r="K300" t="s">
        <v>397</v>
      </c>
      <c r="L300" t="s">
        <v>623</v>
      </c>
      <c r="M300" t="s">
        <v>645</v>
      </c>
      <c r="N300" t="s">
        <v>643</v>
      </c>
      <c r="O300" t="s">
        <v>706</v>
      </c>
      <c r="P300" t="s">
        <v>612</v>
      </c>
      <c r="Q300">
        <v>1</v>
      </c>
      <c r="R300" t="s">
        <v>480</v>
      </c>
    </row>
    <row r="301" spans="1:18" x14ac:dyDescent="0.3">
      <c r="A301" t="s">
        <v>641</v>
      </c>
      <c r="B301" t="s">
        <v>779</v>
      </c>
      <c r="C301" t="s">
        <v>396</v>
      </c>
      <c r="D301" t="s">
        <v>612</v>
      </c>
      <c r="E301" t="s">
        <v>397</v>
      </c>
      <c r="F301" t="s">
        <v>479</v>
      </c>
      <c r="G301" t="s">
        <v>390</v>
      </c>
      <c r="H301" t="s">
        <v>391</v>
      </c>
      <c r="I301" t="s">
        <v>632</v>
      </c>
      <c r="J301" t="s">
        <v>398</v>
      </c>
      <c r="K301" t="s">
        <v>397</v>
      </c>
      <c r="L301" t="s">
        <v>623</v>
      </c>
      <c r="M301" t="s">
        <v>642</v>
      </c>
      <c r="N301" t="s">
        <v>643</v>
      </c>
      <c r="O301" t="s">
        <v>707</v>
      </c>
      <c r="P301" t="s">
        <v>612</v>
      </c>
      <c r="Q301">
        <v>1</v>
      </c>
      <c r="R301" t="s">
        <v>480</v>
      </c>
    </row>
    <row r="302" spans="1:18" x14ac:dyDescent="0.3">
      <c r="A302" t="s">
        <v>641</v>
      </c>
      <c r="B302" t="s">
        <v>779</v>
      </c>
      <c r="C302" t="s">
        <v>396</v>
      </c>
      <c r="D302" t="s">
        <v>612</v>
      </c>
      <c r="E302" t="s">
        <v>397</v>
      </c>
      <c r="F302" t="s">
        <v>479</v>
      </c>
      <c r="G302" t="s">
        <v>390</v>
      </c>
      <c r="H302" t="s">
        <v>391</v>
      </c>
      <c r="I302" t="s">
        <v>632</v>
      </c>
      <c r="J302" t="s">
        <v>398</v>
      </c>
      <c r="K302" t="s">
        <v>397</v>
      </c>
      <c r="L302" t="s">
        <v>623</v>
      </c>
      <c r="M302" t="s">
        <v>645</v>
      </c>
      <c r="N302" t="s">
        <v>643</v>
      </c>
      <c r="O302" t="s">
        <v>708</v>
      </c>
      <c r="P302" t="s">
        <v>612</v>
      </c>
      <c r="Q302">
        <v>1</v>
      </c>
      <c r="R302" t="s">
        <v>480</v>
      </c>
    </row>
    <row r="303" spans="1:18" x14ac:dyDescent="0.3">
      <c r="A303" t="s">
        <v>641</v>
      </c>
      <c r="B303" t="s">
        <v>779</v>
      </c>
      <c r="C303" t="s">
        <v>396</v>
      </c>
      <c r="D303" t="s">
        <v>612</v>
      </c>
      <c r="E303" t="s">
        <v>397</v>
      </c>
      <c r="F303" t="s">
        <v>479</v>
      </c>
      <c r="G303" t="s">
        <v>390</v>
      </c>
      <c r="H303" t="s">
        <v>391</v>
      </c>
      <c r="I303" t="s">
        <v>632</v>
      </c>
      <c r="J303" t="s">
        <v>398</v>
      </c>
      <c r="K303" t="s">
        <v>397</v>
      </c>
      <c r="L303" t="s">
        <v>623</v>
      </c>
      <c r="M303" t="s">
        <v>642</v>
      </c>
      <c r="N303" t="s">
        <v>643</v>
      </c>
      <c r="O303" t="s">
        <v>709</v>
      </c>
      <c r="P303" t="s">
        <v>612</v>
      </c>
      <c r="Q303">
        <v>1</v>
      </c>
      <c r="R303" t="s">
        <v>480</v>
      </c>
    </row>
    <row r="304" spans="1:18" x14ac:dyDescent="0.3">
      <c r="A304" t="s">
        <v>641</v>
      </c>
      <c r="B304" t="s">
        <v>779</v>
      </c>
      <c r="C304" t="s">
        <v>396</v>
      </c>
      <c r="D304" t="s">
        <v>612</v>
      </c>
      <c r="E304" t="s">
        <v>397</v>
      </c>
      <c r="F304" t="s">
        <v>479</v>
      </c>
      <c r="G304" t="s">
        <v>394</v>
      </c>
      <c r="H304" t="s">
        <v>419</v>
      </c>
      <c r="I304" t="s">
        <v>632</v>
      </c>
      <c r="J304" t="s">
        <v>398</v>
      </c>
      <c r="K304" t="s">
        <v>397</v>
      </c>
      <c r="L304" t="s">
        <v>623</v>
      </c>
      <c r="M304" t="s">
        <v>650</v>
      </c>
      <c r="N304" t="s">
        <v>643</v>
      </c>
      <c r="O304" t="s">
        <v>711</v>
      </c>
      <c r="P304" t="s">
        <v>612</v>
      </c>
      <c r="Q304">
        <v>1</v>
      </c>
      <c r="R304" t="s">
        <v>480</v>
      </c>
    </row>
    <row r="305" spans="1:18" x14ac:dyDescent="0.3">
      <c r="A305" t="s">
        <v>641</v>
      </c>
      <c r="B305" t="s">
        <v>779</v>
      </c>
      <c r="C305" t="s">
        <v>396</v>
      </c>
      <c r="D305" t="s">
        <v>612</v>
      </c>
      <c r="E305" t="s">
        <v>397</v>
      </c>
      <c r="F305" t="s">
        <v>479</v>
      </c>
      <c r="G305" t="s">
        <v>390</v>
      </c>
      <c r="H305" t="s">
        <v>391</v>
      </c>
      <c r="I305" t="s">
        <v>632</v>
      </c>
      <c r="J305" t="s">
        <v>398</v>
      </c>
      <c r="K305" t="s">
        <v>397</v>
      </c>
      <c r="L305" t="s">
        <v>623</v>
      </c>
      <c r="M305" t="s">
        <v>645</v>
      </c>
      <c r="N305" t="s">
        <v>643</v>
      </c>
      <c r="O305" t="s">
        <v>712</v>
      </c>
      <c r="P305" t="s">
        <v>612</v>
      </c>
      <c r="Q305">
        <v>1</v>
      </c>
      <c r="R305" t="s">
        <v>480</v>
      </c>
    </row>
    <row r="306" spans="1:18" x14ac:dyDescent="0.3">
      <c r="A306" t="s">
        <v>641</v>
      </c>
      <c r="B306" t="s">
        <v>779</v>
      </c>
      <c r="C306" t="s">
        <v>396</v>
      </c>
      <c r="D306" t="s">
        <v>612</v>
      </c>
      <c r="E306" t="s">
        <v>397</v>
      </c>
      <c r="F306" t="s">
        <v>479</v>
      </c>
      <c r="G306" t="s">
        <v>390</v>
      </c>
      <c r="H306" t="s">
        <v>391</v>
      </c>
      <c r="I306" t="s">
        <v>632</v>
      </c>
      <c r="J306" t="s">
        <v>398</v>
      </c>
      <c r="K306" t="s">
        <v>397</v>
      </c>
      <c r="L306" t="s">
        <v>623</v>
      </c>
      <c r="M306" t="s">
        <v>645</v>
      </c>
      <c r="N306" t="s">
        <v>643</v>
      </c>
      <c r="O306" t="s">
        <v>713</v>
      </c>
      <c r="P306" t="s">
        <v>612</v>
      </c>
      <c r="Q306">
        <v>1</v>
      </c>
      <c r="R306" t="s">
        <v>480</v>
      </c>
    </row>
    <row r="307" spans="1:18" x14ac:dyDescent="0.3">
      <c r="A307" t="s">
        <v>641</v>
      </c>
      <c r="B307" t="s">
        <v>779</v>
      </c>
      <c r="C307" t="s">
        <v>396</v>
      </c>
      <c r="D307" t="s">
        <v>612</v>
      </c>
      <c r="E307" t="s">
        <v>397</v>
      </c>
      <c r="F307" t="s">
        <v>479</v>
      </c>
      <c r="G307" t="s">
        <v>390</v>
      </c>
      <c r="H307" t="s">
        <v>391</v>
      </c>
      <c r="I307" t="s">
        <v>632</v>
      </c>
      <c r="J307" t="s">
        <v>398</v>
      </c>
      <c r="K307" t="s">
        <v>397</v>
      </c>
      <c r="L307" t="s">
        <v>623</v>
      </c>
      <c r="M307" t="s">
        <v>642</v>
      </c>
      <c r="N307" t="s">
        <v>643</v>
      </c>
      <c r="O307" t="s">
        <v>714</v>
      </c>
      <c r="P307" t="s">
        <v>612</v>
      </c>
      <c r="Q307">
        <v>1</v>
      </c>
      <c r="R307" t="s">
        <v>480</v>
      </c>
    </row>
    <row r="308" spans="1:18" x14ac:dyDescent="0.3">
      <c r="A308" t="s">
        <v>641</v>
      </c>
      <c r="B308" t="s">
        <v>779</v>
      </c>
      <c r="C308" t="s">
        <v>396</v>
      </c>
      <c r="D308" t="s">
        <v>612</v>
      </c>
      <c r="E308" t="s">
        <v>397</v>
      </c>
      <c r="F308" t="s">
        <v>479</v>
      </c>
      <c r="G308" t="s">
        <v>394</v>
      </c>
      <c r="H308" t="s">
        <v>419</v>
      </c>
      <c r="I308" t="s">
        <v>632</v>
      </c>
      <c r="J308" t="s">
        <v>398</v>
      </c>
      <c r="K308" t="s">
        <v>397</v>
      </c>
      <c r="L308" t="s">
        <v>623</v>
      </c>
      <c r="M308" t="s">
        <v>650</v>
      </c>
      <c r="N308" t="s">
        <v>643</v>
      </c>
      <c r="O308" t="s">
        <v>717</v>
      </c>
      <c r="P308" t="s">
        <v>612</v>
      </c>
      <c r="Q308">
        <v>1</v>
      </c>
      <c r="R308" t="s">
        <v>480</v>
      </c>
    </row>
    <row r="309" spans="1:18" x14ac:dyDescent="0.3">
      <c r="A309" t="s">
        <v>641</v>
      </c>
      <c r="B309" t="s">
        <v>779</v>
      </c>
      <c r="C309" t="s">
        <v>396</v>
      </c>
      <c r="D309" t="s">
        <v>612</v>
      </c>
      <c r="E309" t="s">
        <v>397</v>
      </c>
      <c r="F309" t="s">
        <v>479</v>
      </c>
      <c r="G309" t="s">
        <v>390</v>
      </c>
      <c r="H309" t="s">
        <v>391</v>
      </c>
      <c r="I309" t="s">
        <v>632</v>
      </c>
      <c r="J309" t="s">
        <v>398</v>
      </c>
      <c r="K309" t="s">
        <v>397</v>
      </c>
      <c r="L309" t="s">
        <v>623</v>
      </c>
      <c r="M309" t="s">
        <v>645</v>
      </c>
      <c r="N309" t="s">
        <v>643</v>
      </c>
      <c r="O309" t="s">
        <v>719</v>
      </c>
      <c r="P309" t="s">
        <v>612</v>
      </c>
      <c r="Q309">
        <v>1</v>
      </c>
      <c r="R309" t="s">
        <v>480</v>
      </c>
    </row>
    <row r="310" spans="1:18" x14ac:dyDescent="0.3">
      <c r="A310" t="s">
        <v>641</v>
      </c>
      <c r="B310" t="s">
        <v>780</v>
      </c>
      <c r="C310" t="s">
        <v>396</v>
      </c>
      <c r="D310" t="s">
        <v>612</v>
      </c>
      <c r="E310" t="s">
        <v>397</v>
      </c>
      <c r="F310" t="s">
        <v>479</v>
      </c>
      <c r="G310" t="s">
        <v>390</v>
      </c>
      <c r="H310" t="s">
        <v>391</v>
      </c>
      <c r="I310" t="s">
        <v>632</v>
      </c>
      <c r="J310" t="s">
        <v>398</v>
      </c>
      <c r="K310" t="s">
        <v>397</v>
      </c>
      <c r="L310" t="s">
        <v>623</v>
      </c>
      <c r="M310" t="s">
        <v>642</v>
      </c>
      <c r="N310" t="s">
        <v>643</v>
      </c>
      <c r="O310" t="s">
        <v>720</v>
      </c>
      <c r="P310" t="s">
        <v>612</v>
      </c>
      <c r="Q310">
        <v>1</v>
      </c>
      <c r="R310" t="s">
        <v>480</v>
      </c>
    </row>
    <row r="311" spans="1:18" x14ac:dyDescent="0.3">
      <c r="A311" t="s">
        <v>641</v>
      </c>
      <c r="B311" t="s">
        <v>780</v>
      </c>
      <c r="C311" t="s">
        <v>396</v>
      </c>
      <c r="D311" t="s">
        <v>612</v>
      </c>
      <c r="E311" t="s">
        <v>397</v>
      </c>
      <c r="F311" t="s">
        <v>479</v>
      </c>
      <c r="G311" t="s">
        <v>394</v>
      </c>
      <c r="H311" t="s">
        <v>419</v>
      </c>
      <c r="I311" t="s">
        <v>632</v>
      </c>
      <c r="J311" t="s">
        <v>398</v>
      </c>
      <c r="K311" t="s">
        <v>397</v>
      </c>
      <c r="L311" t="s">
        <v>623</v>
      </c>
      <c r="M311" t="s">
        <v>650</v>
      </c>
      <c r="N311" t="s">
        <v>643</v>
      </c>
      <c r="O311" t="s">
        <v>721</v>
      </c>
      <c r="P311" t="s">
        <v>612</v>
      </c>
      <c r="Q311">
        <v>1</v>
      </c>
      <c r="R311" t="s">
        <v>480</v>
      </c>
    </row>
    <row r="312" spans="1:18" x14ac:dyDescent="0.3">
      <c r="A312" t="s">
        <v>641</v>
      </c>
      <c r="B312" t="s">
        <v>780</v>
      </c>
      <c r="C312" t="s">
        <v>396</v>
      </c>
      <c r="D312" t="s">
        <v>612</v>
      </c>
      <c r="E312" t="s">
        <v>397</v>
      </c>
      <c r="F312" t="s">
        <v>479</v>
      </c>
      <c r="G312" t="s">
        <v>390</v>
      </c>
      <c r="H312" t="s">
        <v>391</v>
      </c>
      <c r="I312" t="s">
        <v>632</v>
      </c>
      <c r="J312" t="s">
        <v>398</v>
      </c>
      <c r="K312" t="s">
        <v>397</v>
      </c>
      <c r="L312" t="s">
        <v>623</v>
      </c>
      <c r="M312" t="s">
        <v>645</v>
      </c>
      <c r="N312" t="s">
        <v>643</v>
      </c>
      <c r="O312" t="s">
        <v>724</v>
      </c>
      <c r="P312" t="s">
        <v>612</v>
      </c>
      <c r="Q312">
        <v>1</v>
      </c>
      <c r="R312" t="s">
        <v>480</v>
      </c>
    </row>
    <row r="313" spans="1:18" x14ac:dyDescent="0.3">
      <c r="A313" t="s">
        <v>725</v>
      </c>
      <c r="B313" t="s">
        <v>780</v>
      </c>
      <c r="C313" t="s">
        <v>396</v>
      </c>
      <c r="D313" t="s">
        <v>612</v>
      </c>
      <c r="E313" t="s">
        <v>397</v>
      </c>
      <c r="F313" t="s">
        <v>479</v>
      </c>
      <c r="G313" t="s">
        <v>390</v>
      </c>
      <c r="H313" t="s">
        <v>391</v>
      </c>
      <c r="I313" t="s">
        <v>632</v>
      </c>
      <c r="J313" t="s">
        <v>398</v>
      </c>
      <c r="K313" t="s">
        <v>397</v>
      </c>
      <c r="L313" t="s">
        <v>623</v>
      </c>
      <c r="M313" t="s">
        <v>642</v>
      </c>
      <c r="N313" t="s">
        <v>643</v>
      </c>
      <c r="O313" t="s">
        <v>726</v>
      </c>
      <c r="P313" t="s">
        <v>612</v>
      </c>
      <c r="Q313">
        <v>1</v>
      </c>
      <c r="R313" t="s">
        <v>480</v>
      </c>
    </row>
    <row r="314" spans="1:18" x14ac:dyDescent="0.3">
      <c r="A314" t="s">
        <v>725</v>
      </c>
      <c r="B314" t="s">
        <v>780</v>
      </c>
      <c r="C314" t="s">
        <v>396</v>
      </c>
      <c r="D314" t="s">
        <v>612</v>
      </c>
      <c r="E314" t="s">
        <v>397</v>
      </c>
      <c r="F314" t="s">
        <v>479</v>
      </c>
      <c r="G314" t="s">
        <v>390</v>
      </c>
      <c r="H314" t="s">
        <v>391</v>
      </c>
      <c r="I314" t="s">
        <v>632</v>
      </c>
      <c r="J314" t="s">
        <v>398</v>
      </c>
      <c r="K314" t="s">
        <v>397</v>
      </c>
      <c r="L314" t="s">
        <v>623</v>
      </c>
      <c r="M314" t="s">
        <v>645</v>
      </c>
      <c r="N314" t="s">
        <v>643</v>
      </c>
      <c r="O314" t="s">
        <v>727</v>
      </c>
      <c r="P314" t="s">
        <v>612</v>
      </c>
      <c r="Q314">
        <v>1</v>
      </c>
      <c r="R314" t="s">
        <v>480</v>
      </c>
    </row>
    <row r="315" spans="1:18" x14ac:dyDescent="0.3">
      <c r="A315" t="s">
        <v>725</v>
      </c>
      <c r="B315" t="s">
        <v>780</v>
      </c>
      <c r="C315" t="s">
        <v>396</v>
      </c>
      <c r="D315" t="s">
        <v>612</v>
      </c>
      <c r="E315" t="s">
        <v>397</v>
      </c>
      <c r="F315" t="s">
        <v>479</v>
      </c>
      <c r="G315" t="s">
        <v>390</v>
      </c>
      <c r="H315" t="s">
        <v>391</v>
      </c>
      <c r="I315" t="s">
        <v>632</v>
      </c>
      <c r="J315" t="s">
        <v>398</v>
      </c>
      <c r="K315" t="s">
        <v>397</v>
      </c>
      <c r="L315" t="s">
        <v>623</v>
      </c>
      <c r="M315" t="s">
        <v>645</v>
      </c>
      <c r="N315" t="s">
        <v>643</v>
      </c>
      <c r="O315" t="s">
        <v>728</v>
      </c>
      <c r="P315" t="s">
        <v>612</v>
      </c>
      <c r="Q315">
        <v>1</v>
      </c>
      <c r="R315" t="s">
        <v>480</v>
      </c>
    </row>
    <row r="316" spans="1:18" x14ac:dyDescent="0.3">
      <c r="A316" t="s">
        <v>725</v>
      </c>
      <c r="B316" t="s">
        <v>780</v>
      </c>
      <c r="C316" t="s">
        <v>396</v>
      </c>
      <c r="D316" t="s">
        <v>612</v>
      </c>
      <c r="E316" t="s">
        <v>397</v>
      </c>
      <c r="F316" t="s">
        <v>479</v>
      </c>
      <c r="G316" t="s">
        <v>390</v>
      </c>
      <c r="H316" t="s">
        <v>391</v>
      </c>
      <c r="I316" t="s">
        <v>632</v>
      </c>
      <c r="J316" t="s">
        <v>398</v>
      </c>
      <c r="K316" t="s">
        <v>397</v>
      </c>
      <c r="L316" t="s">
        <v>623</v>
      </c>
      <c r="M316" t="s">
        <v>642</v>
      </c>
      <c r="N316" t="s">
        <v>643</v>
      </c>
      <c r="O316" t="s">
        <v>729</v>
      </c>
      <c r="P316" t="s">
        <v>612</v>
      </c>
      <c r="Q316">
        <v>1</v>
      </c>
      <c r="R316" t="s">
        <v>480</v>
      </c>
    </row>
    <row r="317" spans="1:18" x14ac:dyDescent="0.3">
      <c r="A317" t="s">
        <v>725</v>
      </c>
      <c r="B317" t="s">
        <v>780</v>
      </c>
      <c r="C317" t="s">
        <v>396</v>
      </c>
      <c r="D317" t="s">
        <v>612</v>
      </c>
      <c r="E317" t="s">
        <v>397</v>
      </c>
      <c r="F317" t="s">
        <v>479</v>
      </c>
      <c r="G317" t="s">
        <v>394</v>
      </c>
      <c r="H317" t="s">
        <v>419</v>
      </c>
      <c r="I317" t="s">
        <v>632</v>
      </c>
      <c r="J317" t="s">
        <v>398</v>
      </c>
      <c r="K317" t="s">
        <v>397</v>
      </c>
      <c r="L317" t="s">
        <v>623</v>
      </c>
      <c r="M317" t="s">
        <v>650</v>
      </c>
      <c r="N317" t="s">
        <v>643</v>
      </c>
      <c r="O317" t="s">
        <v>732</v>
      </c>
      <c r="P317" t="s">
        <v>612</v>
      </c>
      <c r="Q317">
        <v>1</v>
      </c>
      <c r="R317" t="s">
        <v>480</v>
      </c>
    </row>
    <row r="318" spans="1:18" x14ac:dyDescent="0.3">
      <c r="A318" t="s">
        <v>725</v>
      </c>
      <c r="B318" t="s">
        <v>780</v>
      </c>
      <c r="C318" t="s">
        <v>396</v>
      </c>
      <c r="D318" t="s">
        <v>612</v>
      </c>
      <c r="E318" t="s">
        <v>397</v>
      </c>
      <c r="F318" t="s">
        <v>479</v>
      </c>
      <c r="G318" t="s">
        <v>394</v>
      </c>
      <c r="H318" t="s">
        <v>419</v>
      </c>
      <c r="I318" t="s">
        <v>632</v>
      </c>
      <c r="J318" t="s">
        <v>398</v>
      </c>
      <c r="K318" t="s">
        <v>397</v>
      </c>
      <c r="L318" t="s">
        <v>623</v>
      </c>
      <c r="M318" t="s">
        <v>650</v>
      </c>
      <c r="N318" t="s">
        <v>643</v>
      </c>
      <c r="O318" t="s">
        <v>737</v>
      </c>
      <c r="P318" t="s">
        <v>612</v>
      </c>
      <c r="Q318">
        <v>1</v>
      </c>
      <c r="R318" t="s">
        <v>480</v>
      </c>
    </row>
    <row r="319" spans="1:18" x14ac:dyDescent="0.3">
      <c r="A319" t="s">
        <v>725</v>
      </c>
      <c r="B319" t="s">
        <v>780</v>
      </c>
      <c r="C319" t="s">
        <v>396</v>
      </c>
      <c r="D319" t="s">
        <v>612</v>
      </c>
      <c r="E319" t="s">
        <v>397</v>
      </c>
      <c r="F319" t="s">
        <v>479</v>
      </c>
      <c r="G319" t="s">
        <v>390</v>
      </c>
      <c r="H319" t="s">
        <v>391</v>
      </c>
      <c r="I319" t="s">
        <v>632</v>
      </c>
      <c r="J319" t="s">
        <v>398</v>
      </c>
      <c r="K319" t="s">
        <v>397</v>
      </c>
      <c r="L319" t="s">
        <v>623</v>
      </c>
      <c r="M319" t="s">
        <v>645</v>
      </c>
      <c r="N319" t="s">
        <v>643</v>
      </c>
      <c r="O319" t="s">
        <v>738</v>
      </c>
      <c r="P319" t="s">
        <v>612</v>
      </c>
      <c r="Q319">
        <v>1</v>
      </c>
      <c r="R319" t="s">
        <v>480</v>
      </c>
    </row>
    <row r="320" spans="1:18" x14ac:dyDescent="0.3">
      <c r="A320" t="s">
        <v>725</v>
      </c>
      <c r="B320" t="s">
        <v>813</v>
      </c>
      <c r="C320" t="s">
        <v>396</v>
      </c>
      <c r="D320" t="s">
        <v>612</v>
      </c>
      <c r="E320" t="s">
        <v>397</v>
      </c>
      <c r="F320" t="s">
        <v>479</v>
      </c>
      <c r="G320" t="s">
        <v>390</v>
      </c>
      <c r="H320" t="s">
        <v>391</v>
      </c>
      <c r="I320" t="s">
        <v>632</v>
      </c>
      <c r="J320" t="s">
        <v>398</v>
      </c>
      <c r="K320" t="s">
        <v>397</v>
      </c>
      <c r="L320" t="s">
        <v>623</v>
      </c>
      <c r="M320" t="s">
        <v>642</v>
      </c>
      <c r="N320" t="s">
        <v>643</v>
      </c>
      <c r="O320" t="s">
        <v>741</v>
      </c>
      <c r="P320" t="s">
        <v>612</v>
      </c>
      <c r="Q320">
        <v>1</v>
      </c>
      <c r="R320" t="s">
        <v>480</v>
      </c>
    </row>
    <row r="321" spans="1:18" x14ac:dyDescent="0.3">
      <c r="A321" t="s">
        <v>725</v>
      </c>
      <c r="B321" t="s">
        <v>813</v>
      </c>
      <c r="C321" t="s">
        <v>396</v>
      </c>
      <c r="D321" t="s">
        <v>612</v>
      </c>
      <c r="E321" t="s">
        <v>397</v>
      </c>
      <c r="F321" t="s">
        <v>479</v>
      </c>
      <c r="G321" t="s">
        <v>390</v>
      </c>
      <c r="H321" t="s">
        <v>391</v>
      </c>
      <c r="I321" t="s">
        <v>632</v>
      </c>
      <c r="J321" t="s">
        <v>398</v>
      </c>
      <c r="K321" t="s">
        <v>397</v>
      </c>
      <c r="L321" t="s">
        <v>623</v>
      </c>
      <c r="M321" t="s">
        <v>645</v>
      </c>
      <c r="N321" t="s">
        <v>643</v>
      </c>
      <c r="O321" t="s">
        <v>742</v>
      </c>
      <c r="P321" t="s">
        <v>612</v>
      </c>
      <c r="Q321">
        <v>1</v>
      </c>
      <c r="R321" t="s">
        <v>480</v>
      </c>
    </row>
    <row r="322" spans="1:18" x14ac:dyDescent="0.3">
      <c r="A322" t="s">
        <v>725</v>
      </c>
      <c r="B322" t="s">
        <v>813</v>
      </c>
      <c r="C322" t="s">
        <v>396</v>
      </c>
      <c r="D322" t="s">
        <v>612</v>
      </c>
      <c r="E322" t="s">
        <v>397</v>
      </c>
      <c r="F322" t="s">
        <v>479</v>
      </c>
      <c r="G322" t="s">
        <v>390</v>
      </c>
      <c r="H322" t="s">
        <v>391</v>
      </c>
      <c r="I322" t="s">
        <v>632</v>
      </c>
      <c r="J322" t="s">
        <v>398</v>
      </c>
      <c r="K322" t="s">
        <v>397</v>
      </c>
      <c r="L322" t="s">
        <v>623</v>
      </c>
      <c r="M322" t="s">
        <v>642</v>
      </c>
      <c r="N322" t="s">
        <v>643</v>
      </c>
      <c r="O322" t="s">
        <v>743</v>
      </c>
      <c r="P322" t="s">
        <v>612</v>
      </c>
      <c r="Q322">
        <v>1</v>
      </c>
      <c r="R322" t="s">
        <v>480</v>
      </c>
    </row>
    <row r="323" spans="1:18" x14ac:dyDescent="0.3">
      <c r="A323" t="s">
        <v>641</v>
      </c>
      <c r="B323" t="s">
        <v>813</v>
      </c>
      <c r="C323" t="s">
        <v>396</v>
      </c>
      <c r="D323" t="s">
        <v>612</v>
      </c>
      <c r="E323" t="s">
        <v>397</v>
      </c>
      <c r="F323" t="s">
        <v>479</v>
      </c>
      <c r="G323" t="s">
        <v>394</v>
      </c>
      <c r="H323" t="s">
        <v>419</v>
      </c>
      <c r="I323" t="s">
        <v>632</v>
      </c>
      <c r="J323" t="s">
        <v>398</v>
      </c>
      <c r="K323" t="s">
        <v>397</v>
      </c>
      <c r="L323" t="s">
        <v>623</v>
      </c>
      <c r="M323" t="s">
        <v>696</v>
      </c>
      <c r="N323" t="s">
        <v>643</v>
      </c>
      <c r="O323" t="s">
        <v>744</v>
      </c>
      <c r="P323" t="s">
        <v>612</v>
      </c>
      <c r="Q323">
        <v>1</v>
      </c>
      <c r="R323" t="s">
        <v>480</v>
      </c>
    </row>
    <row r="324" spans="1:18" x14ac:dyDescent="0.3">
      <c r="A324" t="s">
        <v>725</v>
      </c>
      <c r="B324" t="s">
        <v>813</v>
      </c>
      <c r="C324" t="s">
        <v>396</v>
      </c>
      <c r="D324" t="s">
        <v>612</v>
      </c>
      <c r="E324" t="s">
        <v>397</v>
      </c>
      <c r="F324" t="s">
        <v>479</v>
      </c>
      <c r="G324" t="s">
        <v>390</v>
      </c>
      <c r="H324" t="s">
        <v>391</v>
      </c>
      <c r="I324" t="s">
        <v>632</v>
      </c>
      <c r="J324" t="s">
        <v>398</v>
      </c>
      <c r="K324" t="s">
        <v>397</v>
      </c>
      <c r="L324" t="s">
        <v>623</v>
      </c>
      <c r="M324" t="s">
        <v>645</v>
      </c>
      <c r="N324" t="s">
        <v>643</v>
      </c>
      <c r="O324" t="s">
        <v>748</v>
      </c>
      <c r="P324" t="s">
        <v>612</v>
      </c>
      <c r="Q324">
        <v>1</v>
      </c>
      <c r="R324" t="s">
        <v>480</v>
      </c>
    </row>
    <row r="325" spans="1:18" x14ac:dyDescent="0.3">
      <c r="A325" t="s">
        <v>725</v>
      </c>
      <c r="B325" t="s">
        <v>813</v>
      </c>
      <c r="C325" t="s">
        <v>396</v>
      </c>
      <c r="D325" t="s">
        <v>612</v>
      </c>
      <c r="E325" t="s">
        <v>397</v>
      </c>
      <c r="F325" t="s">
        <v>479</v>
      </c>
      <c r="G325" t="s">
        <v>390</v>
      </c>
      <c r="H325" t="s">
        <v>391</v>
      </c>
      <c r="I325" t="s">
        <v>632</v>
      </c>
      <c r="J325" t="s">
        <v>398</v>
      </c>
      <c r="K325" t="s">
        <v>397</v>
      </c>
      <c r="L325" t="s">
        <v>623</v>
      </c>
      <c r="M325" t="s">
        <v>645</v>
      </c>
      <c r="N325" t="s">
        <v>643</v>
      </c>
      <c r="O325" t="s">
        <v>749</v>
      </c>
      <c r="P325" t="s">
        <v>612</v>
      </c>
      <c r="Q325">
        <v>1</v>
      </c>
      <c r="R325" t="s">
        <v>480</v>
      </c>
    </row>
    <row r="326" spans="1:18" x14ac:dyDescent="0.3">
      <c r="A326" t="s">
        <v>725</v>
      </c>
      <c r="B326" t="s">
        <v>813</v>
      </c>
      <c r="C326" t="s">
        <v>396</v>
      </c>
      <c r="D326" t="s">
        <v>612</v>
      </c>
      <c r="E326" t="s">
        <v>397</v>
      </c>
      <c r="F326" t="s">
        <v>479</v>
      </c>
      <c r="G326" t="s">
        <v>394</v>
      </c>
      <c r="H326" t="s">
        <v>419</v>
      </c>
      <c r="I326" t="s">
        <v>632</v>
      </c>
      <c r="J326" t="s">
        <v>398</v>
      </c>
      <c r="K326" t="s">
        <v>397</v>
      </c>
      <c r="L326" t="s">
        <v>623</v>
      </c>
      <c r="M326" t="s">
        <v>650</v>
      </c>
      <c r="N326" t="s">
        <v>643</v>
      </c>
      <c r="O326" t="s">
        <v>750</v>
      </c>
      <c r="P326" t="s">
        <v>612</v>
      </c>
      <c r="Q326">
        <v>1</v>
      </c>
      <c r="R326" t="s">
        <v>480</v>
      </c>
    </row>
    <row r="327" spans="1:18" x14ac:dyDescent="0.3">
      <c r="A327" t="s">
        <v>725</v>
      </c>
      <c r="B327" t="s">
        <v>813</v>
      </c>
      <c r="C327" t="s">
        <v>396</v>
      </c>
      <c r="D327" t="s">
        <v>612</v>
      </c>
      <c r="E327" t="s">
        <v>397</v>
      </c>
      <c r="F327" t="s">
        <v>479</v>
      </c>
      <c r="G327" t="s">
        <v>390</v>
      </c>
      <c r="H327" t="s">
        <v>391</v>
      </c>
      <c r="I327" t="s">
        <v>632</v>
      </c>
      <c r="J327" t="s">
        <v>398</v>
      </c>
      <c r="K327" t="s">
        <v>397</v>
      </c>
      <c r="L327" t="s">
        <v>623</v>
      </c>
      <c r="M327" t="s">
        <v>642</v>
      </c>
      <c r="N327" t="s">
        <v>643</v>
      </c>
      <c r="O327" t="s">
        <v>751</v>
      </c>
      <c r="P327" t="s">
        <v>612</v>
      </c>
      <c r="Q327">
        <v>1</v>
      </c>
      <c r="R327" t="s">
        <v>480</v>
      </c>
    </row>
    <row r="328" spans="1:18" x14ac:dyDescent="0.3">
      <c r="A328" t="s">
        <v>725</v>
      </c>
      <c r="B328" t="s">
        <v>813</v>
      </c>
      <c r="C328" t="s">
        <v>396</v>
      </c>
      <c r="D328" t="s">
        <v>612</v>
      </c>
      <c r="E328" t="s">
        <v>397</v>
      </c>
      <c r="F328" t="s">
        <v>479</v>
      </c>
      <c r="G328" t="s">
        <v>390</v>
      </c>
      <c r="H328" t="s">
        <v>391</v>
      </c>
      <c r="I328" t="s">
        <v>632</v>
      </c>
      <c r="J328" t="s">
        <v>398</v>
      </c>
      <c r="K328" t="s">
        <v>397</v>
      </c>
      <c r="L328" t="s">
        <v>623</v>
      </c>
      <c r="M328" t="s">
        <v>645</v>
      </c>
      <c r="N328" t="s">
        <v>643</v>
      </c>
      <c r="O328" t="s">
        <v>752</v>
      </c>
      <c r="P328" t="s">
        <v>612</v>
      </c>
      <c r="Q328">
        <v>1</v>
      </c>
      <c r="R328" t="s">
        <v>480</v>
      </c>
    </row>
    <row r="329" spans="1:18" x14ac:dyDescent="0.3">
      <c r="A329" t="s">
        <v>725</v>
      </c>
      <c r="B329" t="s">
        <v>813</v>
      </c>
      <c r="C329" t="s">
        <v>396</v>
      </c>
      <c r="D329" t="s">
        <v>612</v>
      </c>
      <c r="E329" t="s">
        <v>397</v>
      </c>
      <c r="F329" t="s">
        <v>479</v>
      </c>
      <c r="G329" t="s">
        <v>390</v>
      </c>
      <c r="H329" t="s">
        <v>391</v>
      </c>
      <c r="I329" t="s">
        <v>632</v>
      </c>
      <c r="J329" t="s">
        <v>398</v>
      </c>
      <c r="K329" t="s">
        <v>397</v>
      </c>
      <c r="L329" t="s">
        <v>623</v>
      </c>
      <c r="M329" t="s">
        <v>645</v>
      </c>
      <c r="N329" t="s">
        <v>643</v>
      </c>
      <c r="O329" t="s">
        <v>757</v>
      </c>
      <c r="P329" t="s">
        <v>612</v>
      </c>
      <c r="Q329">
        <v>1</v>
      </c>
      <c r="R329" t="s">
        <v>480</v>
      </c>
    </row>
    <row r="330" spans="1:18" x14ac:dyDescent="0.3">
      <c r="A330" t="s">
        <v>725</v>
      </c>
      <c r="B330" t="s">
        <v>813</v>
      </c>
      <c r="C330" t="s">
        <v>396</v>
      </c>
      <c r="D330" t="s">
        <v>612</v>
      </c>
      <c r="E330" t="s">
        <v>397</v>
      </c>
      <c r="F330" t="s">
        <v>479</v>
      </c>
      <c r="G330" t="s">
        <v>390</v>
      </c>
      <c r="H330" t="s">
        <v>391</v>
      </c>
      <c r="I330" t="s">
        <v>632</v>
      </c>
      <c r="J330" t="s">
        <v>398</v>
      </c>
      <c r="K330" t="s">
        <v>397</v>
      </c>
      <c r="L330" t="s">
        <v>623</v>
      </c>
      <c r="M330" t="s">
        <v>642</v>
      </c>
      <c r="N330" t="s">
        <v>643</v>
      </c>
      <c r="O330" t="s">
        <v>758</v>
      </c>
      <c r="P330" t="s">
        <v>612</v>
      </c>
      <c r="Q330">
        <v>1</v>
      </c>
      <c r="R330" t="s">
        <v>480</v>
      </c>
    </row>
    <row r="331" spans="1:18" x14ac:dyDescent="0.3">
      <c r="A331" t="s">
        <v>725</v>
      </c>
      <c r="B331" t="s">
        <v>813</v>
      </c>
      <c r="C331" t="s">
        <v>396</v>
      </c>
      <c r="D331" t="s">
        <v>612</v>
      </c>
      <c r="E331" t="s">
        <v>397</v>
      </c>
      <c r="F331" t="s">
        <v>479</v>
      </c>
      <c r="G331" t="s">
        <v>390</v>
      </c>
      <c r="H331" t="s">
        <v>391</v>
      </c>
      <c r="I331" t="s">
        <v>632</v>
      </c>
      <c r="J331" t="s">
        <v>398</v>
      </c>
      <c r="K331" t="s">
        <v>397</v>
      </c>
      <c r="L331" t="s">
        <v>623</v>
      </c>
      <c r="M331" t="s">
        <v>645</v>
      </c>
      <c r="N331" t="s">
        <v>643</v>
      </c>
      <c r="O331" t="s">
        <v>760</v>
      </c>
      <c r="P331" t="s">
        <v>612</v>
      </c>
      <c r="Q331">
        <v>1</v>
      </c>
      <c r="R331" t="s">
        <v>480</v>
      </c>
    </row>
    <row r="332" spans="1:18" x14ac:dyDescent="0.3">
      <c r="A332" t="s">
        <v>725</v>
      </c>
      <c r="B332" t="s">
        <v>780</v>
      </c>
      <c r="C332" t="s">
        <v>396</v>
      </c>
      <c r="D332" t="s">
        <v>612</v>
      </c>
      <c r="E332" t="s">
        <v>397</v>
      </c>
      <c r="F332" t="s">
        <v>479</v>
      </c>
      <c r="G332" t="s">
        <v>390</v>
      </c>
      <c r="H332" t="s">
        <v>391</v>
      </c>
      <c r="I332" t="s">
        <v>761</v>
      </c>
      <c r="J332" t="s">
        <v>398</v>
      </c>
      <c r="K332" t="s">
        <v>397</v>
      </c>
      <c r="L332" t="s">
        <v>623</v>
      </c>
      <c r="M332" t="s">
        <v>645</v>
      </c>
      <c r="N332" t="s">
        <v>643</v>
      </c>
      <c r="O332" t="s">
        <v>781</v>
      </c>
      <c r="P332" t="s">
        <v>612</v>
      </c>
      <c r="Q332">
        <v>1</v>
      </c>
      <c r="R332" t="s">
        <v>480</v>
      </c>
    </row>
    <row r="333" spans="1:18" x14ac:dyDescent="0.3">
      <c r="A333" t="s">
        <v>725</v>
      </c>
      <c r="B333" t="s">
        <v>780</v>
      </c>
      <c r="C333" t="s">
        <v>396</v>
      </c>
      <c r="D333" t="s">
        <v>612</v>
      </c>
      <c r="E333" t="s">
        <v>397</v>
      </c>
      <c r="F333" t="s">
        <v>479</v>
      </c>
      <c r="G333" t="s">
        <v>390</v>
      </c>
      <c r="H333" t="s">
        <v>391</v>
      </c>
      <c r="I333" t="s">
        <v>761</v>
      </c>
      <c r="J333" t="s">
        <v>398</v>
      </c>
      <c r="K333" t="s">
        <v>397</v>
      </c>
      <c r="L333" t="s">
        <v>623</v>
      </c>
      <c r="M333" t="s">
        <v>645</v>
      </c>
      <c r="N333" t="s">
        <v>643</v>
      </c>
      <c r="O333" t="s">
        <v>782</v>
      </c>
      <c r="P333" t="s">
        <v>612</v>
      </c>
      <c r="Q333">
        <v>1</v>
      </c>
      <c r="R333" t="s">
        <v>480</v>
      </c>
    </row>
    <row r="334" spans="1:18" x14ac:dyDescent="0.3">
      <c r="A334" t="s">
        <v>725</v>
      </c>
      <c r="B334" t="s">
        <v>780</v>
      </c>
      <c r="C334" t="s">
        <v>396</v>
      </c>
      <c r="D334" t="s">
        <v>612</v>
      </c>
      <c r="E334" t="s">
        <v>397</v>
      </c>
      <c r="F334" t="s">
        <v>479</v>
      </c>
      <c r="G334" t="s">
        <v>390</v>
      </c>
      <c r="H334" t="s">
        <v>391</v>
      </c>
      <c r="I334" t="s">
        <v>761</v>
      </c>
      <c r="J334" t="s">
        <v>398</v>
      </c>
      <c r="K334" t="s">
        <v>397</v>
      </c>
      <c r="L334" t="s">
        <v>623</v>
      </c>
      <c r="M334" t="s">
        <v>642</v>
      </c>
      <c r="N334" t="s">
        <v>643</v>
      </c>
      <c r="O334" t="s">
        <v>783</v>
      </c>
      <c r="P334" t="s">
        <v>612</v>
      </c>
      <c r="Q334">
        <v>1</v>
      </c>
      <c r="R334" t="s">
        <v>480</v>
      </c>
    </row>
    <row r="335" spans="1:18" x14ac:dyDescent="0.3">
      <c r="A335" t="s">
        <v>725</v>
      </c>
      <c r="B335" t="s">
        <v>780</v>
      </c>
      <c r="C335" t="s">
        <v>396</v>
      </c>
      <c r="D335" t="s">
        <v>612</v>
      </c>
      <c r="E335" t="s">
        <v>397</v>
      </c>
      <c r="F335" t="s">
        <v>479</v>
      </c>
      <c r="G335" t="s">
        <v>394</v>
      </c>
      <c r="H335" t="s">
        <v>419</v>
      </c>
      <c r="I335" t="s">
        <v>761</v>
      </c>
      <c r="J335" t="s">
        <v>398</v>
      </c>
      <c r="K335" t="s">
        <v>397</v>
      </c>
      <c r="L335" t="s">
        <v>623</v>
      </c>
      <c r="M335" t="s">
        <v>650</v>
      </c>
      <c r="N335" t="s">
        <v>643</v>
      </c>
      <c r="O335" t="s">
        <v>784</v>
      </c>
      <c r="P335" t="s">
        <v>612</v>
      </c>
      <c r="Q335">
        <v>1</v>
      </c>
      <c r="R335" t="s">
        <v>480</v>
      </c>
    </row>
    <row r="336" spans="1:18" x14ac:dyDescent="0.3">
      <c r="A336" t="s">
        <v>725</v>
      </c>
      <c r="B336" t="s">
        <v>814</v>
      </c>
      <c r="C336" t="s">
        <v>396</v>
      </c>
      <c r="D336" t="s">
        <v>612</v>
      </c>
      <c r="E336" t="s">
        <v>397</v>
      </c>
      <c r="F336" t="s">
        <v>479</v>
      </c>
      <c r="G336" t="s">
        <v>390</v>
      </c>
      <c r="H336" t="s">
        <v>391</v>
      </c>
      <c r="I336" t="s">
        <v>761</v>
      </c>
      <c r="J336" t="s">
        <v>398</v>
      </c>
      <c r="K336" t="s">
        <v>397</v>
      </c>
      <c r="L336" t="s">
        <v>623</v>
      </c>
      <c r="M336" t="s">
        <v>642</v>
      </c>
      <c r="N336" t="s">
        <v>643</v>
      </c>
      <c r="O336" t="s">
        <v>785</v>
      </c>
      <c r="P336" t="s">
        <v>612</v>
      </c>
      <c r="Q336">
        <v>1</v>
      </c>
      <c r="R336" t="s">
        <v>480</v>
      </c>
    </row>
    <row r="337" spans="1:18" x14ac:dyDescent="0.3">
      <c r="A337" t="s">
        <v>725</v>
      </c>
      <c r="B337" t="s">
        <v>814</v>
      </c>
      <c r="C337" t="s">
        <v>396</v>
      </c>
      <c r="D337" t="s">
        <v>612</v>
      </c>
      <c r="E337" t="s">
        <v>397</v>
      </c>
      <c r="F337" t="s">
        <v>479</v>
      </c>
      <c r="G337" t="s">
        <v>390</v>
      </c>
      <c r="H337" t="s">
        <v>391</v>
      </c>
      <c r="I337" t="s">
        <v>761</v>
      </c>
      <c r="J337" t="s">
        <v>398</v>
      </c>
      <c r="K337" t="s">
        <v>397</v>
      </c>
      <c r="L337" t="s">
        <v>623</v>
      </c>
      <c r="M337" t="s">
        <v>645</v>
      </c>
      <c r="N337" t="s">
        <v>643</v>
      </c>
      <c r="O337" t="s">
        <v>786</v>
      </c>
      <c r="P337" t="s">
        <v>612</v>
      </c>
      <c r="Q337">
        <v>1</v>
      </c>
      <c r="R337" t="s">
        <v>480</v>
      </c>
    </row>
    <row r="338" spans="1:18" x14ac:dyDescent="0.3">
      <c r="A338" t="s">
        <v>725</v>
      </c>
      <c r="B338" t="s">
        <v>814</v>
      </c>
      <c r="C338" t="s">
        <v>396</v>
      </c>
      <c r="D338" t="s">
        <v>612</v>
      </c>
      <c r="E338" t="s">
        <v>397</v>
      </c>
      <c r="F338" t="s">
        <v>479</v>
      </c>
      <c r="G338" t="s">
        <v>390</v>
      </c>
      <c r="H338" t="s">
        <v>391</v>
      </c>
      <c r="I338" t="s">
        <v>761</v>
      </c>
      <c r="J338" t="s">
        <v>398</v>
      </c>
      <c r="K338" t="s">
        <v>397</v>
      </c>
      <c r="L338" t="s">
        <v>623</v>
      </c>
      <c r="M338" t="s">
        <v>645</v>
      </c>
      <c r="N338" t="s">
        <v>643</v>
      </c>
      <c r="O338" t="s">
        <v>787</v>
      </c>
      <c r="P338" t="s">
        <v>612</v>
      </c>
      <c r="Q338">
        <v>1</v>
      </c>
      <c r="R338" t="s">
        <v>480</v>
      </c>
    </row>
    <row r="339" spans="1:18" x14ac:dyDescent="0.3">
      <c r="A339" t="s">
        <v>725</v>
      </c>
      <c r="B339" t="s">
        <v>814</v>
      </c>
      <c r="C339" t="s">
        <v>396</v>
      </c>
      <c r="D339" t="s">
        <v>612</v>
      </c>
      <c r="E339" t="s">
        <v>397</v>
      </c>
      <c r="F339" t="s">
        <v>479</v>
      </c>
      <c r="G339" t="s">
        <v>390</v>
      </c>
      <c r="H339" t="s">
        <v>391</v>
      </c>
      <c r="I339" t="s">
        <v>761</v>
      </c>
      <c r="J339" t="s">
        <v>398</v>
      </c>
      <c r="K339" t="s">
        <v>397</v>
      </c>
      <c r="L339" t="s">
        <v>623</v>
      </c>
      <c r="M339" t="s">
        <v>642</v>
      </c>
      <c r="N339" t="s">
        <v>643</v>
      </c>
      <c r="O339" t="s">
        <v>788</v>
      </c>
      <c r="P339" t="s">
        <v>612</v>
      </c>
      <c r="Q339">
        <v>1</v>
      </c>
      <c r="R339" t="s">
        <v>480</v>
      </c>
    </row>
    <row r="340" spans="1:18" x14ac:dyDescent="0.3">
      <c r="A340" t="s">
        <v>725</v>
      </c>
      <c r="B340" t="s">
        <v>814</v>
      </c>
      <c r="C340" t="s">
        <v>396</v>
      </c>
      <c r="D340" t="s">
        <v>612</v>
      </c>
      <c r="E340" t="s">
        <v>397</v>
      </c>
      <c r="F340" t="s">
        <v>479</v>
      </c>
      <c r="G340" t="s">
        <v>390</v>
      </c>
      <c r="H340" t="s">
        <v>391</v>
      </c>
      <c r="I340" t="s">
        <v>761</v>
      </c>
      <c r="J340" t="s">
        <v>398</v>
      </c>
      <c r="K340" t="s">
        <v>397</v>
      </c>
      <c r="L340" t="s">
        <v>623</v>
      </c>
      <c r="M340" t="s">
        <v>645</v>
      </c>
      <c r="N340" t="s">
        <v>643</v>
      </c>
      <c r="O340" t="s">
        <v>794</v>
      </c>
      <c r="P340" t="s">
        <v>612</v>
      </c>
      <c r="Q340">
        <v>1</v>
      </c>
      <c r="R340" t="s">
        <v>480</v>
      </c>
    </row>
    <row r="341" spans="1:18" x14ac:dyDescent="0.3">
      <c r="A341" t="s">
        <v>725</v>
      </c>
      <c r="B341" t="s">
        <v>814</v>
      </c>
      <c r="C341" t="s">
        <v>396</v>
      </c>
      <c r="D341" t="s">
        <v>612</v>
      </c>
      <c r="E341" t="s">
        <v>397</v>
      </c>
      <c r="F341" t="s">
        <v>479</v>
      </c>
      <c r="G341" t="s">
        <v>390</v>
      </c>
      <c r="H341" t="s">
        <v>391</v>
      </c>
      <c r="I341" t="s">
        <v>761</v>
      </c>
      <c r="J341" t="s">
        <v>398</v>
      </c>
      <c r="K341" t="s">
        <v>397</v>
      </c>
      <c r="L341" t="s">
        <v>623</v>
      </c>
      <c r="M341" t="s">
        <v>645</v>
      </c>
      <c r="N341" t="s">
        <v>643</v>
      </c>
      <c r="O341" t="s">
        <v>795</v>
      </c>
      <c r="P341" t="s">
        <v>612</v>
      </c>
      <c r="Q341">
        <v>1</v>
      </c>
      <c r="R341" t="s">
        <v>480</v>
      </c>
    </row>
    <row r="342" spans="1:18" x14ac:dyDescent="0.3">
      <c r="A342" t="s">
        <v>725</v>
      </c>
      <c r="B342" t="s">
        <v>814</v>
      </c>
      <c r="C342" t="s">
        <v>396</v>
      </c>
      <c r="D342" t="s">
        <v>612</v>
      </c>
      <c r="E342" t="s">
        <v>397</v>
      </c>
      <c r="F342" t="s">
        <v>479</v>
      </c>
      <c r="G342" t="s">
        <v>390</v>
      </c>
      <c r="H342" t="s">
        <v>391</v>
      </c>
      <c r="I342" t="s">
        <v>761</v>
      </c>
      <c r="J342" t="s">
        <v>398</v>
      </c>
      <c r="K342" t="s">
        <v>397</v>
      </c>
      <c r="L342" t="s">
        <v>623</v>
      </c>
      <c r="M342" t="s">
        <v>642</v>
      </c>
      <c r="N342" t="s">
        <v>643</v>
      </c>
      <c r="O342" t="s">
        <v>796</v>
      </c>
      <c r="P342" t="s">
        <v>612</v>
      </c>
      <c r="Q342">
        <v>1</v>
      </c>
      <c r="R342" t="s">
        <v>480</v>
      </c>
    </row>
    <row r="343" spans="1:18" x14ac:dyDescent="0.3">
      <c r="A343" t="s">
        <v>725</v>
      </c>
      <c r="B343" t="s">
        <v>814</v>
      </c>
      <c r="C343" t="s">
        <v>396</v>
      </c>
      <c r="D343" t="s">
        <v>612</v>
      </c>
      <c r="E343" t="s">
        <v>397</v>
      </c>
      <c r="F343" t="s">
        <v>479</v>
      </c>
      <c r="G343" t="s">
        <v>394</v>
      </c>
      <c r="H343" t="s">
        <v>419</v>
      </c>
      <c r="I343" t="s">
        <v>761</v>
      </c>
      <c r="J343" t="s">
        <v>398</v>
      </c>
      <c r="K343" t="s">
        <v>397</v>
      </c>
      <c r="L343" t="s">
        <v>623</v>
      </c>
      <c r="M343" t="s">
        <v>797</v>
      </c>
      <c r="N343" t="s">
        <v>643</v>
      </c>
      <c r="O343" t="s">
        <v>798</v>
      </c>
      <c r="P343" t="s">
        <v>612</v>
      </c>
      <c r="Q343">
        <v>1</v>
      </c>
      <c r="R343" t="s">
        <v>480</v>
      </c>
    </row>
    <row r="344" spans="1:18" x14ac:dyDescent="0.3">
      <c r="A344" t="s">
        <v>725</v>
      </c>
      <c r="B344" t="s">
        <v>814</v>
      </c>
      <c r="C344" t="s">
        <v>396</v>
      </c>
      <c r="D344" t="s">
        <v>612</v>
      </c>
      <c r="E344" t="s">
        <v>397</v>
      </c>
      <c r="F344" t="s">
        <v>479</v>
      </c>
      <c r="G344" t="s">
        <v>394</v>
      </c>
      <c r="H344" t="s">
        <v>419</v>
      </c>
      <c r="I344" t="s">
        <v>761</v>
      </c>
      <c r="J344" t="s">
        <v>398</v>
      </c>
      <c r="K344" t="s">
        <v>397</v>
      </c>
      <c r="L344" t="s">
        <v>623</v>
      </c>
      <c r="M344" t="s">
        <v>650</v>
      </c>
      <c r="N344" t="s">
        <v>643</v>
      </c>
      <c r="O344" t="s">
        <v>799</v>
      </c>
      <c r="P344" t="s">
        <v>612</v>
      </c>
      <c r="Q344">
        <v>1</v>
      </c>
      <c r="R344" t="s">
        <v>480</v>
      </c>
    </row>
    <row r="345" spans="1:18" x14ac:dyDescent="0.3">
      <c r="A345" t="s">
        <v>725</v>
      </c>
      <c r="B345" t="s">
        <v>814</v>
      </c>
      <c r="C345" t="s">
        <v>396</v>
      </c>
      <c r="D345" t="s">
        <v>612</v>
      </c>
      <c r="E345" t="s">
        <v>397</v>
      </c>
      <c r="F345" t="s">
        <v>479</v>
      </c>
      <c r="G345" t="s">
        <v>394</v>
      </c>
      <c r="H345" t="s">
        <v>419</v>
      </c>
      <c r="I345" t="s">
        <v>761</v>
      </c>
      <c r="J345" t="s">
        <v>398</v>
      </c>
      <c r="K345" t="s">
        <v>397</v>
      </c>
      <c r="L345" t="s">
        <v>623</v>
      </c>
      <c r="M345" t="s">
        <v>696</v>
      </c>
      <c r="N345" t="s">
        <v>643</v>
      </c>
      <c r="O345" t="s">
        <v>800</v>
      </c>
      <c r="P345" t="s">
        <v>612</v>
      </c>
      <c r="Q345">
        <v>1</v>
      </c>
      <c r="R345" t="s">
        <v>480</v>
      </c>
    </row>
    <row r="346" spans="1:18" x14ac:dyDescent="0.3">
      <c r="A346" t="s">
        <v>725</v>
      </c>
      <c r="B346" t="s">
        <v>814</v>
      </c>
      <c r="C346" t="s">
        <v>396</v>
      </c>
      <c r="D346" t="s">
        <v>612</v>
      </c>
      <c r="E346" t="s">
        <v>397</v>
      </c>
      <c r="F346" t="s">
        <v>479</v>
      </c>
      <c r="G346" t="s">
        <v>390</v>
      </c>
      <c r="H346" t="s">
        <v>391</v>
      </c>
      <c r="I346" t="s">
        <v>761</v>
      </c>
      <c r="J346" t="s">
        <v>398</v>
      </c>
      <c r="K346" t="s">
        <v>397</v>
      </c>
      <c r="L346" t="s">
        <v>623</v>
      </c>
      <c r="M346" t="s">
        <v>642</v>
      </c>
      <c r="N346" t="s">
        <v>643</v>
      </c>
      <c r="O346" t="s">
        <v>801</v>
      </c>
      <c r="P346" t="s">
        <v>612</v>
      </c>
      <c r="Q346">
        <v>1</v>
      </c>
      <c r="R346" t="s">
        <v>480</v>
      </c>
    </row>
    <row r="347" spans="1:18" x14ac:dyDescent="0.3">
      <c r="A347" t="s">
        <v>725</v>
      </c>
      <c r="B347" t="s">
        <v>814</v>
      </c>
      <c r="C347" t="s">
        <v>396</v>
      </c>
      <c r="D347" t="s">
        <v>612</v>
      </c>
      <c r="E347" t="s">
        <v>397</v>
      </c>
      <c r="F347" t="s">
        <v>479</v>
      </c>
      <c r="G347" t="s">
        <v>394</v>
      </c>
      <c r="H347" t="s">
        <v>419</v>
      </c>
      <c r="I347" t="s">
        <v>761</v>
      </c>
      <c r="J347" t="s">
        <v>398</v>
      </c>
      <c r="K347" t="s">
        <v>397</v>
      </c>
      <c r="L347" t="s">
        <v>623</v>
      </c>
      <c r="M347" t="s">
        <v>650</v>
      </c>
      <c r="N347" t="s">
        <v>643</v>
      </c>
      <c r="O347" t="s">
        <v>802</v>
      </c>
      <c r="P347" t="s">
        <v>612</v>
      </c>
      <c r="Q347">
        <v>1</v>
      </c>
      <c r="R347" t="s">
        <v>480</v>
      </c>
    </row>
    <row r="348" spans="1:18" x14ac:dyDescent="0.3">
      <c r="A348" t="s">
        <v>725</v>
      </c>
      <c r="B348" t="s">
        <v>814</v>
      </c>
      <c r="C348" t="s">
        <v>396</v>
      </c>
      <c r="D348" t="s">
        <v>612</v>
      </c>
      <c r="E348" t="s">
        <v>397</v>
      </c>
      <c r="F348" t="s">
        <v>479</v>
      </c>
      <c r="G348" t="s">
        <v>390</v>
      </c>
      <c r="H348" t="s">
        <v>391</v>
      </c>
      <c r="I348" t="s">
        <v>761</v>
      </c>
      <c r="J348" t="s">
        <v>398</v>
      </c>
      <c r="K348" t="s">
        <v>397</v>
      </c>
      <c r="L348" t="s">
        <v>623</v>
      </c>
      <c r="M348" t="s">
        <v>645</v>
      </c>
      <c r="N348" t="s">
        <v>643</v>
      </c>
      <c r="O348" t="s">
        <v>803</v>
      </c>
      <c r="P348" t="s">
        <v>612</v>
      </c>
      <c r="Q348">
        <v>1</v>
      </c>
      <c r="R348" t="s">
        <v>480</v>
      </c>
    </row>
    <row r="349" spans="1:18" x14ac:dyDescent="0.3">
      <c r="A349" t="s">
        <v>725</v>
      </c>
      <c r="B349" t="s">
        <v>814</v>
      </c>
      <c r="C349" t="s">
        <v>396</v>
      </c>
      <c r="D349" t="s">
        <v>612</v>
      </c>
      <c r="E349" t="s">
        <v>397</v>
      </c>
      <c r="F349" t="s">
        <v>479</v>
      </c>
      <c r="G349" t="s">
        <v>390</v>
      </c>
      <c r="H349" t="s">
        <v>391</v>
      </c>
      <c r="I349" t="s">
        <v>761</v>
      </c>
      <c r="J349" t="s">
        <v>398</v>
      </c>
      <c r="K349" t="s">
        <v>397</v>
      </c>
      <c r="L349" t="s">
        <v>623</v>
      </c>
      <c r="M349" t="s">
        <v>645</v>
      </c>
      <c r="N349" t="s">
        <v>643</v>
      </c>
      <c r="O349" t="s">
        <v>804</v>
      </c>
      <c r="P349" t="s">
        <v>612</v>
      </c>
      <c r="Q349">
        <v>1</v>
      </c>
      <c r="R349" t="s">
        <v>480</v>
      </c>
    </row>
    <row r="350" spans="1:18" x14ac:dyDescent="0.3">
      <c r="A350" t="s">
        <v>725</v>
      </c>
      <c r="B350" t="s">
        <v>814</v>
      </c>
      <c r="C350" t="s">
        <v>396</v>
      </c>
      <c r="D350" t="s">
        <v>612</v>
      </c>
      <c r="E350" t="s">
        <v>397</v>
      </c>
      <c r="F350" t="s">
        <v>479</v>
      </c>
      <c r="G350" t="s">
        <v>390</v>
      </c>
      <c r="H350" t="s">
        <v>391</v>
      </c>
      <c r="I350" t="s">
        <v>761</v>
      </c>
      <c r="J350" t="s">
        <v>398</v>
      </c>
      <c r="K350" t="s">
        <v>397</v>
      </c>
      <c r="L350" t="s">
        <v>623</v>
      </c>
      <c r="M350" t="s">
        <v>645</v>
      </c>
      <c r="N350" t="s">
        <v>643</v>
      </c>
      <c r="O350" t="s">
        <v>805</v>
      </c>
      <c r="P350" t="s">
        <v>612</v>
      </c>
      <c r="Q350">
        <v>1</v>
      </c>
      <c r="R350" t="s">
        <v>480</v>
      </c>
    </row>
    <row r="351" spans="1:18" x14ac:dyDescent="0.3">
      <c r="A351" t="s">
        <v>725</v>
      </c>
      <c r="B351" t="s">
        <v>910</v>
      </c>
      <c r="C351" t="s">
        <v>396</v>
      </c>
      <c r="D351" t="s">
        <v>612</v>
      </c>
      <c r="E351" t="s">
        <v>397</v>
      </c>
      <c r="F351" t="s">
        <v>479</v>
      </c>
      <c r="G351" t="s">
        <v>390</v>
      </c>
      <c r="H351" t="s">
        <v>391</v>
      </c>
      <c r="I351" t="s">
        <v>761</v>
      </c>
      <c r="J351" t="s">
        <v>398</v>
      </c>
      <c r="K351" t="s">
        <v>397</v>
      </c>
      <c r="L351" t="s">
        <v>623</v>
      </c>
      <c r="M351" t="s">
        <v>642</v>
      </c>
      <c r="N351" t="s">
        <v>643</v>
      </c>
      <c r="O351" t="s">
        <v>806</v>
      </c>
      <c r="P351" t="s">
        <v>612</v>
      </c>
      <c r="Q351">
        <v>1</v>
      </c>
      <c r="R351" t="s">
        <v>480</v>
      </c>
    </row>
    <row r="352" spans="1:18" x14ac:dyDescent="0.3">
      <c r="A352" t="s">
        <v>725</v>
      </c>
      <c r="B352" t="s">
        <v>910</v>
      </c>
      <c r="C352" t="s">
        <v>396</v>
      </c>
      <c r="D352" t="s">
        <v>612</v>
      </c>
      <c r="E352" t="s">
        <v>397</v>
      </c>
      <c r="F352" t="s">
        <v>479</v>
      </c>
      <c r="G352" t="s">
        <v>390</v>
      </c>
      <c r="H352" t="s">
        <v>391</v>
      </c>
      <c r="I352" t="s">
        <v>761</v>
      </c>
      <c r="J352" t="s">
        <v>398</v>
      </c>
      <c r="K352" t="s">
        <v>397</v>
      </c>
      <c r="L352" t="s">
        <v>623</v>
      </c>
      <c r="M352" t="s">
        <v>642</v>
      </c>
      <c r="N352" t="s">
        <v>643</v>
      </c>
      <c r="O352" t="s">
        <v>815</v>
      </c>
      <c r="P352" t="s">
        <v>612</v>
      </c>
      <c r="Q352">
        <v>1</v>
      </c>
      <c r="R352" t="s">
        <v>480</v>
      </c>
    </row>
    <row r="353" spans="1:18" x14ac:dyDescent="0.3">
      <c r="A353" t="s">
        <v>725</v>
      </c>
      <c r="B353" t="s">
        <v>910</v>
      </c>
      <c r="C353" t="s">
        <v>396</v>
      </c>
      <c r="D353" t="s">
        <v>612</v>
      </c>
      <c r="E353" t="s">
        <v>397</v>
      </c>
      <c r="F353" t="s">
        <v>479</v>
      </c>
      <c r="G353" t="s">
        <v>390</v>
      </c>
      <c r="H353" t="s">
        <v>391</v>
      </c>
      <c r="I353" t="s">
        <v>761</v>
      </c>
      <c r="J353" t="s">
        <v>398</v>
      </c>
      <c r="K353" t="s">
        <v>397</v>
      </c>
      <c r="L353" t="s">
        <v>623</v>
      </c>
      <c r="M353" t="s">
        <v>645</v>
      </c>
      <c r="N353" t="s">
        <v>643</v>
      </c>
      <c r="O353" t="s">
        <v>816</v>
      </c>
      <c r="P353" t="s">
        <v>612</v>
      </c>
      <c r="Q353">
        <v>1</v>
      </c>
      <c r="R353" t="s">
        <v>480</v>
      </c>
    </row>
    <row r="354" spans="1:18" x14ac:dyDescent="0.3">
      <c r="A354" t="s">
        <v>725</v>
      </c>
      <c r="B354" t="s">
        <v>910</v>
      </c>
      <c r="C354" t="s">
        <v>396</v>
      </c>
      <c r="D354" t="s">
        <v>612</v>
      </c>
      <c r="E354" t="s">
        <v>397</v>
      </c>
      <c r="F354" t="s">
        <v>479</v>
      </c>
      <c r="G354" t="s">
        <v>390</v>
      </c>
      <c r="H354" t="s">
        <v>391</v>
      </c>
      <c r="I354" t="s">
        <v>761</v>
      </c>
      <c r="J354" t="s">
        <v>398</v>
      </c>
      <c r="K354" t="s">
        <v>397</v>
      </c>
      <c r="L354" t="s">
        <v>623</v>
      </c>
      <c r="M354" t="s">
        <v>645</v>
      </c>
      <c r="N354" t="s">
        <v>643</v>
      </c>
      <c r="O354" t="s">
        <v>821</v>
      </c>
      <c r="P354" t="s">
        <v>612</v>
      </c>
      <c r="Q354">
        <v>1</v>
      </c>
      <c r="R354" t="s">
        <v>480</v>
      </c>
    </row>
    <row r="355" spans="1:18" x14ac:dyDescent="0.3">
      <c r="A355" t="s">
        <v>725</v>
      </c>
      <c r="B355" t="s">
        <v>910</v>
      </c>
      <c r="C355" t="s">
        <v>396</v>
      </c>
      <c r="D355" t="s">
        <v>612</v>
      </c>
      <c r="E355" t="s">
        <v>397</v>
      </c>
      <c r="F355" t="s">
        <v>479</v>
      </c>
      <c r="G355" t="s">
        <v>390</v>
      </c>
      <c r="H355" t="s">
        <v>391</v>
      </c>
      <c r="I355" t="s">
        <v>761</v>
      </c>
      <c r="J355" t="s">
        <v>398</v>
      </c>
      <c r="K355" t="s">
        <v>397</v>
      </c>
      <c r="L355" t="s">
        <v>623</v>
      </c>
      <c r="M355" t="s">
        <v>642</v>
      </c>
      <c r="N355" t="s">
        <v>643</v>
      </c>
      <c r="O355" t="s">
        <v>822</v>
      </c>
      <c r="P355" t="s">
        <v>612</v>
      </c>
      <c r="Q355">
        <v>1</v>
      </c>
      <c r="R355" t="s">
        <v>480</v>
      </c>
    </row>
    <row r="356" spans="1:18" x14ac:dyDescent="0.3">
      <c r="A356" t="s">
        <v>725</v>
      </c>
      <c r="B356" t="s">
        <v>910</v>
      </c>
      <c r="C356" t="s">
        <v>396</v>
      </c>
      <c r="D356" t="s">
        <v>612</v>
      </c>
      <c r="E356" t="s">
        <v>397</v>
      </c>
      <c r="F356" t="s">
        <v>479</v>
      </c>
      <c r="G356" t="s">
        <v>394</v>
      </c>
      <c r="H356" t="s">
        <v>419</v>
      </c>
      <c r="I356" t="s">
        <v>761</v>
      </c>
      <c r="J356" t="s">
        <v>398</v>
      </c>
      <c r="K356" t="s">
        <v>397</v>
      </c>
      <c r="L356" t="s">
        <v>623</v>
      </c>
      <c r="M356" t="s">
        <v>650</v>
      </c>
      <c r="N356" t="s">
        <v>643</v>
      </c>
      <c r="O356" t="s">
        <v>832</v>
      </c>
      <c r="P356" t="s">
        <v>612</v>
      </c>
      <c r="Q356">
        <v>1</v>
      </c>
      <c r="R356" t="s">
        <v>480</v>
      </c>
    </row>
    <row r="357" spans="1:18" x14ac:dyDescent="0.3">
      <c r="A357" t="s">
        <v>725</v>
      </c>
      <c r="B357" t="s">
        <v>830</v>
      </c>
      <c r="C357" t="s">
        <v>396</v>
      </c>
      <c r="D357" t="s">
        <v>612</v>
      </c>
      <c r="E357" t="s">
        <v>397</v>
      </c>
      <c r="F357" t="s">
        <v>479</v>
      </c>
      <c r="G357" t="s">
        <v>390</v>
      </c>
      <c r="H357" t="s">
        <v>391</v>
      </c>
      <c r="I357" t="s">
        <v>761</v>
      </c>
      <c r="J357" t="s">
        <v>398</v>
      </c>
      <c r="K357" t="s">
        <v>397</v>
      </c>
      <c r="L357" t="s">
        <v>623</v>
      </c>
      <c r="M357" t="s">
        <v>645</v>
      </c>
      <c r="N357" t="s">
        <v>643</v>
      </c>
      <c r="O357" t="s">
        <v>831</v>
      </c>
      <c r="P357" t="s">
        <v>612</v>
      </c>
      <c r="Q357">
        <v>1</v>
      </c>
      <c r="R357" t="s">
        <v>480</v>
      </c>
    </row>
    <row r="358" spans="1:18" x14ac:dyDescent="0.3">
      <c r="A358" t="s">
        <v>725</v>
      </c>
      <c r="B358" t="s">
        <v>910</v>
      </c>
      <c r="C358" t="s">
        <v>396</v>
      </c>
      <c r="D358" t="s">
        <v>612</v>
      </c>
      <c r="E358" t="s">
        <v>397</v>
      </c>
      <c r="F358" t="s">
        <v>479</v>
      </c>
      <c r="G358" t="s">
        <v>390</v>
      </c>
      <c r="H358" t="s">
        <v>391</v>
      </c>
      <c r="I358" t="s">
        <v>761</v>
      </c>
      <c r="J358" t="s">
        <v>398</v>
      </c>
      <c r="K358" t="s">
        <v>397</v>
      </c>
      <c r="L358" t="s">
        <v>623</v>
      </c>
      <c r="M358" t="s">
        <v>642</v>
      </c>
      <c r="N358" t="s">
        <v>643</v>
      </c>
      <c r="O358" t="s">
        <v>833</v>
      </c>
      <c r="P358" t="s">
        <v>612</v>
      </c>
      <c r="Q358">
        <v>1</v>
      </c>
      <c r="R358" t="s">
        <v>480</v>
      </c>
    </row>
    <row r="359" spans="1:18" x14ac:dyDescent="0.3">
      <c r="A359" t="s">
        <v>725</v>
      </c>
      <c r="B359" t="s">
        <v>910</v>
      </c>
      <c r="C359" t="s">
        <v>396</v>
      </c>
      <c r="D359" t="s">
        <v>612</v>
      </c>
      <c r="E359" t="s">
        <v>397</v>
      </c>
      <c r="F359" t="s">
        <v>479</v>
      </c>
      <c r="G359" t="s">
        <v>394</v>
      </c>
      <c r="H359" t="s">
        <v>419</v>
      </c>
      <c r="I359" t="s">
        <v>632</v>
      </c>
      <c r="J359" t="s">
        <v>398</v>
      </c>
      <c r="K359" t="s">
        <v>397</v>
      </c>
      <c r="L359" t="s">
        <v>623</v>
      </c>
      <c r="M359" t="s">
        <v>650</v>
      </c>
      <c r="N359" t="s">
        <v>643</v>
      </c>
      <c r="O359" t="s">
        <v>834</v>
      </c>
      <c r="P359" t="s">
        <v>612</v>
      </c>
      <c r="Q359">
        <v>1</v>
      </c>
      <c r="R359" t="s">
        <v>480</v>
      </c>
    </row>
    <row r="360" spans="1:18" x14ac:dyDescent="0.3">
      <c r="A360" t="s">
        <v>725</v>
      </c>
      <c r="B360" t="s">
        <v>910</v>
      </c>
      <c r="C360" t="s">
        <v>396</v>
      </c>
      <c r="D360" t="s">
        <v>612</v>
      </c>
      <c r="E360" t="s">
        <v>397</v>
      </c>
      <c r="F360" t="s">
        <v>479</v>
      </c>
      <c r="G360" t="s">
        <v>390</v>
      </c>
      <c r="H360" t="s">
        <v>391</v>
      </c>
      <c r="I360" t="s">
        <v>761</v>
      </c>
      <c r="J360" t="s">
        <v>398</v>
      </c>
      <c r="K360" t="s">
        <v>397</v>
      </c>
      <c r="L360" t="s">
        <v>623</v>
      </c>
      <c r="M360" t="s">
        <v>645</v>
      </c>
      <c r="N360" t="s">
        <v>643</v>
      </c>
      <c r="O360" t="s">
        <v>835</v>
      </c>
      <c r="P360" t="s">
        <v>612</v>
      </c>
      <c r="Q360">
        <v>1</v>
      </c>
      <c r="R360" t="s">
        <v>480</v>
      </c>
    </row>
    <row r="361" spans="1:18" x14ac:dyDescent="0.3">
      <c r="A361" t="s">
        <v>725</v>
      </c>
      <c r="B361" t="s">
        <v>910</v>
      </c>
      <c r="C361" t="s">
        <v>396</v>
      </c>
      <c r="D361" t="s">
        <v>612</v>
      </c>
      <c r="E361" t="s">
        <v>397</v>
      </c>
      <c r="F361" t="s">
        <v>479</v>
      </c>
      <c r="G361" t="s">
        <v>390</v>
      </c>
      <c r="H361" t="s">
        <v>391</v>
      </c>
      <c r="I361" t="s">
        <v>761</v>
      </c>
      <c r="J361" t="s">
        <v>398</v>
      </c>
      <c r="K361" t="s">
        <v>397</v>
      </c>
      <c r="L361" t="s">
        <v>623</v>
      </c>
      <c r="M361" t="s">
        <v>645</v>
      </c>
      <c r="N361" t="s">
        <v>643</v>
      </c>
      <c r="O361" t="s">
        <v>836</v>
      </c>
      <c r="P361" t="s">
        <v>612</v>
      </c>
      <c r="Q361">
        <v>1</v>
      </c>
      <c r="R361" t="s">
        <v>480</v>
      </c>
    </row>
    <row r="362" spans="1:18" x14ac:dyDescent="0.3">
      <c r="A362" t="s">
        <v>725</v>
      </c>
      <c r="B362" t="s">
        <v>910</v>
      </c>
      <c r="C362" t="s">
        <v>396</v>
      </c>
      <c r="D362" t="s">
        <v>612</v>
      </c>
      <c r="E362" t="s">
        <v>397</v>
      </c>
      <c r="F362" t="s">
        <v>479</v>
      </c>
      <c r="G362" t="s">
        <v>390</v>
      </c>
      <c r="H362" t="s">
        <v>391</v>
      </c>
      <c r="I362" t="s">
        <v>761</v>
      </c>
      <c r="J362" t="s">
        <v>398</v>
      </c>
      <c r="K362" t="s">
        <v>397</v>
      </c>
      <c r="L362" t="s">
        <v>623</v>
      </c>
      <c r="M362" t="s">
        <v>642</v>
      </c>
      <c r="N362" t="s">
        <v>643</v>
      </c>
      <c r="O362" t="s">
        <v>858</v>
      </c>
      <c r="P362" t="s">
        <v>612</v>
      </c>
      <c r="Q362">
        <v>1</v>
      </c>
      <c r="R362" t="s">
        <v>480</v>
      </c>
    </row>
    <row r="363" spans="1:18" x14ac:dyDescent="0.3">
      <c r="A363" t="s">
        <v>841</v>
      </c>
      <c r="B363" t="s">
        <v>910</v>
      </c>
      <c r="C363" t="s">
        <v>396</v>
      </c>
      <c r="D363" t="s">
        <v>612</v>
      </c>
      <c r="E363" t="s">
        <v>397</v>
      </c>
      <c r="F363" t="s">
        <v>479</v>
      </c>
      <c r="G363" t="s">
        <v>394</v>
      </c>
      <c r="H363" t="s">
        <v>419</v>
      </c>
      <c r="I363" t="s">
        <v>886</v>
      </c>
      <c r="J363" t="s">
        <v>398</v>
      </c>
      <c r="K363" t="s">
        <v>397</v>
      </c>
      <c r="L363" t="s">
        <v>623</v>
      </c>
      <c r="M363" t="s">
        <v>696</v>
      </c>
      <c r="N363" t="s">
        <v>893</v>
      </c>
      <c r="O363" t="s">
        <v>911</v>
      </c>
      <c r="P363" t="s">
        <v>612</v>
      </c>
      <c r="Q363">
        <v>1</v>
      </c>
      <c r="R363" t="s">
        <v>480</v>
      </c>
    </row>
    <row r="364" spans="1:18" x14ac:dyDescent="0.3">
      <c r="A364" t="s">
        <v>641</v>
      </c>
      <c r="B364" t="s">
        <v>837</v>
      </c>
      <c r="C364" t="s">
        <v>396</v>
      </c>
      <c r="D364" t="s">
        <v>612</v>
      </c>
      <c r="E364" t="s">
        <v>397</v>
      </c>
      <c r="F364" t="s">
        <v>479</v>
      </c>
      <c r="G364" t="s">
        <v>394</v>
      </c>
      <c r="H364" t="s">
        <v>419</v>
      </c>
      <c r="I364" t="s">
        <v>632</v>
      </c>
      <c r="J364" t="s">
        <v>398</v>
      </c>
      <c r="K364" t="s">
        <v>397</v>
      </c>
      <c r="L364" t="s">
        <v>623</v>
      </c>
      <c r="M364" t="s">
        <v>696</v>
      </c>
      <c r="N364" t="s">
        <v>643</v>
      </c>
      <c r="O364" t="s">
        <v>697</v>
      </c>
      <c r="P364" t="s">
        <v>612</v>
      </c>
      <c r="Q364">
        <v>0</v>
      </c>
      <c r="R364" t="s">
        <v>838</v>
      </c>
    </row>
    <row r="365" spans="1:18" x14ac:dyDescent="0.3">
      <c r="A365" t="s">
        <v>841</v>
      </c>
      <c r="B365" t="s">
        <v>1002</v>
      </c>
      <c r="C365" t="s">
        <v>396</v>
      </c>
      <c r="D365" t="s">
        <v>612</v>
      </c>
      <c r="E365" t="s">
        <v>397</v>
      </c>
      <c r="F365" t="s">
        <v>479</v>
      </c>
      <c r="G365" t="s">
        <v>390</v>
      </c>
      <c r="H365" t="s">
        <v>391</v>
      </c>
      <c r="I365" t="s">
        <v>886</v>
      </c>
      <c r="J365" t="s">
        <v>398</v>
      </c>
      <c r="K365" t="s">
        <v>397</v>
      </c>
      <c r="L365" t="s">
        <v>623</v>
      </c>
      <c r="M365" t="s">
        <v>645</v>
      </c>
      <c r="N365" t="s">
        <v>893</v>
      </c>
      <c r="O365" t="s">
        <v>912</v>
      </c>
      <c r="P365" t="s">
        <v>612</v>
      </c>
      <c r="Q365">
        <v>0</v>
      </c>
      <c r="R365" t="s">
        <v>480</v>
      </c>
    </row>
    <row r="366" spans="1:18" x14ac:dyDescent="0.3">
      <c r="A366" t="s">
        <v>841</v>
      </c>
      <c r="B366" t="s">
        <v>1002</v>
      </c>
      <c r="C366" t="s">
        <v>396</v>
      </c>
      <c r="D366" t="s">
        <v>612</v>
      </c>
      <c r="E366" t="s">
        <v>397</v>
      </c>
      <c r="F366" t="s">
        <v>479</v>
      </c>
      <c r="G366" t="s">
        <v>390</v>
      </c>
      <c r="H366" t="s">
        <v>391</v>
      </c>
      <c r="I366" t="s">
        <v>886</v>
      </c>
      <c r="J366" t="s">
        <v>398</v>
      </c>
      <c r="K366" t="s">
        <v>397</v>
      </c>
      <c r="L366" t="s">
        <v>623</v>
      </c>
      <c r="M366" t="s">
        <v>645</v>
      </c>
      <c r="N366" t="s">
        <v>893</v>
      </c>
      <c r="O366" t="s">
        <v>913</v>
      </c>
      <c r="P366" t="s">
        <v>612</v>
      </c>
      <c r="Q366">
        <v>0</v>
      </c>
      <c r="R366" t="s">
        <v>480</v>
      </c>
    </row>
    <row r="367" spans="1:18" x14ac:dyDescent="0.3">
      <c r="A367" t="s">
        <v>841</v>
      </c>
      <c r="B367" t="s">
        <v>1002</v>
      </c>
      <c r="C367" t="s">
        <v>396</v>
      </c>
      <c r="D367" t="s">
        <v>612</v>
      </c>
      <c r="E367" t="s">
        <v>397</v>
      </c>
      <c r="F367" t="s">
        <v>479</v>
      </c>
      <c r="G367" t="s">
        <v>390</v>
      </c>
      <c r="H367" t="s">
        <v>391</v>
      </c>
      <c r="I367" t="s">
        <v>886</v>
      </c>
      <c r="J367" t="s">
        <v>398</v>
      </c>
      <c r="K367" t="s">
        <v>397</v>
      </c>
      <c r="L367" t="s">
        <v>623</v>
      </c>
      <c r="M367" t="s">
        <v>642</v>
      </c>
      <c r="N367" t="s">
        <v>893</v>
      </c>
      <c r="O367" t="s">
        <v>914</v>
      </c>
      <c r="P367" t="s">
        <v>612</v>
      </c>
      <c r="Q367">
        <v>0</v>
      </c>
      <c r="R367" t="s">
        <v>480</v>
      </c>
    </row>
    <row r="368" spans="1:18" x14ac:dyDescent="0.3">
      <c r="A368" t="s">
        <v>841</v>
      </c>
      <c r="B368" t="s">
        <v>1002</v>
      </c>
      <c r="C368" t="s">
        <v>396</v>
      </c>
      <c r="D368" t="s">
        <v>612</v>
      </c>
      <c r="E368" t="s">
        <v>397</v>
      </c>
      <c r="F368" t="s">
        <v>479</v>
      </c>
      <c r="G368" t="s">
        <v>390</v>
      </c>
      <c r="H368" t="s">
        <v>391</v>
      </c>
      <c r="I368" t="s">
        <v>886</v>
      </c>
      <c r="J368" t="s">
        <v>398</v>
      </c>
      <c r="K368" t="s">
        <v>397</v>
      </c>
      <c r="L368" t="s">
        <v>623</v>
      </c>
      <c r="M368" t="s">
        <v>645</v>
      </c>
      <c r="N368" t="s">
        <v>893</v>
      </c>
      <c r="O368" t="s">
        <v>925</v>
      </c>
      <c r="P368" t="s">
        <v>612</v>
      </c>
      <c r="Q368">
        <v>0</v>
      </c>
      <c r="R368" t="s">
        <v>480</v>
      </c>
    </row>
    <row r="369" spans="1:18" x14ac:dyDescent="0.3">
      <c r="A369" t="s">
        <v>841</v>
      </c>
      <c r="B369" t="s">
        <v>1002</v>
      </c>
      <c r="C369" t="s">
        <v>396</v>
      </c>
      <c r="D369" t="s">
        <v>612</v>
      </c>
      <c r="E369" t="s">
        <v>397</v>
      </c>
      <c r="F369" t="s">
        <v>479</v>
      </c>
      <c r="G369" t="s">
        <v>390</v>
      </c>
      <c r="H369" t="s">
        <v>391</v>
      </c>
      <c r="I369" t="s">
        <v>886</v>
      </c>
      <c r="J369" t="s">
        <v>398</v>
      </c>
      <c r="K369" t="s">
        <v>397</v>
      </c>
      <c r="L369" t="s">
        <v>623</v>
      </c>
      <c r="M369" t="s">
        <v>642</v>
      </c>
      <c r="N369" t="s">
        <v>893</v>
      </c>
      <c r="O369" t="s">
        <v>926</v>
      </c>
      <c r="P369" t="s">
        <v>612</v>
      </c>
      <c r="Q369">
        <v>0</v>
      </c>
      <c r="R369" t="s">
        <v>480</v>
      </c>
    </row>
    <row r="370" spans="1:18" x14ac:dyDescent="0.3">
      <c r="A370" t="s">
        <v>927</v>
      </c>
      <c r="B370" t="s">
        <v>1002</v>
      </c>
      <c r="C370" t="s">
        <v>396</v>
      </c>
      <c r="D370" t="s">
        <v>612</v>
      </c>
      <c r="E370" t="s">
        <v>397</v>
      </c>
      <c r="F370" t="s">
        <v>479</v>
      </c>
      <c r="G370" t="s">
        <v>390</v>
      </c>
      <c r="H370" t="s">
        <v>391</v>
      </c>
      <c r="I370" t="s">
        <v>886</v>
      </c>
      <c r="J370" t="s">
        <v>398</v>
      </c>
      <c r="K370" t="s">
        <v>397</v>
      </c>
      <c r="L370" t="s">
        <v>623</v>
      </c>
      <c r="M370" t="s">
        <v>645</v>
      </c>
      <c r="N370" t="s">
        <v>893</v>
      </c>
      <c r="O370" t="s">
        <v>928</v>
      </c>
      <c r="P370" t="s">
        <v>612</v>
      </c>
      <c r="Q370">
        <v>0</v>
      </c>
      <c r="R370" t="s">
        <v>480</v>
      </c>
    </row>
    <row r="371" spans="1:18" x14ac:dyDescent="0.3">
      <c r="A371" t="s">
        <v>927</v>
      </c>
      <c r="B371" t="s">
        <v>1002</v>
      </c>
      <c r="C371" t="s">
        <v>396</v>
      </c>
      <c r="D371" t="s">
        <v>612</v>
      </c>
      <c r="E371" t="s">
        <v>397</v>
      </c>
      <c r="F371" t="s">
        <v>479</v>
      </c>
      <c r="G371" t="s">
        <v>390</v>
      </c>
      <c r="H371" t="s">
        <v>391</v>
      </c>
      <c r="I371" t="s">
        <v>886</v>
      </c>
      <c r="J371" t="s">
        <v>398</v>
      </c>
      <c r="K371" t="s">
        <v>397</v>
      </c>
      <c r="L371" t="s">
        <v>623</v>
      </c>
      <c r="M371" t="s">
        <v>645</v>
      </c>
      <c r="N371" t="s">
        <v>893</v>
      </c>
      <c r="O371" t="s">
        <v>934</v>
      </c>
      <c r="P371" t="s">
        <v>612</v>
      </c>
      <c r="Q371">
        <v>0</v>
      </c>
      <c r="R371" t="s">
        <v>480</v>
      </c>
    </row>
    <row r="372" spans="1:18" x14ac:dyDescent="0.3">
      <c r="A372" t="s">
        <v>841</v>
      </c>
      <c r="B372" t="s">
        <v>1002</v>
      </c>
      <c r="C372" t="s">
        <v>396</v>
      </c>
      <c r="D372" t="s">
        <v>612</v>
      </c>
      <c r="E372" t="s">
        <v>397</v>
      </c>
      <c r="F372" t="s">
        <v>479</v>
      </c>
      <c r="G372" t="s">
        <v>390</v>
      </c>
      <c r="H372" t="s">
        <v>391</v>
      </c>
      <c r="I372" t="s">
        <v>886</v>
      </c>
      <c r="J372" t="s">
        <v>398</v>
      </c>
      <c r="K372" t="s">
        <v>397</v>
      </c>
      <c r="L372" t="s">
        <v>623</v>
      </c>
      <c r="M372" t="s">
        <v>642</v>
      </c>
      <c r="N372" t="s">
        <v>893</v>
      </c>
      <c r="O372" t="s">
        <v>939</v>
      </c>
      <c r="P372" t="s">
        <v>612</v>
      </c>
      <c r="Q372">
        <v>0</v>
      </c>
      <c r="R372" t="s">
        <v>480</v>
      </c>
    </row>
    <row r="373" spans="1:18" x14ac:dyDescent="0.3">
      <c r="A373" t="s">
        <v>927</v>
      </c>
      <c r="B373" t="s">
        <v>1002</v>
      </c>
      <c r="C373" t="s">
        <v>396</v>
      </c>
      <c r="D373" t="s">
        <v>612</v>
      </c>
      <c r="E373" t="s">
        <v>397</v>
      </c>
      <c r="F373" t="s">
        <v>479</v>
      </c>
      <c r="G373" t="s">
        <v>390</v>
      </c>
      <c r="H373" t="s">
        <v>391</v>
      </c>
      <c r="I373" t="s">
        <v>886</v>
      </c>
      <c r="J373" t="s">
        <v>398</v>
      </c>
      <c r="K373" t="s">
        <v>397</v>
      </c>
      <c r="L373" t="s">
        <v>623</v>
      </c>
      <c r="M373" t="s">
        <v>645</v>
      </c>
      <c r="N373" t="s">
        <v>893</v>
      </c>
      <c r="O373" t="s">
        <v>940</v>
      </c>
      <c r="P373" t="s">
        <v>612</v>
      </c>
      <c r="Q373">
        <v>0</v>
      </c>
      <c r="R373" t="s">
        <v>480</v>
      </c>
    </row>
    <row r="374" spans="1:18" x14ac:dyDescent="0.3">
      <c r="A374" t="s">
        <v>927</v>
      </c>
      <c r="B374" t="s">
        <v>1002</v>
      </c>
      <c r="C374" t="s">
        <v>396</v>
      </c>
      <c r="D374" t="s">
        <v>612</v>
      </c>
      <c r="E374" t="s">
        <v>397</v>
      </c>
      <c r="F374" t="s">
        <v>479</v>
      </c>
      <c r="G374" t="s">
        <v>390</v>
      </c>
      <c r="H374" t="s">
        <v>391</v>
      </c>
      <c r="I374" t="s">
        <v>886</v>
      </c>
      <c r="J374" t="s">
        <v>398</v>
      </c>
      <c r="K374" t="s">
        <v>397</v>
      </c>
      <c r="L374" t="s">
        <v>623</v>
      </c>
      <c r="M374" t="s">
        <v>645</v>
      </c>
      <c r="N374" t="s">
        <v>893</v>
      </c>
      <c r="O374" t="s">
        <v>949</v>
      </c>
      <c r="P374" t="s">
        <v>612</v>
      </c>
      <c r="Q374">
        <v>0</v>
      </c>
      <c r="R374" t="s">
        <v>480</v>
      </c>
    </row>
    <row r="375" spans="1:18" x14ac:dyDescent="0.3">
      <c r="A375" t="s">
        <v>927</v>
      </c>
      <c r="B375" t="s">
        <v>1002</v>
      </c>
      <c r="C375" t="s">
        <v>396</v>
      </c>
      <c r="D375" t="s">
        <v>612</v>
      </c>
      <c r="E375" t="s">
        <v>397</v>
      </c>
      <c r="F375" t="s">
        <v>479</v>
      </c>
      <c r="G375" t="s">
        <v>390</v>
      </c>
      <c r="H375" t="s">
        <v>391</v>
      </c>
      <c r="I375" t="s">
        <v>886</v>
      </c>
      <c r="J375" t="s">
        <v>398</v>
      </c>
      <c r="K375" t="s">
        <v>397</v>
      </c>
      <c r="L375" t="s">
        <v>623</v>
      </c>
      <c r="M375" t="s">
        <v>642</v>
      </c>
      <c r="N375" t="s">
        <v>893</v>
      </c>
      <c r="O375" t="s">
        <v>950</v>
      </c>
      <c r="P375" t="s">
        <v>612</v>
      </c>
      <c r="Q375">
        <v>0</v>
      </c>
      <c r="R375" t="s">
        <v>480</v>
      </c>
    </row>
    <row r="376" spans="1:18" x14ac:dyDescent="0.3">
      <c r="A376" t="s">
        <v>927</v>
      </c>
      <c r="B376" t="s">
        <v>1003</v>
      </c>
      <c r="C376" t="s">
        <v>396</v>
      </c>
      <c r="D376" t="s">
        <v>612</v>
      </c>
      <c r="E376" t="s">
        <v>397</v>
      </c>
      <c r="F376" t="s">
        <v>479</v>
      </c>
      <c r="G376" t="s">
        <v>390</v>
      </c>
      <c r="H376" t="s">
        <v>391</v>
      </c>
      <c r="I376" t="s">
        <v>886</v>
      </c>
      <c r="J376" t="s">
        <v>398</v>
      </c>
      <c r="K376" t="s">
        <v>397</v>
      </c>
      <c r="L376" t="s">
        <v>623</v>
      </c>
      <c r="M376" t="s">
        <v>642</v>
      </c>
      <c r="N376" t="s">
        <v>893</v>
      </c>
      <c r="O376" t="s">
        <v>951</v>
      </c>
      <c r="P376" t="s">
        <v>612</v>
      </c>
      <c r="Q376">
        <v>0</v>
      </c>
      <c r="R376" t="s">
        <v>480</v>
      </c>
    </row>
    <row r="377" spans="1:18" x14ac:dyDescent="0.3">
      <c r="A377" t="s">
        <v>927</v>
      </c>
      <c r="B377" t="s">
        <v>1003</v>
      </c>
      <c r="C377" t="s">
        <v>396</v>
      </c>
      <c r="D377" t="s">
        <v>612</v>
      </c>
      <c r="E377" t="s">
        <v>397</v>
      </c>
      <c r="F377" t="s">
        <v>479</v>
      </c>
      <c r="G377" t="s">
        <v>390</v>
      </c>
      <c r="H377" t="s">
        <v>391</v>
      </c>
      <c r="I377" t="s">
        <v>886</v>
      </c>
      <c r="J377" t="s">
        <v>398</v>
      </c>
      <c r="K377" t="s">
        <v>397</v>
      </c>
      <c r="L377" t="s">
        <v>623</v>
      </c>
      <c r="M377" t="s">
        <v>645</v>
      </c>
      <c r="N377" t="s">
        <v>893</v>
      </c>
      <c r="O377" t="s">
        <v>952</v>
      </c>
      <c r="P377" t="s">
        <v>612</v>
      </c>
      <c r="Q377">
        <v>0</v>
      </c>
      <c r="R377" t="s">
        <v>480</v>
      </c>
    </row>
    <row r="378" spans="1:18" x14ac:dyDescent="0.3">
      <c r="A378" t="s">
        <v>927</v>
      </c>
      <c r="B378" t="s">
        <v>1002</v>
      </c>
      <c r="C378" t="s">
        <v>396</v>
      </c>
      <c r="D378" t="s">
        <v>612</v>
      </c>
      <c r="E378" t="s">
        <v>397</v>
      </c>
      <c r="F378" t="s">
        <v>479</v>
      </c>
      <c r="G378" t="s">
        <v>390</v>
      </c>
      <c r="H378" t="s">
        <v>391</v>
      </c>
      <c r="I378" t="s">
        <v>886</v>
      </c>
      <c r="J378" t="s">
        <v>398</v>
      </c>
      <c r="K378" t="s">
        <v>397</v>
      </c>
      <c r="L378" t="s">
        <v>623</v>
      </c>
      <c r="M378" t="s">
        <v>645</v>
      </c>
      <c r="N378" t="s">
        <v>893</v>
      </c>
      <c r="O378" t="s">
        <v>958</v>
      </c>
      <c r="P378" t="s">
        <v>612</v>
      </c>
      <c r="Q378">
        <v>0</v>
      </c>
      <c r="R378" t="s">
        <v>480</v>
      </c>
    </row>
    <row r="379" spans="1:18" x14ac:dyDescent="0.3">
      <c r="A379" t="s">
        <v>927</v>
      </c>
      <c r="B379" t="s">
        <v>1003</v>
      </c>
      <c r="C379" t="s">
        <v>396</v>
      </c>
      <c r="D379" t="s">
        <v>612</v>
      </c>
      <c r="E379" t="s">
        <v>397</v>
      </c>
      <c r="F379" t="s">
        <v>479</v>
      </c>
      <c r="G379" t="s">
        <v>390</v>
      </c>
      <c r="H379" t="s">
        <v>391</v>
      </c>
      <c r="I379" t="s">
        <v>886</v>
      </c>
      <c r="J379" t="s">
        <v>398</v>
      </c>
      <c r="K379" t="s">
        <v>397</v>
      </c>
      <c r="L379" t="s">
        <v>623</v>
      </c>
      <c r="M379" t="s">
        <v>642</v>
      </c>
      <c r="N379" t="s">
        <v>893</v>
      </c>
      <c r="O379" t="s">
        <v>959</v>
      </c>
      <c r="P379" t="s">
        <v>612</v>
      </c>
      <c r="Q379">
        <v>0</v>
      </c>
      <c r="R379" t="s">
        <v>480</v>
      </c>
    </row>
    <row r="380" spans="1:18" x14ac:dyDescent="0.3">
      <c r="A380" t="s">
        <v>927</v>
      </c>
      <c r="B380" t="s">
        <v>1003</v>
      </c>
      <c r="C380" t="s">
        <v>396</v>
      </c>
      <c r="D380" t="s">
        <v>612</v>
      </c>
      <c r="E380" t="s">
        <v>397</v>
      </c>
      <c r="F380" t="s">
        <v>479</v>
      </c>
      <c r="G380" t="s">
        <v>390</v>
      </c>
      <c r="H380" t="s">
        <v>391</v>
      </c>
      <c r="I380" t="s">
        <v>886</v>
      </c>
      <c r="J380" t="s">
        <v>398</v>
      </c>
      <c r="K380" t="s">
        <v>397</v>
      </c>
      <c r="L380" t="s">
        <v>623</v>
      </c>
      <c r="M380" t="s">
        <v>642</v>
      </c>
      <c r="N380" t="s">
        <v>893</v>
      </c>
      <c r="O380" t="s">
        <v>960</v>
      </c>
      <c r="P380" t="s">
        <v>612</v>
      </c>
      <c r="Q380">
        <v>0</v>
      </c>
      <c r="R380" t="s">
        <v>480</v>
      </c>
    </row>
    <row r="381" spans="1:18" x14ac:dyDescent="0.3">
      <c r="A381" t="s">
        <v>927</v>
      </c>
      <c r="B381" t="s">
        <v>1003</v>
      </c>
      <c r="C381" t="s">
        <v>396</v>
      </c>
      <c r="D381" t="s">
        <v>612</v>
      </c>
      <c r="E381" t="s">
        <v>397</v>
      </c>
      <c r="F381" t="s">
        <v>479</v>
      </c>
      <c r="G381" t="s">
        <v>390</v>
      </c>
      <c r="H381" t="s">
        <v>391</v>
      </c>
      <c r="I381" t="s">
        <v>886</v>
      </c>
      <c r="J381" t="s">
        <v>398</v>
      </c>
      <c r="K381" t="s">
        <v>397</v>
      </c>
      <c r="L381" t="s">
        <v>623</v>
      </c>
      <c r="M381" t="s">
        <v>645</v>
      </c>
      <c r="N381" t="s">
        <v>893</v>
      </c>
      <c r="O381" t="s">
        <v>961</v>
      </c>
      <c r="P381" t="s">
        <v>612</v>
      </c>
      <c r="Q381">
        <v>0</v>
      </c>
      <c r="R381" t="s">
        <v>480</v>
      </c>
    </row>
    <row r="382" spans="1:18" x14ac:dyDescent="0.3">
      <c r="A382" t="s">
        <v>927</v>
      </c>
      <c r="B382" t="s">
        <v>484</v>
      </c>
      <c r="C382" t="s">
        <v>396</v>
      </c>
      <c r="D382" t="s">
        <v>612</v>
      </c>
      <c r="E382" t="s">
        <v>397</v>
      </c>
      <c r="F382" t="s">
        <v>479</v>
      </c>
      <c r="G382" t="s">
        <v>394</v>
      </c>
      <c r="H382" t="s">
        <v>419</v>
      </c>
      <c r="I382" t="s">
        <v>886</v>
      </c>
      <c r="J382" t="s">
        <v>398</v>
      </c>
      <c r="K382" t="s">
        <v>397</v>
      </c>
      <c r="L382" t="s">
        <v>623</v>
      </c>
      <c r="M382" t="s">
        <v>650</v>
      </c>
      <c r="N382" t="s">
        <v>893</v>
      </c>
      <c r="O382" t="s">
        <v>962</v>
      </c>
      <c r="P382" t="s">
        <v>612</v>
      </c>
      <c r="Q382">
        <v>0</v>
      </c>
      <c r="R382" t="s">
        <v>480</v>
      </c>
    </row>
    <row r="383" spans="1:18" x14ac:dyDescent="0.3">
      <c r="A383" t="s">
        <v>927</v>
      </c>
      <c r="B383" t="s">
        <v>1003</v>
      </c>
      <c r="C383" t="s">
        <v>396</v>
      </c>
      <c r="D383" t="s">
        <v>612</v>
      </c>
      <c r="E383" t="s">
        <v>397</v>
      </c>
      <c r="F383" t="s">
        <v>479</v>
      </c>
      <c r="G383" t="s">
        <v>390</v>
      </c>
      <c r="H383" t="s">
        <v>391</v>
      </c>
      <c r="I383" t="s">
        <v>886</v>
      </c>
      <c r="J383" t="s">
        <v>398</v>
      </c>
      <c r="K383" t="s">
        <v>397</v>
      </c>
      <c r="L383" t="s">
        <v>623</v>
      </c>
      <c r="M383" t="s">
        <v>645</v>
      </c>
      <c r="N383" t="s">
        <v>893</v>
      </c>
      <c r="O383" t="s">
        <v>963</v>
      </c>
      <c r="P383" t="s">
        <v>612</v>
      </c>
      <c r="Q383">
        <v>0</v>
      </c>
      <c r="R383" t="s">
        <v>480</v>
      </c>
    </row>
    <row r="384" spans="1:18" x14ac:dyDescent="0.3">
      <c r="A384" t="s">
        <v>927</v>
      </c>
      <c r="B384" t="s">
        <v>1003</v>
      </c>
      <c r="C384" t="s">
        <v>396</v>
      </c>
      <c r="D384" t="s">
        <v>612</v>
      </c>
      <c r="E384" t="s">
        <v>397</v>
      </c>
      <c r="F384" t="s">
        <v>479</v>
      </c>
      <c r="G384" t="s">
        <v>390</v>
      </c>
      <c r="H384" t="s">
        <v>391</v>
      </c>
      <c r="I384" t="s">
        <v>886</v>
      </c>
      <c r="J384" t="s">
        <v>398</v>
      </c>
      <c r="K384" t="s">
        <v>397</v>
      </c>
      <c r="L384" t="s">
        <v>623</v>
      </c>
      <c r="M384" t="s">
        <v>642</v>
      </c>
      <c r="N384" t="s">
        <v>893</v>
      </c>
      <c r="O384" t="s">
        <v>964</v>
      </c>
      <c r="P384" t="s">
        <v>612</v>
      </c>
      <c r="Q384">
        <v>0</v>
      </c>
      <c r="R384" t="s">
        <v>480</v>
      </c>
    </row>
    <row r="385" spans="1:18" x14ac:dyDescent="0.3">
      <c r="A385" t="s">
        <v>927</v>
      </c>
      <c r="B385" t="s">
        <v>484</v>
      </c>
      <c r="C385" t="s">
        <v>396</v>
      </c>
      <c r="D385" t="s">
        <v>612</v>
      </c>
      <c r="E385" t="s">
        <v>397</v>
      </c>
      <c r="F385" t="s">
        <v>479</v>
      </c>
      <c r="G385" t="s">
        <v>394</v>
      </c>
      <c r="H385" t="s">
        <v>419</v>
      </c>
      <c r="I385" t="s">
        <v>886</v>
      </c>
      <c r="J385" t="s">
        <v>398</v>
      </c>
      <c r="K385" t="s">
        <v>397</v>
      </c>
      <c r="L385" t="s">
        <v>623</v>
      </c>
      <c r="M385" t="s">
        <v>650</v>
      </c>
      <c r="N385" t="s">
        <v>893</v>
      </c>
      <c r="O385" t="s">
        <v>965</v>
      </c>
      <c r="P385" t="s">
        <v>612</v>
      </c>
      <c r="Q385">
        <v>0</v>
      </c>
      <c r="R385" t="s">
        <v>480</v>
      </c>
    </row>
    <row r="386" spans="1:18" x14ac:dyDescent="0.3">
      <c r="A386" t="s">
        <v>927</v>
      </c>
      <c r="B386" t="s">
        <v>484</v>
      </c>
      <c r="C386" t="s">
        <v>396</v>
      </c>
      <c r="D386" t="s">
        <v>612</v>
      </c>
      <c r="E386" t="s">
        <v>397</v>
      </c>
      <c r="F386" t="s">
        <v>479</v>
      </c>
      <c r="G386" t="s">
        <v>390</v>
      </c>
      <c r="H386" t="s">
        <v>391</v>
      </c>
      <c r="I386" t="s">
        <v>886</v>
      </c>
      <c r="J386" t="s">
        <v>398</v>
      </c>
      <c r="K386" t="s">
        <v>397</v>
      </c>
      <c r="L386" t="s">
        <v>623</v>
      </c>
      <c r="M386" t="s">
        <v>645</v>
      </c>
      <c r="N386" t="s">
        <v>643</v>
      </c>
      <c r="O386" t="s">
        <v>977</v>
      </c>
      <c r="P386" t="s">
        <v>612</v>
      </c>
      <c r="Q386">
        <v>0</v>
      </c>
      <c r="R386" t="s">
        <v>480</v>
      </c>
    </row>
    <row r="387" spans="1:18" x14ac:dyDescent="0.3">
      <c r="A387" t="s">
        <v>927</v>
      </c>
      <c r="B387" t="s">
        <v>484</v>
      </c>
      <c r="C387" t="s">
        <v>396</v>
      </c>
      <c r="D387" t="s">
        <v>612</v>
      </c>
      <c r="E387" t="s">
        <v>397</v>
      </c>
      <c r="F387" t="s">
        <v>479</v>
      </c>
      <c r="G387" t="s">
        <v>394</v>
      </c>
      <c r="H387" t="s">
        <v>419</v>
      </c>
      <c r="I387" t="s">
        <v>886</v>
      </c>
      <c r="J387" t="s">
        <v>398</v>
      </c>
      <c r="K387" t="s">
        <v>397</v>
      </c>
      <c r="L387" t="s">
        <v>623</v>
      </c>
      <c r="M387" t="s">
        <v>650</v>
      </c>
      <c r="N387" t="s">
        <v>643</v>
      </c>
      <c r="O387" t="s">
        <v>978</v>
      </c>
      <c r="P387" t="s">
        <v>612</v>
      </c>
      <c r="Q387">
        <v>0</v>
      </c>
      <c r="R387" t="s">
        <v>480</v>
      </c>
    </row>
    <row r="388" spans="1:18" x14ac:dyDescent="0.3">
      <c r="A388" t="s">
        <v>927</v>
      </c>
      <c r="B388" t="s">
        <v>484</v>
      </c>
      <c r="C388" t="s">
        <v>396</v>
      </c>
      <c r="D388" t="s">
        <v>612</v>
      </c>
      <c r="E388" t="s">
        <v>397</v>
      </c>
      <c r="F388" t="s">
        <v>479</v>
      </c>
      <c r="G388" t="s">
        <v>394</v>
      </c>
      <c r="H388" t="s">
        <v>419</v>
      </c>
      <c r="I388" t="s">
        <v>886</v>
      </c>
      <c r="J388" t="s">
        <v>398</v>
      </c>
      <c r="K388" t="s">
        <v>397</v>
      </c>
      <c r="L388" t="s">
        <v>623</v>
      </c>
      <c r="M388" t="s">
        <v>650</v>
      </c>
      <c r="N388" t="s">
        <v>893</v>
      </c>
      <c r="O388" t="s">
        <v>979</v>
      </c>
      <c r="P388" t="s">
        <v>612</v>
      </c>
      <c r="Q388">
        <v>0</v>
      </c>
      <c r="R388" t="s">
        <v>480</v>
      </c>
    </row>
    <row r="389" spans="1:18" x14ac:dyDescent="0.3">
      <c r="A389" t="s">
        <v>927</v>
      </c>
      <c r="B389" t="s">
        <v>1003</v>
      </c>
      <c r="C389" t="s">
        <v>396</v>
      </c>
      <c r="D389" t="s">
        <v>612</v>
      </c>
      <c r="E389" t="s">
        <v>397</v>
      </c>
      <c r="F389" t="s">
        <v>479</v>
      </c>
      <c r="G389" t="s">
        <v>390</v>
      </c>
      <c r="H389" t="s">
        <v>391</v>
      </c>
      <c r="I389" t="s">
        <v>886</v>
      </c>
      <c r="J389" t="s">
        <v>398</v>
      </c>
      <c r="K389" t="s">
        <v>397</v>
      </c>
      <c r="L389" t="s">
        <v>623</v>
      </c>
      <c r="M389" t="s">
        <v>642</v>
      </c>
      <c r="N389" t="s">
        <v>643</v>
      </c>
      <c r="O389" t="s">
        <v>980</v>
      </c>
      <c r="P389" t="s">
        <v>612</v>
      </c>
      <c r="Q389">
        <v>0</v>
      </c>
      <c r="R389" t="s">
        <v>480</v>
      </c>
    </row>
    <row r="390" spans="1:18" x14ac:dyDescent="0.3">
      <c r="A390" t="s">
        <v>927</v>
      </c>
      <c r="B390" t="s">
        <v>484</v>
      </c>
      <c r="C390" t="s">
        <v>396</v>
      </c>
      <c r="D390" t="s">
        <v>612</v>
      </c>
      <c r="E390" t="s">
        <v>397</v>
      </c>
      <c r="F390" t="s">
        <v>479</v>
      </c>
      <c r="G390" t="s">
        <v>390</v>
      </c>
      <c r="H390" t="s">
        <v>391</v>
      </c>
      <c r="I390" t="s">
        <v>886</v>
      </c>
      <c r="J390" t="s">
        <v>398</v>
      </c>
      <c r="K390" t="s">
        <v>397</v>
      </c>
      <c r="L390" t="s">
        <v>623</v>
      </c>
      <c r="M390" t="s">
        <v>645</v>
      </c>
      <c r="N390" t="s">
        <v>643</v>
      </c>
      <c r="O390" t="s">
        <v>981</v>
      </c>
      <c r="P390" t="s">
        <v>612</v>
      </c>
      <c r="Q390">
        <v>0</v>
      </c>
      <c r="R390" t="s">
        <v>480</v>
      </c>
    </row>
    <row r="391" spans="1:18" x14ac:dyDescent="0.3">
      <c r="A391" t="s">
        <v>927</v>
      </c>
      <c r="B391" t="s">
        <v>1003</v>
      </c>
      <c r="C391" t="s">
        <v>396</v>
      </c>
      <c r="D391" t="s">
        <v>612</v>
      </c>
      <c r="E391" t="s">
        <v>397</v>
      </c>
      <c r="F391" t="s">
        <v>479</v>
      </c>
      <c r="G391" t="s">
        <v>390</v>
      </c>
      <c r="H391" t="s">
        <v>391</v>
      </c>
      <c r="I391" t="s">
        <v>886</v>
      </c>
      <c r="J391" t="s">
        <v>398</v>
      </c>
      <c r="K391" t="s">
        <v>397</v>
      </c>
      <c r="L391" t="s">
        <v>623</v>
      </c>
      <c r="M391" t="s">
        <v>642</v>
      </c>
      <c r="N391" t="s">
        <v>643</v>
      </c>
      <c r="O391" t="s">
        <v>982</v>
      </c>
      <c r="P391" t="s">
        <v>612</v>
      </c>
      <c r="Q391">
        <v>0</v>
      </c>
      <c r="R391" t="s">
        <v>480</v>
      </c>
    </row>
    <row r="392" spans="1:18" x14ac:dyDescent="0.3">
      <c r="A392" t="s">
        <v>927</v>
      </c>
      <c r="B392" t="s">
        <v>1003</v>
      </c>
      <c r="C392" t="s">
        <v>396</v>
      </c>
      <c r="D392" t="s">
        <v>612</v>
      </c>
      <c r="E392" t="s">
        <v>397</v>
      </c>
      <c r="F392" t="s">
        <v>479</v>
      </c>
      <c r="G392" t="s">
        <v>390</v>
      </c>
      <c r="H392" t="s">
        <v>391</v>
      </c>
      <c r="I392" t="s">
        <v>886</v>
      </c>
      <c r="J392" t="s">
        <v>398</v>
      </c>
      <c r="K392" t="s">
        <v>397</v>
      </c>
      <c r="L392" t="s">
        <v>623</v>
      </c>
      <c r="M392" t="s">
        <v>642</v>
      </c>
      <c r="N392" t="s">
        <v>643</v>
      </c>
      <c r="O392" t="s">
        <v>983</v>
      </c>
      <c r="P392" t="s">
        <v>612</v>
      </c>
      <c r="Q392">
        <v>0</v>
      </c>
      <c r="R392" t="s">
        <v>480</v>
      </c>
    </row>
    <row r="393" spans="1:18" x14ac:dyDescent="0.3">
      <c r="A393" t="s">
        <v>927</v>
      </c>
      <c r="B393" t="s">
        <v>1003</v>
      </c>
      <c r="C393" t="s">
        <v>396</v>
      </c>
      <c r="D393" t="s">
        <v>612</v>
      </c>
      <c r="E393" t="s">
        <v>397</v>
      </c>
      <c r="F393" t="s">
        <v>479</v>
      </c>
      <c r="G393" t="s">
        <v>390</v>
      </c>
      <c r="H393" t="s">
        <v>391</v>
      </c>
      <c r="I393" t="s">
        <v>886</v>
      </c>
      <c r="J393" t="s">
        <v>398</v>
      </c>
      <c r="K393" t="s">
        <v>397</v>
      </c>
      <c r="L393" t="s">
        <v>623</v>
      </c>
      <c r="M393" t="s">
        <v>645</v>
      </c>
      <c r="N393" t="s">
        <v>643</v>
      </c>
      <c r="O393" t="s">
        <v>984</v>
      </c>
      <c r="P393" t="s">
        <v>612</v>
      </c>
      <c r="Q393">
        <v>0</v>
      </c>
      <c r="R393" t="s">
        <v>480</v>
      </c>
    </row>
    <row r="394" spans="1:18" x14ac:dyDescent="0.3">
      <c r="A394" t="s">
        <v>927</v>
      </c>
      <c r="B394" t="s">
        <v>484</v>
      </c>
      <c r="C394" t="s">
        <v>396</v>
      </c>
      <c r="D394" t="s">
        <v>612</v>
      </c>
      <c r="E394" t="s">
        <v>397</v>
      </c>
      <c r="F394" t="s">
        <v>479</v>
      </c>
      <c r="G394" t="s">
        <v>394</v>
      </c>
      <c r="H394" t="s">
        <v>419</v>
      </c>
      <c r="I394" t="s">
        <v>886</v>
      </c>
      <c r="J394" t="s">
        <v>398</v>
      </c>
      <c r="K394" t="s">
        <v>397</v>
      </c>
      <c r="L394" t="s">
        <v>623</v>
      </c>
      <c r="M394" t="s">
        <v>650</v>
      </c>
      <c r="N394" t="s">
        <v>643</v>
      </c>
      <c r="O394" t="s">
        <v>985</v>
      </c>
      <c r="P394" t="s">
        <v>612</v>
      </c>
      <c r="Q394">
        <v>0</v>
      </c>
      <c r="R394" t="s">
        <v>480</v>
      </c>
    </row>
    <row r="395" spans="1:18" x14ac:dyDescent="0.3">
      <c r="A395" t="s">
        <v>927</v>
      </c>
      <c r="B395" t="s">
        <v>1002</v>
      </c>
      <c r="C395" t="s">
        <v>396</v>
      </c>
      <c r="D395" t="s">
        <v>612</v>
      </c>
      <c r="E395" t="s">
        <v>397</v>
      </c>
      <c r="F395" t="s">
        <v>479</v>
      </c>
      <c r="G395" t="s">
        <v>390</v>
      </c>
      <c r="H395" t="s">
        <v>391</v>
      </c>
      <c r="I395" t="s">
        <v>886</v>
      </c>
      <c r="J395" t="s">
        <v>398</v>
      </c>
      <c r="K395" t="s">
        <v>397</v>
      </c>
      <c r="L395" t="s">
        <v>623</v>
      </c>
      <c r="M395" t="s">
        <v>642</v>
      </c>
      <c r="N395" t="s">
        <v>643</v>
      </c>
      <c r="O395" t="s">
        <v>986</v>
      </c>
      <c r="P395" t="s">
        <v>612</v>
      </c>
      <c r="Q395">
        <v>0</v>
      </c>
      <c r="R395" t="s">
        <v>480</v>
      </c>
    </row>
    <row r="396" spans="1:18" x14ac:dyDescent="0.3">
      <c r="A396" t="s">
        <v>927</v>
      </c>
      <c r="B396" t="s">
        <v>1002</v>
      </c>
      <c r="C396" t="s">
        <v>396</v>
      </c>
      <c r="D396" t="s">
        <v>612</v>
      </c>
      <c r="E396" t="s">
        <v>397</v>
      </c>
      <c r="F396" t="s">
        <v>479</v>
      </c>
      <c r="G396" t="s">
        <v>390</v>
      </c>
      <c r="H396" t="s">
        <v>391</v>
      </c>
      <c r="I396" t="s">
        <v>886</v>
      </c>
      <c r="J396" t="s">
        <v>398</v>
      </c>
      <c r="K396" t="s">
        <v>397</v>
      </c>
      <c r="L396" t="s">
        <v>623</v>
      </c>
      <c r="M396" t="s">
        <v>645</v>
      </c>
      <c r="N396" t="s">
        <v>643</v>
      </c>
      <c r="O396" t="s">
        <v>987</v>
      </c>
      <c r="P396" t="s">
        <v>612</v>
      </c>
      <c r="Q396">
        <v>0</v>
      </c>
      <c r="R396" t="s">
        <v>480</v>
      </c>
    </row>
    <row r="397" spans="1:18" x14ac:dyDescent="0.3">
      <c r="A397" t="s">
        <v>927</v>
      </c>
      <c r="B397" t="s">
        <v>1003</v>
      </c>
      <c r="C397" t="s">
        <v>396</v>
      </c>
      <c r="D397" t="s">
        <v>612</v>
      </c>
      <c r="E397" t="s">
        <v>397</v>
      </c>
      <c r="F397" t="s">
        <v>479</v>
      </c>
      <c r="G397" t="s">
        <v>390</v>
      </c>
      <c r="H397" t="s">
        <v>391</v>
      </c>
      <c r="I397" t="s">
        <v>886</v>
      </c>
      <c r="J397" t="s">
        <v>398</v>
      </c>
      <c r="K397" t="s">
        <v>397</v>
      </c>
      <c r="L397" t="s">
        <v>623</v>
      </c>
      <c r="M397" t="s">
        <v>642</v>
      </c>
      <c r="N397" t="s">
        <v>643</v>
      </c>
      <c r="O397" t="s">
        <v>1004</v>
      </c>
      <c r="P397" t="s">
        <v>612</v>
      </c>
      <c r="Q397">
        <v>0</v>
      </c>
      <c r="R397" t="s">
        <v>480</v>
      </c>
    </row>
    <row r="398" spans="1:18" x14ac:dyDescent="0.3">
      <c r="A398" t="s">
        <v>927</v>
      </c>
      <c r="B398" t="s">
        <v>1003</v>
      </c>
      <c r="C398" t="s">
        <v>396</v>
      </c>
      <c r="D398" t="s">
        <v>612</v>
      </c>
      <c r="E398" t="s">
        <v>397</v>
      </c>
      <c r="F398" t="s">
        <v>479</v>
      </c>
      <c r="G398" t="s">
        <v>390</v>
      </c>
      <c r="H398" t="s">
        <v>391</v>
      </c>
      <c r="I398" t="s">
        <v>886</v>
      </c>
      <c r="J398" t="s">
        <v>398</v>
      </c>
      <c r="K398" t="s">
        <v>397</v>
      </c>
      <c r="L398" t="s">
        <v>623</v>
      </c>
      <c r="M398" t="s">
        <v>645</v>
      </c>
      <c r="N398" t="s">
        <v>643</v>
      </c>
      <c r="O398" t="s">
        <v>1005</v>
      </c>
      <c r="P398" t="s">
        <v>612</v>
      </c>
      <c r="Q398">
        <v>0</v>
      </c>
      <c r="R398" t="s">
        <v>480</v>
      </c>
    </row>
    <row r="399" spans="1:18" x14ac:dyDescent="0.3">
      <c r="A399" t="s">
        <v>927</v>
      </c>
      <c r="B399" t="s">
        <v>484</v>
      </c>
      <c r="C399" t="s">
        <v>396</v>
      </c>
      <c r="D399" t="s">
        <v>612</v>
      </c>
      <c r="E399" t="s">
        <v>397</v>
      </c>
      <c r="F399" t="s">
        <v>479</v>
      </c>
      <c r="G399" t="s">
        <v>394</v>
      </c>
      <c r="H399" t="s">
        <v>419</v>
      </c>
      <c r="I399" t="s">
        <v>886</v>
      </c>
      <c r="J399" t="s">
        <v>398</v>
      </c>
      <c r="K399" t="s">
        <v>397</v>
      </c>
      <c r="L399" t="s">
        <v>623</v>
      </c>
      <c r="M399" t="s">
        <v>650</v>
      </c>
      <c r="N399" t="s">
        <v>643</v>
      </c>
      <c r="O399" t="s">
        <v>1011</v>
      </c>
      <c r="P399" t="s">
        <v>612</v>
      </c>
      <c r="Q399">
        <v>0</v>
      </c>
      <c r="R399" t="s">
        <v>480</v>
      </c>
    </row>
    <row r="400" spans="1:18" x14ac:dyDescent="0.3">
      <c r="A400" t="s">
        <v>927</v>
      </c>
      <c r="B400" t="s">
        <v>484</v>
      </c>
      <c r="C400" t="s">
        <v>396</v>
      </c>
      <c r="D400" t="s">
        <v>612</v>
      </c>
      <c r="E400" t="s">
        <v>397</v>
      </c>
      <c r="F400" t="s">
        <v>479</v>
      </c>
      <c r="G400" t="s">
        <v>390</v>
      </c>
      <c r="H400" t="s">
        <v>391</v>
      </c>
      <c r="I400" t="s">
        <v>886</v>
      </c>
      <c r="J400" t="s">
        <v>398</v>
      </c>
      <c r="K400" t="s">
        <v>397</v>
      </c>
      <c r="L400" t="s">
        <v>623</v>
      </c>
      <c r="M400" t="s">
        <v>642</v>
      </c>
      <c r="N400" t="s">
        <v>643</v>
      </c>
      <c r="O400" t="s">
        <v>1012</v>
      </c>
      <c r="P400" t="s">
        <v>612</v>
      </c>
      <c r="Q400">
        <v>0</v>
      </c>
      <c r="R400" t="s">
        <v>480</v>
      </c>
    </row>
    <row r="401" spans="1:18" x14ac:dyDescent="0.3">
      <c r="A401" t="s">
        <v>927</v>
      </c>
      <c r="B401" t="s">
        <v>484</v>
      </c>
      <c r="C401" t="s">
        <v>396</v>
      </c>
      <c r="D401" t="s">
        <v>612</v>
      </c>
      <c r="E401" t="s">
        <v>397</v>
      </c>
      <c r="F401" t="s">
        <v>479</v>
      </c>
      <c r="G401" t="s">
        <v>390</v>
      </c>
      <c r="H401" t="s">
        <v>391</v>
      </c>
      <c r="I401" t="s">
        <v>886</v>
      </c>
      <c r="J401" t="s">
        <v>398</v>
      </c>
      <c r="K401" t="s">
        <v>397</v>
      </c>
      <c r="L401" t="s">
        <v>623</v>
      </c>
      <c r="M401" t="s">
        <v>645</v>
      </c>
      <c r="N401" t="s">
        <v>643</v>
      </c>
      <c r="O401" t="s">
        <v>1013</v>
      </c>
      <c r="P401" t="s">
        <v>612</v>
      </c>
      <c r="Q401">
        <v>0</v>
      </c>
      <c r="R401" t="s">
        <v>480</v>
      </c>
    </row>
    <row r="402" spans="1:18" x14ac:dyDescent="0.3">
      <c r="A402" t="s">
        <v>927</v>
      </c>
      <c r="B402" t="s">
        <v>484</v>
      </c>
      <c r="C402" t="s">
        <v>396</v>
      </c>
      <c r="D402" t="s">
        <v>612</v>
      </c>
      <c r="E402" t="s">
        <v>397</v>
      </c>
      <c r="F402" t="s">
        <v>479</v>
      </c>
      <c r="G402" t="s">
        <v>390</v>
      </c>
      <c r="H402" t="s">
        <v>391</v>
      </c>
      <c r="I402" t="s">
        <v>886</v>
      </c>
      <c r="J402" t="s">
        <v>398</v>
      </c>
      <c r="K402" t="s">
        <v>397</v>
      </c>
      <c r="L402" t="s">
        <v>623</v>
      </c>
      <c r="M402" t="s">
        <v>645</v>
      </c>
      <c r="N402" t="s">
        <v>643</v>
      </c>
      <c r="O402" t="s">
        <v>1014</v>
      </c>
      <c r="P402" t="s">
        <v>612</v>
      </c>
      <c r="Q402">
        <v>0</v>
      </c>
      <c r="R402" t="s">
        <v>480</v>
      </c>
    </row>
    <row r="403" spans="1:18" x14ac:dyDescent="0.3">
      <c r="A403" t="s">
        <v>927</v>
      </c>
      <c r="B403" t="s">
        <v>484</v>
      </c>
      <c r="C403" t="s">
        <v>396</v>
      </c>
      <c r="D403" t="s">
        <v>612</v>
      </c>
      <c r="E403" t="s">
        <v>397</v>
      </c>
      <c r="F403" t="s">
        <v>479</v>
      </c>
      <c r="G403" t="s">
        <v>390</v>
      </c>
      <c r="H403" t="s">
        <v>391</v>
      </c>
      <c r="I403" t="s">
        <v>886</v>
      </c>
      <c r="J403" t="s">
        <v>398</v>
      </c>
      <c r="K403" t="s">
        <v>397</v>
      </c>
      <c r="L403" t="s">
        <v>623</v>
      </c>
      <c r="M403" t="s">
        <v>642</v>
      </c>
      <c r="N403" t="s">
        <v>643</v>
      </c>
      <c r="O403" t="s">
        <v>1015</v>
      </c>
      <c r="P403" t="s">
        <v>612</v>
      </c>
      <c r="Q403">
        <v>0</v>
      </c>
      <c r="R403" t="s">
        <v>480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119ED-7985-4E3C-A6BA-5C7D9C973C27}">
  <sheetPr codeName="Sheet4"/>
  <dimension ref="A1:C181"/>
  <sheetViews>
    <sheetView workbookViewId="0">
      <selection activeCell="C76" sqref="C76"/>
    </sheetView>
  </sheetViews>
  <sheetFormatPr defaultRowHeight="14.4" x14ac:dyDescent="0.3"/>
  <cols>
    <col min="1" max="1" width="12.6640625" style="2" bestFit="1" customWidth="1"/>
    <col min="2" max="2" width="15.6640625" bestFit="1" customWidth="1"/>
    <col min="3" max="3" width="45.33203125" bestFit="1" customWidth="1"/>
  </cols>
  <sheetData>
    <row r="1" spans="1:3" x14ac:dyDescent="0.3">
      <c r="A1" s="1" t="s">
        <v>2</v>
      </c>
      <c r="B1" t="s">
        <v>3</v>
      </c>
      <c r="C1" t="s">
        <v>4</v>
      </c>
    </row>
    <row r="2" spans="1:3" hidden="1" x14ac:dyDescent="0.3">
      <c r="A2" s="1">
        <v>59</v>
      </c>
      <c r="B2" t="s">
        <v>5</v>
      </c>
      <c r="C2" t="s">
        <v>6</v>
      </c>
    </row>
    <row r="3" spans="1:3" hidden="1" x14ac:dyDescent="0.3">
      <c r="A3" s="1">
        <v>60</v>
      </c>
      <c r="B3" t="s">
        <v>7</v>
      </c>
      <c r="C3" t="s">
        <v>8</v>
      </c>
    </row>
    <row r="4" spans="1:3" hidden="1" x14ac:dyDescent="0.3">
      <c r="A4" s="1">
        <v>61</v>
      </c>
      <c r="B4" t="s">
        <v>9</v>
      </c>
      <c r="C4" t="s">
        <v>10</v>
      </c>
    </row>
    <row r="5" spans="1:3" hidden="1" x14ac:dyDescent="0.3">
      <c r="A5" s="1">
        <v>62</v>
      </c>
      <c r="B5" t="s">
        <v>11</v>
      </c>
      <c r="C5" t="s">
        <v>12</v>
      </c>
    </row>
    <row r="6" spans="1:3" hidden="1" x14ac:dyDescent="0.3">
      <c r="A6" s="1">
        <v>63</v>
      </c>
      <c r="B6" t="s">
        <v>13</v>
      </c>
      <c r="C6" t="s">
        <v>14</v>
      </c>
    </row>
    <row r="7" spans="1:3" hidden="1" x14ac:dyDescent="0.3">
      <c r="A7" s="1">
        <v>64</v>
      </c>
      <c r="B7" t="s">
        <v>15</v>
      </c>
      <c r="C7" t="s">
        <v>16</v>
      </c>
    </row>
    <row r="8" spans="1:3" hidden="1" x14ac:dyDescent="0.3">
      <c r="A8" s="1">
        <v>65</v>
      </c>
      <c r="B8" t="s">
        <v>17</v>
      </c>
      <c r="C8" t="s">
        <v>18</v>
      </c>
    </row>
    <row r="9" spans="1:3" x14ac:dyDescent="0.3">
      <c r="A9" s="1">
        <v>66</v>
      </c>
      <c r="B9" t="s">
        <v>19</v>
      </c>
      <c r="C9" t="s">
        <v>20</v>
      </c>
    </row>
    <row r="10" spans="1:3" x14ac:dyDescent="0.3">
      <c r="A10" s="1">
        <v>67</v>
      </c>
      <c r="B10" t="s">
        <v>21</v>
      </c>
      <c r="C10" t="s">
        <v>22</v>
      </c>
    </row>
    <row r="11" spans="1:3" x14ac:dyDescent="0.3">
      <c r="A11" s="1">
        <v>68</v>
      </c>
      <c r="B11" t="s">
        <v>23</v>
      </c>
      <c r="C11" t="s">
        <v>24</v>
      </c>
    </row>
    <row r="12" spans="1:3" hidden="1" x14ac:dyDescent="0.3">
      <c r="A12" s="1">
        <v>69</v>
      </c>
      <c r="B12" t="s">
        <v>25</v>
      </c>
      <c r="C12" t="s">
        <v>26</v>
      </c>
    </row>
    <row r="13" spans="1:3" x14ac:dyDescent="0.3">
      <c r="A13" s="1">
        <v>70</v>
      </c>
      <c r="B13" t="s">
        <v>27</v>
      </c>
      <c r="C13" t="s">
        <v>28</v>
      </c>
    </row>
    <row r="14" spans="1:3" x14ac:dyDescent="0.3">
      <c r="A14" s="1">
        <v>71</v>
      </c>
      <c r="B14" t="s">
        <v>29</v>
      </c>
      <c r="C14" t="s">
        <v>30</v>
      </c>
    </row>
    <row r="15" spans="1:3" x14ac:dyDescent="0.3">
      <c r="A15" s="3">
        <v>72</v>
      </c>
      <c r="B15" s="4" t="s">
        <v>1</v>
      </c>
      <c r="C15" s="4" t="s">
        <v>31</v>
      </c>
    </row>
    <row r="16" spans="1:3" x14ac:dyDescent="0.3">
      <c r="A16" s="1">
        <v>73</v>
      </c>
      <c r="B16" t="s">
        <v>32</v>
      </c>
      <c r="C16" t="s">
        <v>33</v>
      </c>
    </row>
    <row r="17" spans="1:3" x14ac:dyDescent="0.3">
      <c r="A17" s="1">
        <v>74</v>
      </c>
      <c r="B17" t="s">
        <v>34</v>
      </c>
      <c r="C17" t="s">
        <v>35</v>
      </c>
    </row>
    <row r="18" spans="1:3" x14ac:dyDescent="0.3">
      <c r="A18" s="1">
        <v>75</v>
      </c>
      <c r="B18" t="s">
        <v>36</v>
      </c>
      <c r="C18" t="s">
        <v>37</v>
      </c>
    </row>
    <row r="19" spans="1:3" x14ac:dyDescent="0.3">
      <c r="A19" s="1">
        <v>76</v>
      </c>
      <c r="B19" t="s">
        <v>38</v>
      </c>
      <c r="C19" t="s">
        <v>39</v>
      </c>
    </row>
    <row r="20" spans="1:3" x14ac:dyDescent="0.3">
      <c r="A20" s="1">
        <v>77</v>
      </c>
      <c r="B20" t="s">
        <v>40</v>
      </c>
      <c r="C20" t="s">
        <v>41</v>
      </c>
    </row>
    <row r="21" spans="1:3" x14ac:dyDescent="0.3">
      <c r="A21" s="1">
        <v>78</v>
      </c>
      <c r="B21" t="s">
        <v>42</v>
      </c>
      <c r="C21" t="s">
        <v>43</v>
      </c>
    </row>
    <row r="22" spans="1:3" x14ac:dyDescent="0.3">
      <c r="A22" s="1">
        <v>79</v>
      </c>
      <c r="B22" t="s">
        <v>44</v>
      </c>
      <c r="C22" t="s">
        <v>45</v>
      </c>
    </row>
    <row r="23" spans="1:3" x14ac:dyDescent="0.3">
      <c r="A23" s="1">
        <v>80</v>
      </c>
      <c r="B23" t="s">
        <v>46</v>
      </c>
      <c r="C23" t="s">
        <v>47</v>
      </c>
    </row>
    <row r="24" spans="1:3" x14ac:dyDescent="0.3">
      <c r="A24" s="1">
        <v>81</v>
      </c>
      <c r="B24" t="s">
        <v>48</v>
      </c>
      <c r="C24" t="s">
        <v>49</v>
      </c>
    </row>
    <row r="25" spans="1:3" x14ac:dyDescent="0.3">
      <c r="A25" s="1">
        <v>82</v>
      </c>
      <c r="B25" t="s">
        <v>50</v>
      </c>
      <c r="C25" t="s">
        <v>51</v>
      </c>
    </row>
    <row r="26" spans="1:3" x14ac:dyDescent="0.3">
      <c r="A26" s="1">
        <v>83</v>
      </c>
      <c r="B26" t="s">
        <v>52</v>
      </c>
      <c r="C26" t="s">
        <v>53</v>
      </c>
    </row>
    <row r="27" spans="1:3" x14ac:dyDescent="0.3">
      <c r="A27" s="1">
        <v>84</v>
      </c>
      <c r="B27" t="s">
        <v>54</v>
      </c>
      <c r="C27" t="s">
        <v>55</v>
      </c>
    </row>
    <row r="28" spans="1:3" x14ac:dyDescent="0.3">
      <c r="A28" s="1">
        <v>85</v>
      </c>
      <c r="B28" t="s">
        <v>56</v>
      </c>
      <c r="C28" t="s">
        <v>57</v>
      </c>
    </row>
    <row r="29" spans="1:3" x14ac:dyDescent="0.3">
      <c r="A29" s="1">
        <v>86</v>
      </c>
      <c r="B29" t="s">
        <v>58</v>
      </c>
      <c r="C29" t="s">
        <v>59</v>
      </c>
    </row>
    <row r="30" spans="1:3" x14ac:dyDescent="0.3">
      <c r="A30" s="1">
        <v>87</v>
      </c>
      <c r="B30" t="s">
        <v>60</v>
      </c>
      <c r="C30" t="s">
        <v>61</v>
      </c>
    </row>
    <row r="31" spans="1:3" x14ac:dyDescent="0.3">
      <c r="A31" s="1">
        <v>88</v>
      </c>
      <c r="B31" t="s">
        <v>62</v>
      </c>
      <c r="C31" t="s">
        <v>63</v>
      </c>
    </row>
    <row r="32" spans="1:3" x14ac:dyDescent="0.3">
      <c r="A32" s="1">
        <v>89</v>
      </c>
      <c r="B32" t="s">
        <v>64</v>
      </c>
      <c r="C32" t="s">
        <v>65</v>
      </c>
    </row>
    <row r="33" spans="1:3" x14ac:dyDescent="0.3">
      <c r="A33" s="1">
        <v>90</v>
      </c>
      <c r="B33" t="s">
        <v>66</v>
      </c>
      <c r="C33" t="s">
        <v>67</v>
      </c>
    </row>
    <row r="34" spans="1:3" x14ac:dyDescent="0.3">
      <c r="A34" s="1">
        <v>91</v>
      </c>
      <c r="B34" t="s">
        <v>68</v>
      </c>
      <c r="C34" t="s">
        <v>69</v>
      </c>
    </row>
    <row r="35" spans="1:3" x14ac:dyDescent="0.3">
      <c r="A35" s="1">
        <v>92</v>
      </c>
      <c r="B35" t="s">
        <v>70</v>
      </c>
      <c r="C35" t="s">
        <v>71</v>
      </c>
    </row>
    <row r="36" spans="1:3" x14ac:dyDescent="0.3">
      <c r="A36" s="1">
        <v>93</v>
      </c>
      <c r="B36" t="s">
        <v>72</v>
      </c>
      <c r="C36" t="s">
        <v>73</v>
      </c>
    </row>
    <row r="37" spans="1:3" x14ac:dyDescent="0.3">
      <c r="A37" s="1">
        <v>94</v>
      </c>
      <c r="B37" t="s">
        <v>74</v>
      </c>
      <c r="C37" t="s">
        <v>75</v>
      </c>
    </row>
    <row r="38" spans="1:3" x14ac:dyDescent="0.3">
      <c r="A38" s="1">
        <v>95</v>
      </c>
      <c r="B38" t="s">
        <v>76</v>
      </c>
      <c r="C38" t="s">
        <v>77</v>
      </c>
    </row>
    <row r="39" spans="1:3" x14ac:dyDescent="0.3">
      <c r="A39" s="1">
        <v>96</v>
      </c>
      <c r="B39" t="s">
        <v>78</v>
      </c>
      <c r="C39" t="s">
        <v>79</v>
      </c>
    </row>
    <row r="40" spans="1:3" x14ac:dyDescent="0.3">
      <c r="A40" s="1">
        <v>97</v>
      </c>
      <c r="B40" t="s">
        <v>80</v>
      </c>
      <c r="C40" t="s">
        <v>81</v>
      </c>
    </row>
    <row r="41" spans="1:3" x14ac:dyDescent="0.3">
      <c r="A41" s="1">
        <v>98</v>
      </c>
      <c r="B41" t="s">
        <v>82</v>
      </c>
      <c r="C41" t="s">
        <v>83</v>
      </c>
    </row>
    <row r="42" spans="1:3" x14ac:dyDescent="0.3">
      <c r="A42" s="1">
        <v>99</v>
      </c>
      <c r="B42" t="s">
        <v>84</v>
      </c>
      <c r="C42" t="s">
        <v>85</v>
      </c>
    </row>
    <row r="43" spans="1:3" x14ac:dyDescent="0.3">
      <c r="A43" s="1">
        <v>100</v>
      </c>
      <c r="B43" t="s">
        <v>86</v>
      </c>
      <c r="C43" t="s">
        <v>87</v>
      </c>
    </row>
    <row r="44" spans="1:3" x14ac:dyDescent="0.3">
      <c r="A44" s="1">
        <v>101</v>
      </c>
      <c r="B44" t="s">
        <v>88</v>
      </c>
      <c r="C44" t="s">
        <v>89</v>
      </c>
    </row>
    <row r="45" spans="1:3" x14ac:dyDescent="0.3">
      <c r="A45" s="1">
        <v>102</v>
      </c>
      <c r="B45" t="s">
        <v>90</v>
      </c>
      <c r="C45" t="s">
        <v>91</v>
      </c>
    </row>
    <row r="46" spans="1:3" x14ac:dyDescent="0.3">
      <c r="A46" s="1">
        <v>103</v>
      </c>
      <c r="B46" t="s">
        <v>92</v>
      </c>
      <c r="C46" t="s">
        <v>93</v>
      </c>
    </row>
    <row r="47" spans="1:3" x14ac:dyDescent="0.3">
      <c r="A47" s="1">
        <v>104</v>
      </c>
      <c r="B47" t="s">
        <v>94</v>
      </c>
      <c r="C47" t="s">
        <v>95</v>
      </c>
    </row>
    <row r="48" spans="1:3" x14ac:dyDescent="0.3">
      <c r="A48" s="1">
        <v>105</v>
      </c>
      <c r="B48" t="s">
        <v>96</v>
      </c>
      <c r="C48" t="s">
        <v>97</v>
      </c>
    </row>
    <row r="49" spans="1:3" x14ac:dyDescent="0.3">
      <c r="A49" s="1">
        <v>106</v>
      </c>
      <c r="B49" t="s">
        <v>98</v>
      </c>
      <c r="C49" t="s">
        <v>99</v>
      </c>
    </row>
    <row r="50" spans="1:3" x14ac:dyDescent="0.3">
      <c r="A50" s="1">
        <v>107</v>
      </c>
      <c r="B50" t="s">
        <v>100</v>
      </c>
      <c r="C50" t="s">
        <v>101</v>
      </c>
    </row>
    <row r="51" spans="1:3" x14ac:dyDescent="0.3">
      <c r="A51" s="1">
        <v>108</v>
      </c>
      <c r="B51" t="s">
        <v>102</v>
      </c>
      <c r="C51" t="s">
        <v>103</v>
      </c>
    </row>
    <row r="52" spans="1:3" x14ac:dyDescent="0.3">
      <c r="A52" s="1">
        <v>109</v>
      </c>
      <c r="B52" t="s">
        <v>104</v>
      </c>
      <c r="C52" t="s">
        <v>105</v>
      </c>
    </row>
    <row r="53" spans="1:3" x14ac:dyDescent="0.3">
      <c r="A53" s="1">
        <v>110</v>
      </c>
      <c r="B53" t="s">
        <v>106</v>
      </c>
      <c r="C53" t="s">
        <v>107</v>
      </c>
    </row>
    <row r="54" spans="1:3" x14ac:dyDescent="0.3">
      <c r="A54" s="1">
        <v>111</v>
      </c>
      <c r="B54" t="s">
        <v>108</v>
      </c>
      <c r="C54" t="s">
        <v>109</v>
      </c>
    </row>
    <row r="55" spans="1:3" x14ac:dyDescent="0.3">
      <c r="A55" s="1">
        <v>112</v>
      </c>
      <c r="B55" t="s">
        <v>110</v>
      </c>
      <c r="C55" t="s">
        <v>111</v>
      </c>
    </row>
    <row r="56" spans="1:3" x14ac:dyDescent="0.3">
      <c r="A56" s="1">
        <v>113</v>
      </c>
      <c r="B56" t="s">
        <v>112</v>
      </c>
      <c r="C56" t="s">
        <v>113</v>
      </c>
    </row>
    <row r="57" spans="1:3" hidden="1" x14ac:dyDescent="0.3">
      <c r="A57" s="1">
        <v>114</v>
      </c>
      <c r="B57" t="s">
        <v>114</v>
      </c>
      <c r="C57" t="s">
        <v>115</v>
      </c>
    </row>
    <row r="58" spans="1:3" x14ac:dyDescent="0.3">
      <c r="A58" s="1">
        <v>117</v>
      </c>
      <c r="B58" t="s">
        <v>116</v>
      </c>
      <c r="C58" t="s">
        <v>117</v>
      </c>
    </row>
    <row r="59" spans="1:3" x14ac:dyDescent="0.3">
      <c r="A59" s="1">
        <v>119</v>
      </c>
      <c r="B59" t="s">
        <v>118</v>
      </c>
      <c r="C59" t="s">
        <v>119</v>
      </c>
    </row>
    <row r="60" spans="1:3" x14ac:dyDescent="0.3">
      <c r="A60" s="3">
        <v>120</v>
      </c>
      <c r="B60" s="4" t="s">
        <v>120</v>
      </c>
      <c r="C60" s="4" t="s">
        <v>121</v>
      </c>
    </row>
    <row r="61" spans="1:3" x14ac:dyDescent="0.3">
      <c r="A61" s="1">
        <v>121</v>
      </c>
      <c r="B61" t="s">
        <v>122</v>
      </c>
      <c r="C61" t="s">
        <v>123</v>
      </c>
    </row>
    <row r="62" spans="1:3" x14ac:dyDescent="0.3">
      <c r="A62" s="1">
        <v>122</v>
      </c>
      <c r="B62" t="s">
        <v>124</v>
      </c>
      <c r="C62" t="s">
        <v>125</v>
      </c>
    </row>
    <row r="63" spans="1:3" x14ac:dyDescent="0.3">
      <c r="A63" s="1">
        <v>123</v>
      </c>
      <c r="B63" t="s">
        <v>126</v>
      </c>
      <c r="C63" t="s">
        <v>127</v>
      </c>
    </row>
    <row r="64" spans="1:3" x14ac:dyDescent="0.3">
      <c r="A64" s="1">
        <v>124</v>
      </c>
      <c r="B64" t="s">
        <v>128</v>
      </c>
      <c r="C64" t="s">
        <v>129</v>
      </c>
    </row>
    <row r="65" spans="1:3" x14ac:dyDescent="0.3">
      <c r="A65" s="1">
        <v>125</v>
      </c>
      <c r="B65" t="s">
        <v>130</v>
      </c>
      <c r="C65" t="s">
        <v>131</v>
      </c>
    </row>
    <row r="66" spans="1:3" x14ac:dyDescent="0.3">
      <c r="A66" s="1">
        <v>126</v>
      </c>
      <c r="B66" t="s">
        <v>132</v>
      </c>
      <c r="C66" t="s">
        <v>133</v>
      </c>
    </row>
    <row r="67" spans="1:3" x14ac:dyDescent="0.3">
      <c r="A67" s="1">
        <v>127</v>
      </c>
      <c r="B67" t="s">
        <v>134</v>
      </c>
      <c r="C67" t="s">
        <v>135</v>
      </c>
    </row>
    <row r="68" spans="1:3" x14ac:dyDescent="0.3">
      <c r="A68" s="1">
        <v>128</v>
      </c>
      <c r="B68" t="s">
        <v>136</v>
      </c>
      <c r="C68" t="s">
        <v>137</v>
      </c>
    </row>
    <row r="69" spans="1:3" x14ac:dyDescent="0.3">
      <c r="A69" s="1">
        <v>129</v>
      </c>
      <c r="B69" t="s">
        <v>138</v>
      </c>
      <c r="C69" t="s">
        <v>139</v>
      </c>
    </row>
    <row r="70" spans="1:3" x14ac:dyDescent="0.3">
      <c r="A70" s="1">
        <v>130</v>
      </c>
      <c r="B70" t="s">
        <v>140</v>
      </c>
      <c r="C70" t="s">
        <v>141</v>
      </c>
    </row>
    <row r="71" spans="1:3" hidden="1" x14ac:dyDescent="0.3">
      <c r="A71" s="1">
        <v>131</v>
      </c>
      <c r="B71" t="s">
        <v>142</v>
      </c>
      <c r="C71" t="s">
        <v>143</v>
      </c>
    </row>
    <row r="72" spans="1:3" x14ac:dyDescent="0.3">
      <c r="A72" s="1">
        <v>132</v>
      </c>
      <c r="B72" t="s">
        <v>144</v>
      </c>
      <c r="C72" t="s">
        <v>145</v>
      </c>
    </row>
    <row r="73" spans="1:3" x14ac:dyDescent="0.3">
      <c r="A73" s="1">
        <v>133</v>
      </c>
      <c r="B73" t="s">
        <v>146</v>
      </c>
      <c r="C73" t="s">
        <v>147</v>
      </c>
    </row>
    <row r="74" spans="1:3" x14ac:dyDescent="0.3">
      <c r="A74" s="1">
        <v>134</v>
      </c>
      <c r="B74" t="s">
        <v>148</v>
      </c>
      <c r="C74" t="s">
        <v>149</v>
      </c>
    </row>
    <row r="75" spans="1:3" x14ac:dyDescent="0.3">
      <c r="A75" s="1">
        <v>135</v>
      </c>
      <c r="B75" t="s">
        <v>150</v>
      </c>
      <c r="C75" t="s">
        <v>151</v>
      </c>
    </row>
    <row r="76" spans="1:3" x14ac:dyDescent="0.3">
      <c r="A76" s="1">
        <v>136</v>
      </c>
      <c r="B76" t="s">
        <v>152</v>
      </c>
      <c r="C76" t="s">
        <v>153</v>
      </c>
    </row>
    <row r="77" spans="1:3" x14ac:dyDescent="0.3">
      <c r="A77" s="1">
        <v>137</v>
      </c>
      <c r="B77" t="s">
        <v>154</v>
      </c>
      <c r="C77" t="s">
        <v>155</v>
      </c>
    </row>
    <row r="78" spans="1:3" x14ac:dyDescent="0.3">
      <c r="A78" s="1">
        <v>138</v>
      </c>
      <c r="B78" t="s">
        <v>156</v>
      </c>
      <c r="C78" t="s">
        <v>157</v>
      </c>
    </row>
    <row r="79" spans="1:3" x14ac:dyDescent="0.3">
      <c r="A79" s="1">
        <v>139</v>
      </c>
      <c r="B79" t="s">
        <v>158</v>
      </c>
      <c r="C79" t="s">
        <v>159</v>
      </c>
    </row>
    <row r="80" spans="1:3" x14ac:dyDescent="0.3">
      <c r="A80" s="1">
        <v>140</v>
      </c>
      <c r="B80" t="s">
        <v>160</v>
      </c>
      <c r="C80" t="s">
        <v>161</v>
      </c>
    </row>
    <row r="81" spans="1:3" x14ac:dyDescent="0.3">
      <c r="A81" s="1">
        <v>141</v>
      </c>
      <c r="B81" t="s">
        <v>162</v>
      </c>
      <c r="C81" t="s">
        <v>163</v>
      </c>
    </row>
    <row r="82" spans="1:3" x14ac:dyDescent="0.3">
      <c r="A82" s="1">
        <v>142</v>
      </c>
      <c r="B82" t="s">
        <v>164</v>
      </c>
      <c r="C82" t="s">
        <v>165</v>
      </c>
    </row>
    <row r="83" spans="1:3" x14ac:dyDescent="0.3">
      <c r="A83" s="1">
        <v>143</v>
      </c>
      <c r="B83" t="s">
        <v>166</v>
      </c>
      <c r="C83" t="s">
        <v>167</v>
      </c>
    </row>
    <row r="84" spans="1:3" x14ac:dyDescent="0.3">
      <c r="A84" s="1">
        <v>144</v>
      </c>
      <c r="B84" t="s">
        <v>168</v>
      </c>
      <c r="C84" t="s">
        <v>169</v>
      </c>
    </row>
    <row r="85" spans="1:3" x14ac:dyDescent="0.3">
      <c r="A85" s="1">
        <v>145</v>
      </c>
      <c r="B85" t="s">
        <v>170</v>
      </c>
      <c r="C85" t="s">
        <v>171</v>
      </c>
    </row>
    <row r="86" spans="1:3" x14ac:dyDescent="0.3">
      <c r="A86" s="1">
        <v>146</v>
      </c>
      <c r="B86" t="s">
        <v>172</v>
      </c>
      <c r="C86" t="s">
        <v>173</v>
      </c>
    </row>
    <row r="87" spans="1:3" x14ac:dyDescent="0.3">
      <c r="A87" s="1">
        <v>147</v>
      </c>
      <c r="B87" t="s">
        <v>174</v>
      </c>
      <c r="C87" t="s">
        <v>175</v>
      </c>
    </row>
    <row r="88" spans="1:3" x14ac:dyDescent="0.3">
      <c r="A88" s="1">
        <v>148</v>
      </c>
      <c r="B88" t="s">
        <v>176</v>
      </c>
      <c r="C88" t="s">
        <v>177</v>
      </c>
    </row>
    <row r="89" spans="1:3" x14ac:dyDescent="0.3">
      <c r="A89" s="1">
        <v>149</v>
      </c>
      <c r="B89" t="s">
        <v>178</v>
      </c>
      <c r="C89" t="s">
        <v>179</v>
      </c>
    </row>
    <row r="90" spans="1:3" x14ac:dyDescent="0.3">
      <c r="A90" s="1">
        <v>150</v>
      </c>
      <c r="B90" t="s">
        <v>180</v>
      </c>
      <c r="C90" t="s">
        <v>181</v>
      </c>
    </row>
    <row r="91" spans="1:3" x14ac:dyDescent="0.3">
      <c r="A91" s="1">
        <v>151</v>
      </c>
      <c r="B91" t="s">
        <v>182</v>
      </c>
      <c r="C91" t="s">
        <v>183</v>
      </c>
    </row>
    <row r="92" spans="1:3" x14ac:dyDescent="0.3">
      <c r="A92" s="1">
        <v>152</v>
      </c>
      <c r="B92" t="s">
        <v>184</v>
      </c>
      <c r="C92" t="s">
        <v>185</v>
      </c>
    </row>
    <row r="93" spans="1:3" x14ac:dyDescent="0.3">
      <c r="A93" s="1">
        <v>153</v>
      </c>
      <c r="B93" t="s">
        <v>186</v>
      </c>
      <c r="C93" t="s">
        <v>187</v>
      </c>
    </row>
    <row r="94" spans="1:3" x14ac:dyDescent="0.3">
      <c r="A94" s="1">
        <v>154</v>
      </c>
      <c r="B94" t="s">
        <v>188</v>
      </c>
      <c r="C94" t="s">
        <v>189</v>
      </c>
    </row>
    <row r="95" spans="1:3" x14ac:dyDescent="0.3">
      <c r="A95" s="1">
        <v>155</v>
      </c>
      <c r="B95" t="s">
        <v>190</v>
      </c>
      <c r="C95" t="s">
        <v>191</v>
      </c>
    </row>
    <row r="96" spans="1:3" x14ac:dyDescent="0.3">
      <c r="A96" s="1">
        <v>156</v>
      </c>
      <c r="B96" t="s">
        <v>192</v>
      </c>
      <c r="C96" t="s">
        <v>193</v>
      </c>
    </row>
    <row r="97" spans="1:3" x14ac:dyDescent="0.3">
      <c r="A97" s="1">
        <v>157</v>
      </c>
      <c r="B97" t="s">
        <v>194</v>
      </c>
      <c r="C97" t="s">
        <v>195</v>
      </c>
    </row>
    <row r="98" spans="1:3" x14ac:dyDescent="0.3">
      <c r="A98" s="1">
        <v>158</v>
      </c>
      <c r="B98" t="s">
        <v>196</v>
      </c>
      <c r="C98" t="s">
        <v>197</v>
      </c>
    </row>
    <row r="99" spans="1:3" x14ac:dyDescent="0.3">
      <c r="A99" s="1">
        <v>159</v>
      </c>
      <c r="B99" t="s">
        <v>198</v>
      </c>
      <c r="C99" t="s">
        <v>199</v>
      </c>
    </row>
    <row r="100" spans="1:3" x14ac:dyDescent="0.3">
      <c r="A100" s="1">
        <v>160</v>
      </c>
      <c r="B100" t="s">
        <v>200</v>
      </c>
      <c r="C100" t="s">
        <v>201</v>
      </c>
    </row>
    <row r="101" spans="1:3" x14ac:dyDescent="0.3">
      <c r="A101" s="1">
        <v>161</v>
      </c>
      <c r="B101" t="s">
        <v>202</v>
      </c>
      <c r="C101" t="s">
        <v>203</v>
      </c>
    </row>
    <row r="102" spans="1:3" x14ac:dyDescent="0.3">
      <c r="A102" s="1">
        <v>162</v>
      </c>
      <c r="B102" t="s">
        <v>204</v>
      </c>
      <c r="C102" t="s">
        <v>205</v>
      </c>
    </row>
    <row r="103" spans="1:3" x14ac:dyDescent="0.3">
      <c r="A103" s="1">
        <v>163</v>
      </c>
      <c r="B103" t="s">
        <v>206</v>
      </c>
      <c r="C103" t="s">
        <v>207</v>
      </c>
    </row>
    <row r="104" spans="1:3" x14ac:dyDescent="0.3">
      <c r="A104" s="1">
        <v>164</v>
      </c>
      <c r="B104" t="s">
        <v>208</v>
      </c>
      <c r="C104" t="s">
        <v>209</v>
      </c>
    </row>
    <row r="105" spans="1:3" x14ac:dyDescent="0.3">
      <c r="A105" s="1">
        <v>165</v>
      </c>
      <c r="B105" t="s">
        <v>210</v>
      </c>
      <c r="C105" t="s">
        <v>211</v>
      </c>
    </row>
    <row r="106" spans="1:3" x14ac:dyDescent="0.3">
      <c r="A106" s="1">
        <v>166</v>
      </c>
      <c r="B106" t="s">
        <v>212</v>
      </c>
      <c r="C106" t="s">
        <v>213</v>
      </c>
    </row>
    <row r="107" spans="1:3" x14ac:dyDescent="0.3">
      <c r="A107" s="1">
        <v>167</v>
      </c>
      <c r="B107" t="s">
        <v>214</v>
      </c>
      <c r="C107" t="s">
        <v>215</v>
      </c>
    </row>
    <row r="108" spans="1:3" x14ac:dyDescent="0.3">
      <c r="A108" s="1">
        <v>168</v>
      </c>
      <c r="B108" t="s">
        <v>0</v>
      </c>
      <c r="C108" t="s">
        <v>216</v>
      </c>
    </row>
    <row r="109" spans="1:3" x14ac:dyDescent="0.3">
      <c r="A109" s="1">
        <v>169</v>
      </c>
      <c r="B109" t="s">
        <v>217</v>
      </c>
      <c r="C109" t="s">
        <v>218</v>
      </c>
    </row>
    <row r="110" spans="1:3" x14ac:dyDescent="0.3">
      <c r="A110" s="1">
        <v>170</v>
      </c>
      <c r="B110" t="s">
        <v>219</v>
      </c>
      <c r="C110" t="s">
        <v>220</v>
      </c>
    </row>
    <row r="111" spans="1:3" hidden="1" x14ac:dyDescent="0.3">
      <c r="A111" s="1">
        <v>171</v>
      </c>
      <c r="B111" t="s">
        <v>221</v>
      </c>
      <c r="C111" t="s">
        <v>222</v>
      </c>
    </row>
    <row r="112" spans="1:3" x14ac:dyDescent="0.3">
      <c r="A112" s="3">
        <v>172</v>
      </c>
      <c r="B112" s="4" t="s">
        <v>223</v>
      </c>
      <c r="C112" s="4" t="s">
        <v>224</v>
      </c>
    </row>
    <row r="113" spans="1:3" x14ac:dyDescent="0.3">
      <c r="A113" s="1">
        <v>173</v>
      </c>
      <c r="B113" t="s">
        <v>225</v>
      </c>
      <c r="C113" t="s">
        <v>226</v>
      </c>
    </row>
    <row r="114" spans="1:3" x14ac:dyDescent="0.3">
      <c r="A114" s="1">
        <v>174</v>
      </c>
      <c r="B114" t="s">
        <v>227</v>
      </c>
      <c r="C114" t="s">
        <v>228</v>
      </c>
    </row>
    <row r="115" spans="1:3" x14ac:dyDescent="0.3">
      <c r="A115" s="1">
        <v>175</v>
      </c>
      <c r="B115" t="s">
        <v>229</v>
      </c>
      <c r="C115" t="s">
        <v>230</v>
      </c>
    </row>
    <row r="116" spans="1:3" x14ac:dyDescent="0.3">
      <c r="A116" s="1">
        <v>176</v>
      </c>
      <c r="B116" t="s">
        <v>231</v>
      </c>
      <c r="C116" t="s">
        <v>232</v>
      </c>
    </row>
    <row r="117" spans="1:3" x14ac:dyDescent="0.3">
      <c r="A117" s="1">
        <v>177</v>
      </c>
      <c r="B117" t="s">
        <v>233</v>
      </c>
      <c r="C117" t="s">
        <v>234</v>
      </c>
    </row>
    <row r="118" spans="1:3" x14ac:dyDescent="0.3">
      <c r="A118" s="1">
        <v>178</v>
      </c>
      <c r="B118" t="s">
        <v>235</v>
      </c>
      <c r="C118" t="s">
        <v>236</v>
      </c>
    </row>
    <row r="119" spans="1:3" x14ac:dyDescent="0.3">
      <c r="A119" s="1">
        <v>179</v>
      </c>
      <c r="B119" t="s">
        <v>237</v>
      </c>
      <c r="C119" t="s">
        <v>238</v>
      </c>
    </row>
    <row r="120" spans="1:3" x14ac:dyDescent="0.3">
      <c r="A120" s="1">
        <v>180</v>
      </c>
      <c r="B120" t="s">
        <v>239</v>
      </c>
      <c r="C120" t="s">
        <v>240</v>
      </c>
    </row>
    <row r="121" spans="1:3" x14ac:dyDescent="0.3">
      <c r="A121" s="1">
        <v>181</v>
      </c>
      <c r="B121" t="s">
        <v>241</v>
      </c>
      <c r="C121" t="s">
        <v>242</v>
      </c>
    </row>
    <row r="122" spans="1:3" x14ac:dyDescent="0.3">
      <c r="A122" s="1">
        <v>182</v>
      </c>
      <c r="B122" t="s">
        <v>243</v>
      </c>
      <c r="C122" t="s">
        <v>244</v>
      </c>
    </row>
    <row r="123" spans="1:3" x14ac:dyDescent="0.3">
      <c r="A123" s="1">
        <v>183</v>
      </c>
      <c r="B123" t="s">
        <v>245</v>
      </c>
      <c r="C123" t="s">
        <v>246</v>
      </c>
    </row>
    <row r="124" spans="1:3" x14ac:dyDescent="0.3">
      <c r="A124" s="1">
        <v>184</v>
      </c>
      <c r="B124" t="s">
        <v>247</v>
      </c>
      <c r="C124" t="s">
        <v>248</v>
      </c>
    </row>
    <row r="125" spans="1:3" x14ac:dyDescent="0.3">
      <c r="A125" s="1">
        <v>185</v>
      </c>
      <c r="B125" t="s">
        <v>249</v>
      </c>
      <c r="C125" t="s">
        <v>250</v>
      </c>
    </row>
    <row r="126" spans="1:3" x14ac:dyDescent="0.3">
      <c r="A126" s="1">
        <v>186</v>
      </c>
      <c r="B126" t="s">
        <v>251</v>
      </c>
      <c r="C126" t="s">
        <v>252</v>
      </c>
    </row>
    <row r="127" spans="1:3" x14ac:dyDescent="0.3">
      <c r="A127" s="1">
        <v>187</v>
      </c>
      <c r="B127" t="s">
        <v>253</v>
      </c>
      <c r="C127" t="s">
        <v>254</v>
      </c>
    </row>
    <row r="128" spans="1:3" x14ac:dyDescent="0.3">
      <c r="A128" s="1">
        <v>188</v>
      </c>
      <c r="B128" t="s">
        <v>255</v>
      </c>
      <c r="C128" t="s">
        <v>256</v>
      </c>
    </row>
    <row r="129" spans="1:3" x14ac:dyDescent="0.3">
      <c r="A129" s="1">
        <v>189</v>
      </c>
      <c r="B129" t="s">
        <v>257</v>
      </c>
      <c r="C129" t="s">
        <v>258</v>
      </c>
    </row>
    <row r="130" spans="1:3" hidden="1" x14ac:dyDescent="0.3">
      <c r="A130" s="1">
        <v>190</v>
      </c>
      <c r="B130" t="s">
        <v>259</v>
      </c>
      <c r="C130" t="s">
        <v>260</v>
      </c>
    </row>
    <row r="131" spans="1:3" hidden="1" x14ac:dyDescent="0.3">
      <c r="A131" s="1">
        <v>191</v>
      </c>
      <c r="B131" t="s">
        <v>261</v>
      </c>
      <c r="C131" t="s">
        <v>262</v>
      </c>
    </row>
    <row r="132" spans="1:3" x14ac:dyDescent="0.3">
      <c r="A132" s="1">
        <v>193</v>
      </c>
      <c r="B132" t="s">
        <v>263</v>
      </c>
      <c r="C132" t="s">
        <v>264</v>
      </c>
    </row>
    <row r="133" spans="1:3" x14ac:dyDescent="0.3">
      <c r="A133" s="1">
        <v>194</v>
      </c>
      <c r="B133" t="s">
        <v>265</v>
      </c>
      <c r="C133" t="s">
        <v>266</v>
      </c>
    </row>
    <row r="134" spans="1:3" x14ac:dyDescent="0.3">
      <c r="A134" s="1">
        <v>195</v>
      </c>
      <c r="B134" t="s">
        <v>267</v>
      </c>
      <c r="C134" t="s">
        <v>268</v>
      </c>
    </row>
    <row r="135" spans="1:3" x14ac:dyDescent="0.3">
      <c r="A135" s="1">
        <v>196</v>
      </c>
      <c r="B135" t="s">
        <v>269</v>
      </c>
      <c r="C135" t="s">
        <v>270</v>
      </c>
    </row>
    <row r="136" spans="1:3" x14ac:dyDescent="0.3">
      <c r="A136" s="1">
        <v>197</v>
      </c>
      <c r="B136" t="s">
        <v>271</v>
      </c>
      <c r="C136" t="s">
        <v>272</v>
      </c>
    </row>
    <row r="137" spans="1:3" x14ac:dyDescent="0.3">
      <c r="A137" s="1">
        <v>198</v>
      </c>
      <c r="B137" t="s">
        <v>273</v>
      </c>
      <c r="C137" t="s">
        <v>274</v>
      </c>
    </row>
    <row r="138" spans="1:3" x14ac:dyDescent="0.3">
      <c r="A138" s="1">
        <v>200</v>
      </c>
      <c r="B138" t="s">
        <v>275</v>
      </c>
      <c r="C138" t="s">
        <v>276</v>
      </c>
    </row>
    <row r="139" spans="1:3" x14ac:dyDescent="0.3">
      <c r="A139" s="1">
        <v>201</v>
      </c>
      <c r="B139" t="s">
        <v>277</v>
      </c>
      <c r="C139" t="s">
        <v>278</v>
      </c>
    </row>
    <row r="140" spans="1:3" x14ac:dyDescent="0.3">
      <c r="A140" s="1">
        <v>202</v>
      </c>
      <c r="B140" t="s">
        <v>279</v>
      </c>
      <c r="C140" t="s">
        <v>278</v>
      </c>
    </row>
    <row r="141" spans="1:3" x14ac:dyDescent="0.3">
      <c r="A141" s="1">
        <v>203</v>
      </c>
      <c r="B141" t="s">
        <v>280</v>
      </c>
      <c r="C141" t="s">
        <v>281</v>
      </c>
    </row>
    <row r="142" spans="1:3" x14ac:dyDescent="0.3">
      <c r="A142" s="1">
        <v>204</v>
      </c>
      <c r="B142" t="s">
        <v>282</v>
      </c>
      <c r="C142" t="s">
        <v>283</v>
      </c>
    </row>
    <row r="143" spans="1:3" x14ac:dyDescent="0.3">
      <c r="A143" s="1">
        <v>205</v>
      </c>
      <c r="B143" t="s">
        <v>284</v>
      </c>
      <c r="C143" t="s">
        <v>285</v>
      </c>
    </row>
    <row r="144" spans="1:3" x14ac:dyDescent="0.3">
      <c r="A144" s="1">
        <v>206</v>
      </c>
      <c r="B144" t="s">
        <v>286</v>
      </c>
      <c r="C144" t="s">
        <v>287</v>
      </c>
    </row>
    <row r="145" spans="1:3" x14ac:dyDescent="0.3">
      <c r="A145" s="1">
        <v>207</v>
      </c>
      <c r="B145" t="s">
        <v>288</v>
      </c>
      <c r="C145" t="s">
        <v>289</v>
      </c>
    </row>
    <row r="146" spans="1:3" x14ac:dyDescent="0.3">
      <c r="A146" s="1">
        <v>208</v>
      </c>
      <c r="B146" t="s">
        <v>290</v>
      </c>
      <c r="C146" t="s">
        <v>291</v>
      </c>
    </row>
    <row r="147" spans="1:3" x14ac:dyDescent="0.3">
      <c r="A147" s="1">
        <v>209</v>
      </c>
      <c r="B147" t="s">
        <v>292</v>
      </c>
      <c r="C147" t="s">
        <v>293</v>
      </c>
    </row>
    <row r="148" spans="1:3" x14ac:dyDescent="0.3">
      <c r="A148" s="1">
        <v>210</v>
      </c>
      <c r="B148" t="s">
        <v>294</v>
      </c>
      <c r="C148" t="s">
        <v>295</v>
      </c>
    </row>
    <row r="149" spans="1:3" x14ac:dyDescent="0.3">
      <c r="A149" s="1">
        <v>211</v>
      </c>
      <c r="B149" t="s">
        <v>296</v>
      </c>
      <c r="C149" t="s">
        <v>297</v>
      </c>
    </row>
    <row r="150" spans="1:3" x14ac:dyDescent="0.3">
      <c r="A150" s="1">
        <v>212</v>
      </c>
      <c r="B150" t="s">
        <v>298</v>
      </c>
      <c r="C150" t="s">
        <v>299</v>
      </c>
    </row>
    <row r="151" spans="1:3" x14ac:dyDescent="0.3">
      <c r="A151" s="1">
        <v>213</v>
      </c>
      <c r="B151" t="s">
        <v>300</v>
      </c>
      <c r="C151" t="s">
        <v>301</v>
      </c>
    </row>
    <row r="152" spans="1:3" x14ac:dyDescent="0.3">
      <c r="A152" s="1">
        <v>214</v>
      </c>
      <c r="B152" t="s">
        <v>302</v>
      </c>
      <c r="C152" t="s">
        <v>303</v>
      </c>
    </row>
    <row r="153" spans="1:3" x14ac:dyDescent="0.3">
      <c r="A153" s="1">
        <v>215</v>
      </c>
      <c r="B153" t="s">
        <v>304</v>
      </c>
      <c r="C153" t="s">
        <v>305</v>
      </c>
    </row>
    <row r="154" spans="1:3" x14ac:dyDescent="0.3">
      <c r="A154" s="1">
        <v>216</v>
      </c>
      <c r="B154" t="s">
        <v>306</v>
      </c>
      <c r="C154" t="s">
        <v>359</v>
      </c>
    </row>
    <row r="155" spans="1:3" x14ac:dyDescent="0.3">
      <c r="A155" s="1">
        <v>217</v>
      </c>
      <c r="B155" t="s">
        <v>307</v>
      </c>
      <c r="C155" t="s">
        <v>308</v>
      </c>
    </row>
    <row r="156" spans="1:3" x14ac:dyDescent="0.3">
      <c r="A156" s="1">
        <v>218</v>
      </c>
      <c r="B156" t="s">
        <v>309</v>
      </c>
      <c r="C156" t="s">
        <v>310</v>
      </c>
    </row>
    <row r="157" spans="1:3" x14ac:dyDescent="0.3">
      <c r="A157" s="1">
        <v>219</v>
      </c>
      <c r="B157" t="s">
        <v>311</v>
      </c>
      <c r="C157" t="s">
        <v>312</v>
      </c>
    </row>
    <row r="158" spans="1:3" x14ac:dyDescent="0.3">
      <c r="A158" s="1">
        <v>220</v>
      </c>
      <c r="B158" t="s">
        <v>313</v>
      </c>
      <c r="C158" t="s">
        <v>314</v>
      </c>
    </row>
    <row r="159" spans="1:3" x14ac:dyDescent="0.3">
      <c r="A159" s="1">
        <v>223</v>
      </c>
      <c r="B159" t="s">
        <v>315</v>
      </c>
      <c r="C159" t="s">
        <v>316</v>
      </c>
    </row>
    <row r="160" spans="1:3" x14ac:dyDescent="0.3">
      <c r="A160" s="5">
        <v>224</v>
      </c>
      <c r="B160" s="6" t="s">
        <v>317</v>
      </c>
      <c r="C160" s="6" t="s">
        <v>318</v>
      </c>
    </row>
    <row r="161" spans="1:3" x14ac:dyDescent="0.3">
      <c r="A161" s="5">
        <v>225</v>
      </c>
      <c r="B161" s="6" t="s">
        <v>319</v>
      </c>
      <c r="C161" s="6" t="s">
        <v>320</v>
      </c>
    </row>
    <row r="162" spans="1:3" x14ac:dyDescent="0.3">
      <c r="A162" s="1">
        <v>226</v>
      </c>
      <c r="B162" t="s">
        <v>321</v>
      </c>
      <c r="C162" t="s">
        <v>322</v>
      </c>
    </row>
    <row r="163" spans="1:3" x14ac:dyDescent="0.3">
      <c r="A163" s="1">
        <v>227</v>
      </c>
      <c r="B163" t="s">
        <v>323</v>
      </c>
      <c r="C163" t="s">
        <v>324</v>
      </c>
    </row>
    <row r="164" spans="1:3" x14ac:dyDescent="0.3">
      <c r="A164" s="1">
        <v>228</v>
      </c>
      <c r="B164" t="s">
        <v>325</v>
      </c>
      <c r="C164" t="s">
        <v>326</v>
      </c>
    </row>
    <row r="165" spans="1:3" x14ac:dyDescent="0.3">
      <c r="A165" s="1">
        <v>229</v>
      </c>
      <c r="B165" t="s">
        <v>327</v>
      </c>
      <c r="C165" t="s">
        <v>328</v>
      </c>
    </row>
    <row r="166" spans="1:3" x14ac:dyDescent="0.3">
      <c r="A166" s="1">
        <v>230</v>
      </c>
      <c r="B166" t="s">
        <v>329</v>
      </c>
      <c r="C166" t="s">
        <v>330</v>
      </c>
    </row>
    <row r="167" spans="1:3" x14ac:dyDescent="0.3">
      <c r="A167" s="1">
        <v>231</v>
      </c>
      <c r="B167" t="s">
        <v>331</v>
      </c>
      <c r="C167" t="s">
        <v>332</v>
      </c>
    </row>
    <row r="168" spans="1:3" x14ac:dyDescent="0.3">
      <c r="A168" s="1">
        <v>233</v>
      </c>
      <c r="B168" t="s">
        <v>333</v>
      </c>
      <c r="C168" t="s">
        <v>334</v>
      </c>
    </row>
    <row r="169" spans="1:3" x14ac:dyDescent="0.3">
      <c r="A169" s="1">
        <v>234</v>
      </c>
      <c r="B169" t="s">
        <v>335</v>
      </c>
      <c r="C169" t="s">
        <v>336</v>
      </c>
    </row>
    <row r="170" spans="1:3" hidden="1" x14ac:dyDescent="0.3">
      <c r="A170" s="1">
        <v>235</v>
      </c>
      <c r="B170" t="s">
        <v>337</v>
      </c>
      <c r="C170" t="s">
        <v>338</v>
      </c>
    </row>
    <row r="171" spans="1:3" x14ac:dyDescent="0.3">
      <c r="A171" s="1">
        <v>236</v>
      </c>
      <c r="B171" t="s">
        <v>339</v>
      </c>
      <c r="C171" t="s">
        <v>318</v>
      </c>
    </row>
    <row r="172" spans="1:3" x14ac:dyDescent="0.3">
      <c r="A172" s="1">
        <v>237</v>
      </c>
      <c r="B172" t="s">
        <v>340</v>
      </c>
      <c r="C172" t="s">
        <v>341</v>
      </c>
    </row>
    <row r="173" spans="1:3" x14ac:dyDescent="0.3">
      <c r="A173" s="1">
        <v>238</v>
      </c>
      <c r="B173" t="s">
        <v>342</v>
      </c>
      <c r="C173" t="s">
        <v>343</v>
      </c>
    </row>
    <row r="174" spans="1:3" hidden="1" x14ac:dyDescent="0.3">
      <c r="A174" s="1">
        <v>239</v>
      </c>
      <c r="B174" t="s">
        <v>344</v>
      </c>
      <c r="C174" t="s">
        <v>222</v>
      </c>
    </row>
    <row r="175" spans="1:3" x14ac:dyDescent="0.3">
      <c r="A175" s="1">
        <v>240</v>
      </c>
      <c r="B175" t="s">
        <v>345</v>
      </c>
      <c r="C175" t="s">
        <v>346</v>
      </c>
    </row>
    <row r="176" spans="1:3" x14ac:dyDescent="0.3">
      <c r="A176" s="1">
        <v>242</v>
      </c>
      <c r="B176" t="s">
        <v>347</v>
      </c>
      <c r="C176" t="s">
        <v>348</v>
      </c>
    </row>
    <row r="177" spans="1:3" x14ac:dyDescent="0.3">
      <c r="A177" s="1">
        <v>243</v>
      </c>
      <c r="B177" t="s">
        <v>349</v>
      </c>
      <c r="C177" t="s">
        <v>350</v>
      </c>
    </row>
    <row r="178" spans="1:3" x14ac:dyDescent="0.3">
      <c r="A178" s="1">
        <v>244</v>
      </c>
      <c r="B178" t="s">
        <v>351</v>
      </c>
      <c r="C178" t="s">
        <v>352</v>
      </c>
    </row>
    <row r="179" spans="1:3" x14ac:dyDescent="0.3">
      <c r="A179" s="1">
        <v>245</v>
      </c>
      <c r="B179" t="s">
        <v>353</v>
      </c>
      <c r="C179" t="s">
        <v>354</v>
      </c>
    </row>
    <row r="180" spans="1:3" x14ac:dyDescent="0.3">
      <c r="A180" s="1">
        <v>246</v>
      </c>
      <c r="B180" t="s">
        <v>355</v>
      </c>
      <c r="C180" t="s">
        <v>356</v>
      </c>
    </row>
    <row r="181" spans="1:3" x14ac:dyDescent="0.3">
      <c r="A181" s="1">
        <v>247</v>
      </c>
      <c r="B181" t="s">
        <v>357</v>
      </c>
      <c r="C181" t="s">
        <v>358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DC71B9-E9DE-4893-A7DE-2355568DFA92}">
  <sheetPr codeName="Sheet2"/>
  <dimension ref="A1:AF111"/>
  <sheetViews>
    <sheetView zoomScale="80" zoomScaleNormal="80" workbookViewId="0">
      <selection activeCell="T15" sqref="T15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style="1" bestFit="1" customWidth="1"/>
    <col min="4" max="4" width="6.44140625" style="1" customWidth="1"/>
    <col min="5" max="5" width="5" style="1" customWidth="1"/>
    <col min="6" max="6" width="4.88671875" style="1" customWidth="1"/>
    <col min="7" max="7" width="18.77734375" style="1" bestFit="1" customWidth="1"/>
    <col min="8" max="8" width="6.109375" style="1" customWidth="1"/>
    <col min="9" max="9" width="5.109375" style="1" customWidth="1"/>
    <col min="10" max="10" width="9" style="1" customWidth="1"/>
    <col min="11" max="11" width="10.6640625" style="1" customWidth="1"/>
    <col min="12" max="12" width="11.44140625" style="1" customWidth="1"/>
    <col min="13" max="13" width="6.88671875" style="1" bestFit="1" customWidth="1"/>
    <col min="14" max="14" width="6.6640625" style="1" bestFit="1" customWidth="1"/>
    <col min="15" max="15" width="6.109375" style="1" customWidth="1"/>
    <col min="16" max="16" width="8.5546875" style="1" customWidth="1"/>
    <col min="17" max="19" width="7.5546875" style="7" customWidth="1"/>
    <col min="20" max="20" width="7.44140625" style="7" customWidth="1"/>
    <col min="21" max="21" width="7.77734375" style="7" customWidth="1"/>
    <col min="22" max="22" width="7.6640625" style="7" customWidth="1"/>
    <col min="23" max="23" width="7.5546875" style="7" bestFit="1" customWidth="1"/>
    <col min="24" max="24" width="7.5546875" style="7" customWidth="1"/>
    <col min="25" max="25" width="7.77734375" style="7" customWidth="1"/>
    <col min="26" max="26" width="8.77734375" style="7" bestFit="1" customWidth="1"/>
    <col min="27" max="27" width="52.6640625" style="7" customWidth="1"/>
    <col min="28" max="28" width="6" bestFit="1" customWidth="1"/>
  </cols>
  <sheetData>
    <row r="1" spans="1:32" ht="18" x14ac:dyDescent="0.35">
      <c r="A1" s="30" t="s">
        <v>663</v>
      </c>
      <c r="C1" s="31"/>
      <c r="N1" s="104"/>
      <c r="O1" s="32"/>
      <c r="S1" s="105"/>
      <c r="Z1" s="24"/>
      <c r="AA1"/>
      <c r="AB1" s="1"/>
    </row>
    <row r="3" spans="1:32" ht="47.4" thickBot="1" x14ac:dyDescent="0.35">
      <c r="A3" s="74" t="s">
        <v>365</v>
      </c>
      <c r="B3" s="75" t="s">
        <v>374</v>
      </c>
      <c r="C3" s="76" t="s">
        <v>375</v>
      </c>
      <c r="D3" s="76" t="s">
        <v>376</v>
      </c>
      <c r="E3" s="76" t="s">
        <v>377</v>
      </c>
      <c r="F3" s="76" t="s">
        <v>378</v>
      </c>
      <c r="G3" s="76" t="s">
        <v>379</v>
      </c>
      <c r="H3" s="76" t="s">
        <v>360</v>
      </c>
      <c r="I3" s="76" t="s">
        <v>380</v>
      </c>
      <c r="J3" s="77" t="s">
        <v>381</v>
      </c>
      <c r="K3" s="77" t="s">
        <v>382</v>
      </c>
      <c r="L3" s="77" t="s">
        <v>477</v>
      </c>
      <c r="M3" s="76" t="s">
        <v>384</v>
      </c>
      <c r="N3" s="78" t="s">
        <v>385</v>
      </c>
      <c r="O3" s="78" t="s">
        <v>386</v>
      </c>
      <c r="P3" s="77" t="s">
        <v>387</v>
      </c>
      <c r="Q3" s="106" t="s">
        <v>608</v>
      </c>
      <c r="R3" s="106" t="s">
        <v>609</v>
      </c>
      <c r="S3" s="106" t="s">
        <v>610</v>
      </c>
      <c r="T3" s="106" t="s">
        <v>611</v>
      </c>
      <c r="U3" s="106">
        <v>64</v>
      </c>
      <c r="V3" s="107">
        <v>72</v>
      </c>
      <c r="W3" s="107">
        <v>88</v>
      </c>
      <c r="X3" s="107">
        <v>105</v>
      </c>
      <c r="Y3" s="107">
        <v>125</v>
      </c>
      <c r="Z3" s="107" t="s">
        <v>388</v>
      </c>
      <c r="AA3" s="75" t="s">
        <v>404</v>
      </c>
      <c r="AB3" s="76" t="s">
        <v>405</v>
      </c>
    </row>
    <row r="4" spans="1:32" ht="15.6" x14ac:dyDescent="0.3">
      <c r="A4" s="66" t="s">
        <v>449</v>
      </c>
      <c r="B4" s="108" t="s">
        <v>489</v>
      </c>
      <c r="C4" s="109" t="s">
        <v>478</v>
      </c>
      <c r="D4" s="64" t="s">
        <v>612</v>
      </c>
      <c r="E4" s="64" t="s">
        <v>450</v>
      </c>
      <c r="F4" s="64">
        <v>1</v>
      </c>
      <c r="G4" s="64" t="s">
        <v>394</v>
      </c>
      <c r="H4" s="64" t="s">
        <v>391</v>
      </c>
      <c r="I4" s="110" t="s">
        <v>503</v>
      </c>
      <c r="J4" s="64" t="s">
        <v>439</v>
      </c>
      <c r="K4" s="64" t="s">
        <v>450</v>
      </c>
      <c r="L4" s="64" t="s">
        <v>488</v>
      </c>
      <c r="M4" s="64" t="s">
        <v>393</v>
      </c>
      <c r="N4" s="64">
        <f>+Z4/80</f>
        <v>20</v>
      </c>
      <c r="O4" s="64"/>
      <c r="P4" s="64" t="s">
        <v>613</v>
      </c>
      <c r="Q4" s="65"/>
      <c r="R4" s="65"/>
      <c r="S4" s="65"/>
      <c r="T4" s="65"/>
      <c r="U4" s="68"/>
      <c r="V4" s="65">
        <f>8*80</f>
        <v>640</v>
      </c>
      <c r="W4" s="65">
        <f>3*80</f>
        <v>240</v>
      </c>
      <c r="X4" s="65">
        <f>9*80</f>
        <v>720</v>
      </c>
      <c r="Y4" s="65"/>
      <c r="Z4" s="65">
        <f>SUM(Q4:Y4)</f>
        <v>1600</v>
      </c>
      <c r="AA4" s="67" t="s">
        <v>495</v>
      </c>
      <c r="AB4" s="64" t="s">
        <v>483</v>
      </c>
    </row>
    <row r="5" spans="1:32" x14ac:dyDescent="0.3">
      <c r="A5" s="8"/>
      <c r="B5" s="8"/>
      <c r="C5" s="9"/>
      <c r="D5" s="9"/>
      <c r="E5" s="9"/>
      <c r="F5" s="9"/>
      <c r="G5" s="9"/>
      <c r="H5" s="9"/>
      <c r="I5" s="9"/>
      <c r="J5" s="9"/>
      <c r="K5" s="9"/>
      <c r="L5" s="10" t="s">
        <v>413</v>
      </c>
      <c r="M5" s="10"/>
      <c r="N5" s="10"/>
      <c r="O5" s="10"/>
      <c r="P5" s="9">
        <f>SUM(Q5:Y5)</f>
        <v>20</v>
      </c>
      <c r="Q5" s="11">
        <f t="shared" ref="Q5:Y5" si="0">IFERROR(Q4/80,0)</f>
        <v>0</v>
      </c>
      <c r="R5" s="11">
        <f t="shared" si="0"/>
        <v>0</v>
      </c>
      <c r="S5" s="11">
        <f t="shared" si="0"/>
        <v>0</v>
      </c>
      <c r="T5" s="11">
        <f t="shared" si="0"/>
        <v>0</v>
      </c>
      <c r="U5" s="11">
        <f t="shared" si="0"/>
        <v>0</v>
      </c>
      <c r="V5" s="11">
        <f t="shared" si="0"/>
        <v>8</v>
      </c>
      <c r="W5" s="11">
        <f t="shared" si="0"/>
        <v>3</v>
      </c>
      <c r="X5" s="11">
        <f t="shared" si="0"/>
        <v>9</v>
      </c>
      <c r="Y5" s="11">
        <f t="shared" si="0"/>
        <v>0</v>
      </c>
      <c r="Z5" s="11"/>
      <c r="AA5" s="129" t="s">
        <v>994</v>
      </c>
      <c r="AB5" s="8"/>
    </row>
    <row r="6" spans="1:32" x14ac:dyDescent="0.3">
      <c r="A6" s="8"/>
      <c r="B6" s="8"/>
      <c r="C6" s="9"/>
      <c r="D6" s="9"/>
      <c r="E6" s="9"/>
      <c r="F6" s="9"/>
      <c r="G6" s="9"/>
      <c r="H6" s="9"/>
      <c r="I6" s="9"/>
      <c r="J6" s="9"/>
      <c r="K6" s="9"/>
      <c r="L6" s="10" t="s">
        <v>414</v>
      </c>
      <c r="M6" s="10"/>
      <c r="N6" s="10"/>
      <c r="O6" s="10"/>
      <c r="P6" s="9">
        <f>SUM(Q6:Y6)</f>
        <v>6</v>
      </c>
      <c r="Q6" s="11">
        <f t="shared" ref="Q6:Y6" si="1">IFERROR(Q5-(Q7+Q9),0)</f>
        <v>0</v>
      </c>
      <c r="R6" s="11">
        <f t="shared" si="1"/>
        <v>0</v>
      </c>
      <c r="S6" s="11">
        <f t="shared" si="1"/>
        <v>0</v>
      </c>
      <c r="T6" s="11">
        <f t="shared" si="1"/>
        <v>0</v>
      </c>
      <c r="U6" s="11">
        <f t="shared" si="1"/>
        <v>0</v>
      </c>
      <c r="V6" s="11">
        <f t="shared" si="1"/>
        <v>0</v>
      </c>
      <c r="W6" s="11">
        <f t="shared" si="1"/>
        <v>0</v>
      </c>
      <c r="X6" s="11">
        <f t="shared" si="1"/>
        <v>6</v>
      </c>
      <c r="Y6" s="11">
        <f t="shared" si="1"/>
        <v>0</v>
      </c>
      <c r="Z6" s="11"/>
      <c r="AA6" s="129" t="s">
        <v>615</v>
      </c>
      <c r="AB6" s="8"/>
    </row>
    <row r="7" spans="1:32" x14ac:dyDescent="0.3">
      <c r="A7" s="8"/>
      <c r="B7" s="8"/>
      <c r="C7" s="9"/>
      <c r="D7" s="9"/>
      <c r="E7" s="9"/>
      <c r="F7" s="9"/>
      <c r="G7" s="9"/>
      <c r="H7" s="9"/>
      <c r="I7" s="9"/>
      <c r="J7" s="9"/>
      <c r="K7" s="9"/>
      <c r="L7" s="10" t="s">
        <v>415</v>
      </c>
      <c r="M7" s="10"/>
      <c r="N7" s="10"/>
      <c r="O7" s="10"/>
      <c r="P7" s="131">
        <f>SUM(Q7:Y7)</f>
        <v>1</v>
      </c>
      <c r="Q7" s="58">
        <f>IF(NOT(ISBLANK(Q4)),COUNTIFS(Data!$C:$C,$C4,Data!$P:$P,"VAL",Data!$E:$E,$E4,Data!$F:$F,$F4,Data!$I:$I,IF(ISBLANK($I4),"",$I4),Data!$J:$J,$J4,Data!$K:$K,$K4,Data!$R:$R,"",Data!$L:$L,IF(ISBLANK($P4),"",$P4),Data!$G:$G,"MAHEL",Data!$H:$H,"A15C",Data!$M:$M,36),0)-Q9</f>
        <v>0</v>
      </c>
      <c r="R7" s="58">
        <f>IF(NOT(ISBLANK(R4)),COUNTIFS(Data!$C:$C,$C4,Data!$P:$P,"VAL",Data!$E:$E,$E4,Data!$F:$F,$F4,Data!$I:$I,IF(ISBLANK($I4),"",$I4),Data!$J:$J,$J4,Data!$K:$K,$K4,Data!$R:$R,"",Data!$L:$L,IF(ISBLANK($P4),"",$P4),Data!$G:$G,"MAHEL",Data!$H:$H,"A15C",Data!$M:$M,40),0)-R9</f>
        <v>0</v>
      </c>
      <c r="S7" s="58">
        <f>IF(NOT(ISBLANK(S4)),COUNTIFS(Data!$C:$C,$C4,Data!$P:$P,"VAL",Data!$E:$E,$E4,Data!$F:$F,$F4,Data!$I:$I,IF(ISBLANK($I4),"",$I4),Data!$J:$J,$J4,Data!$K:$K,$K4,Data!$R:$R,"",Data!$L:$L,IF(ISBLANK($P4),"",$P4),Data!$G:$G,"MAHEL",Data!$H:$H,"A15C",Data!$M:$M,48),0)-S9</f>
        <v>0</v>
      </c>
      <c r="T7" s="58">
        <f>IF(NOT(ISBLANK(T4)),COUNTIFS(Data!$C:$C,$C4,Data!$P:$P,"VAL",Data!$E:$E,$E4,Data!$F:$F,$F4,Data!$I:$I,IF(ISBLANK($I4),"",$I4),Data!$J:$J,$J4,Data!$K:$K,$K4,Data!$R:$R,"",Data!$L:$L,IF(ISBLANK($P4),"",$P4),Data!$G:$G,"MAHEL",Data!$H:$H,"A15C",Data!$M:$M,56),0)-T9</f>
        <v>0</v>
      </c>
      <c r="U7" s="58">
        <f>IF(NOT(ISBLANK(U4)),COUNTIFS(Data!$C:$C,$C4,Data!$P:$P,"VAL",Data!$E:$E,$E4,Data!$F:$F,$F4,Data!$I:$I,IF(ISBLANK($I4),"",$I4),Data!$J:$J,$J4,Data!$K:$K,$K4,Data!$R:$R,"",Data!$L:$L,IF(ISBLANK($P4),"",$P4),Data!$G:$G,"MAHEL",Data!$H:$H,"A15C",Data!$M:$M,64),0)-U9</f>
        <v>0</v>
      </c>
      <c r="V7" s="58">
        <f>IF(NOT(ISBLANK(V4)),COUNTIFS(Data!$C:$C,$C4,Data!$P:$P,"VAL",Data!$E:$E,$E4,Data!$F:$F,$F4,Data!$I:$I,IF(ISBLANK($I4),"",$I4),Data!$J:$J,$J4,Data!$K:$K,$K4,Data!$R:$R,"",Data!$L:$L,IF(ISBLANK($P4),"",$P4),Data!$G:$G,"MAHEL",Data!$H:$H,"A15C",Data!$M:$M,72),0)-V9</f>
        <v>0</v>
      </c>
      <c r="W7" s="58">
        <f>IF(NOT(ISBLANK(W4)),COUNTIFS(Data!$C:$C,$C4,Data!$P:$P,"VAL",Data!$E:$E,$E4,Data!$F:$F,$F4,Data!$I:$I,IF(ISBLANK($I4),"",$I4),Data!$J:$J,$J4,Data!$K:$K,$K4,Data!$R:$R,"",Data!$L:$L,IF(ISBLANK($P4),"",$P4),Data!$G:$G,"MAHEL",Data!$H:$H,"A15C",Data!$M:$M,88),0)-W9</f>
        <v>0</v>
      </c>
      <c r="X7" s="58">
        <f>IF(NOT(ISBLANK(X4)),COUNTIFS(Data!$C:$C,$C4,Data!$P:$P,"VAL",Data!$E:$E,$E4,Data!$F:$F,$F4,Data!$I:$I,IF(ISBLANK($I4),"",$I4),Data!$J:$J,$J4,Data!$K:$K,$K4,Data!$R:$R,"",Data!$L:$L,IF(ISBLANK($P4),"",$P4),Data!$G:$G,"MAHEL",Data!$H:$H,"A15C",Data!$M:$M,105),0)-X9</f>
        <v>1</v>
      </c>
      <c r="Y7" s="58">
        <f>IF(NOT(ISBLANK(Y4)),COUNTIFS(Data!$C:$C,$C4,Data!$P:$P,"VAL",Data!$E:$E,$E4,Data!$F:$F,$F4,Data!$I:$I,IF(ISBLANK($I4),"",$I4),Data!$J:$J,$J4,Data!$K:$K,$K4,Data!$R:$R,"",Data!$L:$L,IF(ISBLANK($P4),"",$P4),Data!$G:$G,"MAHEL",Data!$H:$H,"A15C",Data!$M:$M,125),0)-Y9</f>
        <v>0</v>
      </c>
      <c r="Z7" s="11"/>
      <c r="AA7" s="129"/>
      <c r="AB7" s="8"/>
    </row>
    <row r="8" spans="1:32" x14ac:dyDescent="0.3">
      <c r="A8" s="8"/>
      <c r="B8" s="8"/>
      <c r="C8" s="9"/>
      <c r="D8" s="9"/>
      <c r="E8" s="9"/>
      <c r="F8" s="9"/>
      <c r="G8" s="9"/>
      <c r="H8" s="9"/>
      <c r="I8" s="9"/>
      <c r="J8" s="9"/>
      <c r="K8" s="9"/>
      <c r="L8" s="10" t="s">
        <v>416</v>
      </c>
      <c r="M8" s="10"/>
      <c r="N8" s="10"/>
      <c r="O8" s="10"/>
      <c r="P8" s="9">
        <f>IF(COUNTIF(AA4:AA9,"*AS ORDERED*")&gt;0,SUM(Q8:Y8),IF(P6&gt;0,0,(-1)*P6))</f>
        <v>0</v>
      </c>
      <c r="Q8" s="11">
        <f t="shared" ref="Q8:Y8" si="2">IF(Q6&lt;0,-Q6,IF((Q7+Q9)-Q5&gt;0,(Q7+Q9)-Q5,0))</f>
        <v>0</v>
      </c>
      <c r="R8" s="11">
        <f t="shared" si="2"/>
        <v>0</v>
      </c>
      <c r="S8" s="11">
        <f t="shared" si="2"/>
        <v>0</v>
      </c>
      <c r="T8" s="11">
        <f t="shared" si="2"/>
        <v>0</v>
      </c>
      <c r="U8" s="11">
        <f t="shared" si="2"/>
        <v>0</v>
      </c>
      <c r="V8" s="11">
        <f t="shared" si="2"/>
        <v>0</v>
      </c>
      <c r="W8" s="11">
        <f t="shared" si="2"/>
        <v>0</v>
      </c>
      <c r="X8" s="11">
        <f t="shared" si="2"/>
        <v>0</v>
      </c>
      <c r="Y8" s="11">
        <f t="shared" si="2"/>
        <v>0</v>
      </c>
      <c r="Z8" s="11"/>
      <c r="AA8" s="11"/>
      <c r="AB8" s="8"/>
    </row>
    <row r="9" spans="1:32" ht="15" thickBot="1" x14ac:dyDescent="0.35">
      <c r="A9" s="8"/>
      <c r="B9" s="8"/>
      <c r="C9" s="9"/>
      <c r="D9" s="9"/>
      <c r="E9" s="9"/>
      <c r="F9" s="9"/>
      <c r="G9" s="9"/>
      <c r="H9" s="9"/>
      <c r="I9" s="9"/>
      <c r="J9" s="9"/>
      <c r="K9" s="9"/>
      <c r="L9" s="10" t="s">
        <v>417</v>
      </c>
      <c r="M9" s="10"/>
      <c r="N9" s="10"/>
      <c r="O9" s="10"/>
      <c r="P9" s="131">
        <f>SUM(Q9:Y9)</f>
        <v>13</v>
      </c>
      <c r="Q9" s="58">
        <f>IF(NOT(ISBLANK(Q4)),COUNTIFS(Data!$C:$C,$C4,Data!$P:$P,"VAL",Data!$E:$E,$E4,Data!$F:$F,$F4,Data!$I:$I,IF(ISBLANK($I4),"",$I4),Data!$J:$J,$J4,Data!$K:$K,$K4,Data!$R:$R,"",Data!$L:$L,IF(ISBLANK($P4),"",$P4),Data!$G:$G,"MAHEL",Data!$H:$H,"A15C",Data!$M:$M,36, Data!$Q:$Q,1),0)</f>
        <v>0</v>
      </c>
      <c r="R9" s="58">
        <f>IF(NOT(ISBLANK(R4)),COUNTIFS(Data!$C:$C,$C4,Data!$P:$P,"VAL",Data!$E:$E,$E4,Data!$F:$F,$F4,Data!$I:$I,IF(ISBLANK($I4),"",$I4),Data!$J:$J,$J4,Data!$K:$K,$K4,Data!$R:$R,"",Data!$L:$L,IF(ISBLANK($P4),"",$P4),Data!$G:$G,"MAHEL",Data!$H:$H,"A15C",Data!$M:$M,40, Data!$Q:$Q,1),0)</f>
        <v>0</v>
      </c>
      <c r="S9" s="58">
        <f>IF(NOT(ISBLANK(S4)),COUNTIFS(Data!$C:$C,$C4,Data!$P:$P,"VAL",Data!$E:$E,$E4,Data!$F:$F,$F4,Data!$I:$I,IF(ISBLANK($I4),"",$I4),Data!$J:$J,$J4,Data!$K:$K,$K4,Data!$R:$R,"",Data!$L:$L,IF(ISBLANK($P4),"",$P4),Data!$G:$G,"MAHEL",Data!$H:$H,"A15C",Data!$M:$M,48, Data!$Q:$Q,1),0)</f>
        <v>0</v>
      </c>
      <c r="T9" s="58">
        <f>IF(NOT(ISBLANK(T4)),COUNTIFS(Data!$C:$C,$C4,Data!$P:$P,"VAL",Data!$E:$E,$E4,Data!$F:$F,$F4,Data!$I:$I,IF(ISBLANK($I4),"",$I4),Data!$J:$J,$J4,Data!$K:$K,$K4,Data!$R:$R,"",Data!$L:$L,IF(ISBLANK($P4),"",$P4),Data!$G:$G,"MAHEL",Data!$H:$H,"A15C",Data!$M:$M,56, Data!$Q:$Q,1),0)</f>
        <v>0</v>
      </c>
      <c r="U9" s="58">
        <f>IF(NOT(ISBLANK(U4)),COUNTIFS(Data!$C:$C,$C4,Data!$P:$P,"VAL",Data!$E:$E,$E4,Data!$F:$F,$F4,Data!$I:$I,IF(ISBLANK($I4),"",$I4),Data!$J:$J,$J4,Data!$K:$K,$K4,Data!$R:$R,"",Data!$L:$L,IF(ISBLANK($P4),"",$P4),Data!$G:$G,"MAHEL",Data!$H:$H,"A15C",Data!$M:$M,64, Data!$Q:$Q,1),0)</f>
        <v>0</v>
      </c>
      <c r="V9" s="58">
        <f>IF(NOT(ISBLANK(V4)),COUNTIFS(Data!$C:$C,$C4,Data!$P:$P,"VAL",Data!$E:$E,$E4,Data!$F:$F,$F4,Data!$I:$I,IF(ISBLANK($I4),"",$I4),Data!$J:$J,$J4,Data!$K:$K,$K4,Data!$R:$R,"",Data!$L:$L,IF(ISBLANK($P4),"",$P4),Data!$G:$G,"MAHEL",Data!$H:$H,"A15C",Data!$M:$M,72, Data!$Q:$Q,1),0)</f>
        <v>8</v>
      </c>
      <c r="W9" s="58">
        <f>IF(NOT(ISBLANK(W4)),COUNTIFS(Data!$C:$C,$C4,Data!$P:$P,"VAL",Data!$E:$E,$E4,Data!$F:$F,$F4,Data!$I:$I,IF(ISBLANK($I4),"",$I4),Data!$J:$J,$J4,Data!$K:$K,$K4,Data!$R:$R,"",Data!$L:$L,IF(ISBLANK($P4),"",$P4),Data!$G:$G,"MAHEL",Data!$H:$H,"A15C",Data!$M:$M,88, Data!$Q:$Q,1),0)</f>
        <v>3</v>
      </c>
      <c r="X9" s="58">
        <f>IF(NOT(ISBLANK(X4)),COUNTIFS(Data!$C:$C,$C4,Data!$P:$P,"VAL",Data!$E:$E,$E4,Data!$F:$F,$F4,Data!$I:$I,IF(ISBLANK($I4),"",$I4),Data!$J:$J,$J4,Data!$K:$K,$K4,Data!$R:$R,"",Data!$L:$L,IF(ISBLANK($P4),"",$P4),Data!$G:$G,"MAHEL",Data!$H:$H,"A15C",Data!$M:$M,105, Data!$Q:$Q,1),0)</f>
        <v>2</v>
      </c>
      <c r="Y9" s="58">
        <f>IF(NOT(ISBLANK(Y4)),COUNTIFS(Data!$C:$C,$C4,Data!$P:$P,"VAL",Data!$E:$E,$E4,Data!$F:$F,$F4,Data!$I:$I,IF(ISBLANK($I4),"",$I4),Data!$J:$J,$J4,Data!$K:$K,$K4,Data!$R:$R,"",Data!$L:$L,IF(ISBLANK($P4),"",$P4),Data!$G:$G,"MAHEL",Data!$H:$H,"A15C",Data!$M:$M,125, Data!$Q:$Q,1),0)</f>
        <v>0</v>
      </c>
      <c r="Z9" s="11"/>
      <c r="AA9" s="11"/>
      <c r="AB9" s="8">
        <v>80</v>
      </c>
    </row>
    <row r="10" spans="1:32" ht="15.6" x14ac:dyDescent="0.3">
      <c r="A10" s="66" t="s">
        <v>499</v>
      </c>
      <c r="B10" s="108" t="s">
        <v>489</v>
      </c>
      <c r="C10" s="109" t="s">
        <v>478</v>
      </c>
      <c r="D10" s="64" t="s">
        <v>612</v>
      </c>
      <c r="E10" s="64" t="s">
        <v>500</v>
      </c>
      <c r="F10" s="64">
        <v>1</v>
      </c>
      <c r="G10" s="64" t="s">
        <v>394</v>
      </c>
      <c r="H10" s="64" t="s">
        <v>391</v>
      </c>
      <c r="I10" s="111" t="s">
        <v>616</v>
      </c>
      <c r="J10" s="109" t="s">
        <v>494</v>
      </c>
      <c r="K10" s="109" t="s">
        <v>500</v>
      </c>
      <c r="L10" s="109" t="s">
        <v>392</v>
      </c>
      <c r="M10" s="109" t="s">
        <v>393</v>
      </c>
      <c r="N10" s="64">
        <f>+Z10/80</f>
        <v>20</v>
      </c>
      <c r="O10" s="64"/>
      <c r="P10" s="64" t="s">
        <v>613</v>
      </c>
      <c r="Q10" s="65"/>
      <c r="R10" s="65"/>
      <c r="S10" s="65"/>
      <c r="T10" s="65"/>
      <c r="U10" s="65"/>
      <c r="V10" s="65">
        <f>10*80</f>
        <v>800</v>
      </c>
      <c r="W10" s="65">
        <f>10*80</f>
        <v>800</v>
      </c>
      <c r="X10" s="64"/>
      <c r="Y10" s="64"/>
      <c r="Z10" s="65">
        <f>SUM(Q10:Y10)</f>
        <v>1600</v>
      </c>
      <c r="AA10" s="67" t="s">
        <v>495</v>
      </c>
      <c r="AB10" s="64" t="s">
        <v>483</v>
      </c>
    </row>
    <row r="11" spans="1:32" x14ac:dyDescent="0.3">
      <c r="A11" s="8"/>
      <c r="B11" s="8"/>
      <c r="C11" s="9"/>
      <c r="D11" s="9"/>
      <c r="E11" s="9"/>
      <c r="F11" s="9"/>
      <c r="G11" s="9"/>
      <c r="H11" s="9"/>
      <c r="I11" s="9"/>
      <c r="J11" s="9"/>
      <c r="K11" s="9"/>
      <c r="L11" s="10" t="s">
        <v>413</v>
      </c>
      <c r="M11" s="10"/>
      <c r="N11" s="10"/>
      <c r="O11" s="10"/>
      <c r="P11" s="9">
        <f>SUM(Q11:Y11)</f>
        <v>20</v>
      </c>
      <c r="Q11" s="11">
        <f t="shared" ref="Q11:Y11" si="3">IFERROR(Q10/80,0)</f>
        <v>0</v>
      </c>
      <c r="R11" s="11">
        <f t="shared" si="3"/>
        <v>0</v>
      </c>
      <c r="S11" s="11">
        <f t="shared" si="3"/>
        <v>0</v>
      </c>
      <c r="T11" s="11">
        <f t="shared" si="3"/>
        <v>0</v>
      </c>
      <c r="U11" s="11">
        <f t="shared" si="3"/>
        <v>0</v>
      </c>
      <c r="V11" s="11">
        <f t="shared" si="3"/>
        <v>10</v>
      </c>
      <c r="W11" s="11">
        <f t="shared" si="3"/>
        <v>10</v>
      </c>
      <c r="X11" s="11">
        <f t="shared" si="3"/>
        <v>0</v>
      </c>
      <c r="Y11" s="11">
        <f t="shared" si="3"/>
        <v>0</v>
      </c>
      <c r="Z11" s="11"/>
      <c r="AA11" s="129" t="s">
        <v>635</v>
      </c>
      <c r="AB11" s="8"/>
    </row>
    <row r="12" spans="1:32" x14ac:dyDescent="0.3">
      <c r="A12" s="8"/>
      <c r="B12" s="8"/>
      <c r="C12" s="9"/>
      <c r="D12" s="9"/>
      <c r="E12" s="9"/>
      <c r="F12" s="9"/>
      <c r="G12" s="9"/>
      <c r="H12" s="9"/>
      <c r="I12" s="9"/>
      <c r="J12" s="9"/>
      <c r="K12" s="9"/>
      <c r="L12" s="10" t="s">
        <v>414</v>
      </c>
      <c r="M12" s="10"/>
      <c r="N12" s="10"/>
      <c r="O12" s="10"/>
      <c r="P12" s="9">
        <f>SUM(Q12:Y12)</f>
        <v>6</v>
      </c>
      <c r="Q12" s="11">
        <f t="shared" ref="Q12:Y12" si="4">IFERROR(Q11-(Q13+Q15),0)</f>
        <v>0</v>
      </c>
      <c r="R12" s="11">
        <f t="shared" si="4"/>
        <v>0</v>
      </c>
      <c r="S12" s="11">
        <f t="shared" si="4"/>
        <v>0</v>
      </c>
      <c r="T12" s="11">
        <f t="shared" si="4"/>
        <v>0</v>
      </c>
      <c r="U12" s="11">
        <f t="shared" si="4"/>
        <v>0</v>
      </c>
      <c r="V12" s="11">
        <f t="shared" si="4"/>
        <v>0</v>
      </c>
      <c r="W12" s="11">
        <f t="shared" si="4"/>
        <v>6</v>
      </c>
      <c r="X12" s="11">
        <f t="shared" si="4"/>
        <v>0</v>
      </c>
      <c r="Y12" s="11">
        <f t="shared" si="4"/>
        <v>0</v>
      </c>
      <c r="Z12" s="11"/>
      <c r="AA12" s="129" t="s">
        <v>636</v>
      </c>
      <c r="AB12" s="8"/>
    </row>
    <row r="13" spans="1:32" x14ac:dyDescent="0.3">
      <c r="A13" s="8"/>
      <c r="B13" s="8"/>
      <c r="C13" s="9"/>
      <c r="D13" s="9"/>
      <c r="E13" s="9"/>
      <c r="F13" s="9"/>
      <c r="G13" s="9"/>
      <c r="H13" s="9"/>
      <c r="I13" s="9"/>
      <c r="J13" s="9"/>
      <c r="K13" s="9"/>
      <c r="L13" s="10" t="s">
        <v>415</v>
      </c>
      <c r="M13" s="10"/>
      <c r="N13" s="10"/>
      <c r="O13" s="10"/>
      <c r="P13" s="131">
        <f>SUM(Q13:Y13)</f>
        <v>1</v>
      </c>
      <c r="Q13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IF(NOT(ISBLANK(Q10)),COUNTIFS(Data!$C:$C,$C10,Data!$P:$P,"VAL",Data!$E:$E,$E10,Data!$F:$F,$F10,Data!$I:$I,IF(ISBLANK($I10),"",$I10),Data!$J:$J,$J10,Data!$K:$K,$K10,Data!$R:$R,"",Data!$L:$L,IF(ISBLANK($P10),"",$P10),Data!$G:$G,"MAHEL",Data!$H:$H,"A15C",Data!$M:$M,36),0)-Q15</f>
        <v>0</v>
      </c>
      <c r="R13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IF(NOT(ISBLANK(R10)),COUNTIFS(Data!$C:$C,$C10,Data!$P:$P,"VAL",Data!$E:$E,$E10,Data!$F:$F,$F10,Data!$I:$I,IF(ISBLANK($I10),"",$I10),Data!$J:$J,$J10,Data!$K:$K,$K10,Data!$R:$R,"",Data!$L:$L,IF(ISBLANK($P10),"",$P10),Data!$G:$G,"MAHEL",Data!$H:$H,"A15C",Data!$M:$M,40),0)-R15</f>
        <v>0</v>
      </c>
      <c r="S13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IF(NOT(ISBLANK(S10)),COUNTIFS(Data!$C:$C,$C10,Data!$P:$P,"VAL",Data!$E:$E,$E10,Data!$F:$F,$F10,Data!$I:$I,IF(ISBLANK($I10),"",$I10),Data!$J:$J,$J10,Data!$K:$K,$K10,Data!$R:$R,"",Data!$L:$L,IF(ISBLANK($P10),"",$P10),Data!$G:$G,"MAHEL",Data!$H:$H,"A15C",Data!$M:$M,48),0)-S15</f>
        <v>0</v>
      </c>
      <c r="T13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IF(NOT(ISBLANK(T10)),COUNTIFS(Data!$C:$C,$C10,Data!$P:$P,"VAL",Data!$E:$E,$E10,Data!$F:$F,$F10,Data!$I:$I,IF(ISBLANK($I10),"",$I10),Data!$J:$J,$J10,Data!$K:$K,$K10,Data!$R:$R,"",Data!$L:$L,IF(ISBLANK($P10),"",$P10),Data!$G:$G,"MAHEL",Data!$H:$H,"A15C",Data!$M:$M,56),0)-T15</f>
        <v>0</v>
      </c>
      <c r="U13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IF(NOT(ISBLANK(U10)),COUNTIFS(Data!$C:$C,$C10,Data!$P:$P,"VAL",Data!$E:$E,$E10,Data!$F:$F,$F10,Data!$I:$I,IF(ISBLANK($I10),"",$I10),Data!$J:$J,$J10,Data!$K:$K,$K10,Data!$R:$R,"",Data!$L:$L,IF(ISBLANK($P10),"",$P10),Data!$G:$G,"MAHEL",Data!$H:$H,"A15C",Data!$M:$M,64),0)-U15</f>
        <v>0</v>
      </c>
      <c r="V13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IF(NOT(ISBLANK(V10)),COUNTIFS(Data!$C:$C,$C10,Data!$P:$P,"VAL",Data!$E:$E,$E10,Data!$F:$F,$F10,Data!$I:$I,IF(ISBLANK($I10),"",$I10),Data!$J:$J,$J10,Data!$K:$K,$K10,Data!$R:$R,"",Data!$L:$L,IF(ISBLANK($P10),"",$P10),Data!$G:$G,"MAHEL",Data!$H:$H,"A15C",Data!$M:$M,72),0)-V15</f>
        <v>0</v>
      </c>
      <c r="W13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IF(NOT(ISBLANK(W10)),COUNTIFS(Data!$C:$C,$C10,Data!$P:$P,"VAL",Data!$E:$E,$E10,Data!$F:$F,$F10,Data!$I:$I,IF(ISBLANK($I10),"",$I10),Data!$J:$J,$J10,Data!$K:$K,$K10,Data!$R:$R,"",Data!$L:$L,IF(ISBLANK($P10),"",$P10),Data!$G:$G,"MAHEL",Data!$H:$H,"A15C",Data!$M:$M,88),0)-W15</f>
        <v>1</v>
      </c>
      <c r="X13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IF(NOT(ISBLANK(X10)),COUNTIFS(Data!$C:$C,$C10,Data!$P:$P,"VAL",Data!$E:$E,$E10,Data!$F:$F,$F10,Data!$I:$I,IF(ISBLANK($I10),"",$I10),Data!$J:$J,$J10,Data!$K:$K,$K10,Data!$R:$R,"",Data!$L:$L,IF(ISBLANK($P10),"",$P10),Data!$G:$G,"MAHEL",Data!$H:$H,"A15C",Data!$M:$M,105),0)-X15</f>
        <v>0</v>
      </c>
      <c r="Y13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IF(NOT(ISBLANK(Y10)),COUNTIFS(Data!$C:$C,$C10,Data!$P:$P,"VAL",Data!$E:$E,$E10,Data!$F:$F,$F10,Data!$I:$I,IF(ISBLANK($I10),"",$I10),Data!$J:$J,$J10,Data!$K:$K,$K10,Data!$R:$R,"",Data!$L:$L,IF(ISBLANK($P10),"",$P10),Data!$G:$G,"MAHEL",Data!$H:$H,"A15C",Data!$M:$M,125),0)-Y15</f>
        <v>0</v>
      </c>
      <c r="Z13" s="11"/>
      <c r="AA13" s="129" t="s">
        <v>993</v>
      </c>
      <c r="AB13" s="8"/>
    </row>
    <row r="14" spans="1:32" x14ac:dyDescent="0.3">
      <c r="A14" s="8"/>
      <c r="B14" s="8"/>
      <c r="C14" s="9"/>
      <c r="D14" s="9"/>
      <c r="E14" s="9"/>
      <c r="F14" s="9"/>
      <c r="G14" s="9"/>
      <c r="H14" s="9"/>
      <c r="I14" s="9"/>
      <c r="J14" s="9"/>
      <c r="K14" s="9"/>
      <c r="L14" s="10" t="s">
        <v>416</v>
      </c>
      <c r="M14" s="10"/>
      <c r="N14" s="10"/>
      <c r="O14" s="10"/>
      <c r="P14" s="9">
        <f>IF(COUNTIF(AA10:AA15,"*AS ORDERED*")&gt;0,SUM(Q14:Y14),IF(P12&gt;0,0,(-1)*P12))</f>
        <v>0</v>
      </c>
      <c r="Q14" s="11">
        <f t="shared" ref="Q14:Y14" si="5">IF(Q12&lt;0,-Q12,IF((Q13+Q15)-Q11&gt;0,(Q13+Q15)-Q11,0))</f>
        <v>0</v>
      </c>
      <c r="R14" s="11">
        <f t="shared" si="5"/>
        <v>0</v>
      </c>
      <c r="S14" s="11">
        <f t="shared" si="5"/>
        <v>0</v>
      </c>
      <c r="T14" s="11">
        <f t="shared" si="5"/>
        <v>0</v>
      </c>
      <c r="U14" s="11">
        <f t="shared" si="5"/>
        <v>0</v>
      </c>
      <c r="V14" s="11">
        <f t="shared" si="5"/>
        <v>0</v>
      </c>
      <c r="W14" s="11">
        <f t="shared" si="5"/>
        <v>0</v>
      </c>
      <c r="X14" s="11">
        <f t="shared" si="5"/>
        <v>0</v>
      </c>
      <c r="Y14" s="11">
        <f t="shared" si="5"/>
        <v>0</v>
      </c>
      <c r="Z14" s="11"/>
      <c r="AA14" s="11"/>
      <c r="AB14" s="8"/>
    </row>
    <row r="15" spans="1:32" ht="15" thickBot="1" x14ac:dyDescent="0.35">
      <c r="A15" s="8"/>
      <c r="B15" s="8"/>
      <c r="C15" s="9"/>
      <c r="D15" s="9"/>
      <c r="E15" s="9"/>
      <c r="F15" s="9"/>
      <c r="G15" s="9"/>
      <c r="H15" s="9"/>
      <c r="I15" s="9"/>
      <c r="J15" s="9"/>
      <c r="K15" s="9"/>
      <c r="L15" s="10" t="s">
        <v>417</v>
      </c>
      <c r="M15" s="10"/>
      <c r="N15" s="10"/>
      <c r="O15" s="10"/>
      <c r="P15" s="131">
        <f>SUM(Q15:Y15)</f>
        <v>13</v>
      </c>
      <c r="Q15" s="58">
        <f>IF(NOT(ISBLANK(Q10)),COUNTIFS(Data!$C:$C,$C10,Data!$P:$P,"VAL",Data!$E:$E,$E10,Data!$F:$F,$F10,Data!$I:$I,IF(ISBLANK($I10),"",$I10),Data!$J:$J,$J10,Data!$K:$K,$K10,Data!$R:$R,"",Data!$L:$L,IF(ISBLANK($P10),"",$P10),Data!$G:$G,"MAHEL",Data!$H:$H,"A15C",Data!$M:$M,36, Data!$Q:$Q,1),0)</f>
        <v>0</v>
      </c>
      <c r="R15" s="58">
        <f>IF(NOT(ISBLANK(R10)),COUNTIFS(Data!$C:$C,$C10,Data!$P:$P,"VAL",Data!$E:$E,$E10,Data!$F:$F,$F10,Data!$I:$I,IF(ISBLANK($I10),"",$I10),Data!$J:$J,$J10,Data!$K:$K,$K10,Data!$R:$R,"",Data!$L:$L,IF(ISBLANK($P10),"",$P10),Data!$G:$G,"MAHEL",Data!$H:$H,"A15C",Data!$M:$M,40, Data!$Q:$Q,1),0)</f>
        <v>0</v>
      </c>
      <c r="S15" s="58">
        <f>IF(NOT(ISBLANK(S10)),COUNTIFS(Data!$C:$C,$C10,Data!$P:$P,"VAL",Data!$E:$E,$E10,Data!$F:$F,$F10,Data!$I:$I,IF(ISBLANK($I10),"",$I10),Data!$J:$J,$J10,Data!$K:$K,$K10,Data!$R:$R,"",Data!$L:$L,IF(ISBLANK($P10),"",$P10),Data!$G:$G,"MAHEL",Data!$H:$H,"A15C",Data!$M:$M,48, Data!$Q:$Q,1),0)</f>
        <v>0</v>
      </c>
      <c r="T15" s="58">
        <f>IF(NOT(ISBLANK(T10)),COUNTIFS(Data!$C:$C,$C10,Data!$P:$P,"VAL",Data!$E:$E,$E10,Data!$F:$F,$F10,Data!$I:$I,IF(ISBLANK($I10),"",$I10),Data!$J:$J,$J10,Data!$K:$K,$K10,Data!$R:$R,"",Data!$L:$L,IF(ISBLANK($P10),"",$P10),Data!$G:$G,"MAHEL",Data!$H:$H,"A15C",Data!$M:$M,56, Data!$Q:$Q,1),0)</f>
        <v>0</v>
      </c>
      <c r="U15" s="58">
        <f>IF(NOT(ISBLANK(U10)),COUNTIFS(Data!$C:$C,$C10,Data!$P:$P,"VAL",Data!$E:$E,$E10,Data!$F:$F,$F10,Data!$I:$I,IF(ISBLANK($I10),"",$I10),Data!$J:$J,$J10,Data!$K:$K,$K10,Data!$R:$R,"",Data!$L:$L,IF(ISBLANK($P10),"",$P10),Data!$G:$G,"MAHEL",Data!$H:$H,"A15C",Data!$M:$M,64, Data!$Q:$Q,1),0)</f>
        <v>0</v>
      </c>
      <c r="V15" s="58">
        <f>IF(NOT(ISBLANK(V10)),COUNTIFS(Data!$C:$C,$C10,Data!$P:$P,"VAL",Data!$E:$E,$E10,Data!$F:$F,$F10,Data!$I:$I,IF(ISBLANK($I10),"",$I10),Data!$J:$J,$J10,Data!$K:$K,$K10,Data!$R:$R,"",Data!$L:$L,IF(ISBLANK($P10),"",$P10),Data!$G:$G,"MAHEL",Data!$H:$H,"A15C",Data!$M:$M,72, Data!$Q:$Q,1),0)</f>
        <v>10</v>
      </c>
      <c r="W15" s="58">
        <f>IF(NOT(ISBLANK(W10)),COUNTIFS(Data!$C:$C,$C10,Data!$P:$P,"VAL",Data!$E:$E,$E10,Data!$F:$F,$F10,Data!$I:$I,IF(ISBLANK($I10),"",$I10),Data!$J:$J,$J10,Data!$K:$K,$K10,Data!$R:$R,"",Data!$L:$L,IF(ISBLANK($P10),"",$P10),Data!$G:$G,"MAHEL",Data!$H:$H,"A15C",Data!$M:$M,88, Data!$Q:$Q,1),0)</f>
        <v>3</v>
      </c>
      <c r="X15" s="58">
        <f>IF(NOT(ISBLANK(X10)),COUNTIFS(Data!$C:$C,$C10,Data!$P:$P,"VAL",Data!$E:$E,$E10,Data!$F:$F,$F10,Data!$I:$I,IF(ISBLANK($I10),"",$I10),Data!$J:$J,$J10,Data!$K:$K,$K10,Data!$R:$R,"",Data!$L:$L,IF(ISBLANK($P10),"",$P10),Data!$G:$G,"MAHEL",Data!$H:$H,"A15C",Data!$M:$M,105, Data!$Q:$Q,1),0)</f>
        <v>0</v>
      </c>
      <c r="Y15" s="58">
        <f>IF(NOT(ISBLANK(Y10)),COUNTIFS(Data!$C:$C,$C10,Data!$P:$P,"VAL",Data!$E:$E,$E10,Data!$F:$F,$F10,Data!$I:$I,IF(ISBLANK($I10),"",$I10),Data!$J:$J,$J10,Data!$K:$K,$K10,Data!$R:$R,"",Data!$L:$L,IF(ISBLANK($P10),"",$P10),Data!$G:$G,"MAHEL",Data!$H:$H,"A15C",Data!$M:$M,125, Data!$Q:$Q,1),0)</f>
        <v>0</v>
      </c>
      <c r="Z15" s="11"/>
      <c r="AA15" s="11"/>
      <c r="AB15" s="8">
        <v>80</v>
      </c>
    </row>
    <row r="16" spans="1:32" ht="15.6" x14ac:dyDescent="0.3">
      <c r="A16" s="66"/>
      <c r="B16" s="108"/>
      <c r="C16" s="109" t="s">
        <v>478</v>
      </c>
      <c r="D16" s="64" t="s">
        <v>612</v>
      </c>
      <c r="E16" s="64" t="s">
        <v>500</v>
      </c>
      <c r="F16" s="64">
        <v>1</v>
      </c>
      <c r="G16" s="64" t="s">
        <v>394</v>
      </c>
      <c r="H16" s="64" t="s">
        <v>391</v>
      </c>
      <c r="I16" s="111" t="s">
        <v>618</v>
      </c>
      <c r="J16" s="109" t="s">
        <v>494</v>
      </c>
      <c r="K16" s="109" t="s">
        <v>500</v>
      </c>
      <c r="L16" s="109" t="s">
        <v>392</v>
      </c>
      <c r="M16" s="109" t="s">
        <v>393</v>
      </c>
      <c r="N16" s="64">
        <f>+Z16/80</f>
        <v>20</v>
      </c>
      <c r="O16" s="64"/>
      <c r="P16" s="64" t="s">
        <v>613</v>
      </c>
      <c r="Q16" s="65"/>
      <c r="R16" s="65"/>
      <c r="S16" s="65"/>
      <c r="T16" s="65"/>
      <c r="U16" s="65"/>
      <c r="V16" s="65">
        <f>8*80</f>
        <v>640</v>
      </c>
      <c r="W16" s="65">
        <f>4*80</f>
        <v>320</v>
      </c>
      <c r="X16" s="64">
        <f>8*80</f>
        <v>640</v>
      </c>
      <c r="Y16" s="64"/>
      <c r="Z16" s="65">
        <f>SUM(Q16:Y16)</f>
        <v>1600</v>
      </c>
      <c r="AA16" s="67" t="s">
        <v>495</v>
      </c>
      <c r="AB16" s="64"/>
      <c r="AF16" s="86"/>
    </row>
    <row r="17" spans="1:28" x14ac:dyDescent="0.3">
      <c r="A17" s="8"/>
      <c r="B17" s="8"/>
      <c r="C17" s="9"/>
      <c r="D17" s="9"/>
      <c r="E17" s="9"/>
      <c r="F17" s="9"/>
      <c r="G17" s="9"/>
      <c r="H17" s="9"/>
      <c r="I17" s="9"/>
      <c r="J17" s="9"/>
      <c r="K17" s="9"/>
      <c r="L17" s="10" t="s">
        <v>413</v>
      </c>
      <c r="M17" s="10"/>
      <c r="N17" s="10"/>
      <c r="O17" s="10"/>
      <c r="P17" s="9">
        <f>SUM(Q17:Y17)</f>
        <v>20</v>
      </c>
      <c r="Q17" s="11">
        <f t="shared" ref="Q17:Y17" si="6">IFERROR(Q16/80,0)</f>
        <v>0</v>
      </c>
      <c r="R17" s="11">
        <f t="shared" si="6"/>
        <v>0</v>
      </c>
      <c r="S17" s="11">
        <f t="shared" si="6"/>
        <v>0</v>
      </c>
      <c r="T17" s="11">
        <f t="shared" si="6"/>
        <v>0</v>
      </c>
      <c r="U17" s="11">
        <f t="shared" si="6"/>
        <v>0</v>
      </c>
      <c r="V17" s="11">
        <f t="shared" si="6"/>
        <v>8</v>
      </c>
      <c r="W17" s="11">
        <f t="shared" si="6"/>
        <v>4</v>
      </c>
      <c r="X17" s="11">
        <f t="shared" si="6"/>
        <v>8</v>
      </c>
      <c r="Y17" s="11">
        <f t="shared" si="6"/>
        <v>0</v>
      </c>
      <c r="Z17" s="11"/>
      <c r="AA17" s="129" t="s">
        <v>635</v>
      </c>
      <c r="AB17" s="8"/>
    </row>
    <row r="18" spans="1:28" x14ac:dyDescent="0.3">
      <c r="A18" s="8"/>
      <c r="B18" s="8"/>
      <c r="C18" s="9"/>
      <c r="D18" s="9"/>
      <c r="E18" s="9"/>
      <c r="F18" s="9"/>
      <c r="G18" s="9"/>
      <c r="H18" s="9"/>
      <c r="I18" s="9"/>
      <c r="J18" s="9"/>
      <c r="K18" s="9"/>
      <c r="L18" s="10" t="s">
        <v>414</v>
      </c>
      <c r="M18" s="10"/>
      <c r="N18" s="10"/>
      <c r="O18" s="10"/>
      <c r="P18" s="9">
        <f>SUM(Q18:Y18)</f>
        <v>8</v>
      </c>
      <c r="Q18" s="11">
        <f t="shared" ref="Q18:Y18" si="7">IFERROR(Q17-(Q19+Q21),0)</f>
        <v>0</v>
      </c>
      <c r="R18" s="11">
        <f t="shared" si="7"/>
        <v>0</v>
      </c>
      <c r="S18" s="11">
        <f t="shared" si="7"/>
        <v>0</v>
      </c>
      <c r="T18" s="11">
        <f t="shared" si="7"/>
        <v>0</v>
      </c>
      <c r="U18" s="11">
        <f t="shared" si="7"/>
        <v>0</v>
      </c>
      <c r="V18" s="11">
        <f t="shared" si="7"/>
        <v>0</v>
      </c>
      <c r="W18" s="11">
        <f t="shared" si="7"/>
        <v>0</v>
      </c>
      <c r="X18" s="11">
        <f t="shared" si="7"/>
        <v>8</v>
      </c>
      <c r="Y18" s="11">
        <f t="shared" si="7"/>
        <v>0</v>
      </c>
      <c r="Z18" s="11"/>
      <c r="AA18" s="129" t="s">
        <v>636</v>
      </c>
      <c r="AB18" s="8"/>
    </row>
    <row r="19" spans="1:28" x14ac:dyDescent="0.3">
      <c r="A19" s="8"/>
      <c r="B19" s="8"/>
      <c r="C19" s="9"/>
      <c r="D19" s="9"/>
      <c r="E19" s="9"/>
      <c r="F19" s="9"/>
      <c r="G19" s="9"/>
      <c r="H19" s="9"/>
      <c r="I19" s="9"/>
      <c r="J19" s="9"/>
      <c r="K19" s="9"/>
      <c r="L19" s="10" t="s">
        <v>415</v>
      </c>
      <c r="M19" s="10"/>
      <c r="N19" s="10"/>
      <c r="O19" s="10"/>
      <c r="P19" s="131">
        <f>SUM(Q19:Y19)</f>
        <v>1</v>
      </c>
      <c r="Q19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IF(NOT(ISBLANK(Q16)),COUNTIFS(Data!$C:$C,$C16,Data!$P:$P,"VAL",Data!$E:$E,$E16,Data!$F:$F,$F16,Data!$I:$I,IF(ISBLANK($I16),"",$I16),Data!$J:$J,$J16,Data!$K:$K,$K16,Data!$R:$R,"",Data!$L:$L,IF(ISBLANK($P16),"",$P16),Data!$G:$G,"MAHEL",Data!$H:$H,"A15C",Data!$M:$M,36),0)-Q21</f>
        <v>0</v>
      </c>
      <c r="R19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IF(NOT(ISBLANK(R16)),COUNTIFS(Data!$C:$C,$C16,Data!$P:$P,"VAL",Data!$E:$E,$E16,Data!$F:$F,$F16,Data!$I:$I,IF(ISBLANK($I16),"",$I16),Data!$J:$J,$J16,Data!$K:$K,$K16,Data!$R:$R,"",Data!$L:$L,IF(ISBLANK($P16),"",$P16),Data!$G:$G,"MAHEL",Data!$H:$H,"A15C",Data!$M:$M,40),0)-R21</f>
        <v>0</v>
      </c>
      <c r="S19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IF(NOT(ISBLANK(S16)),COUNTIFS(Data!$C:$C,$C16,Data!$P:$P,"VAL",Data!$E:$E,$E16,Data!$F:$F,$F16,Data!$I:$I,IF(ISBLANK($I16),"",$I16),Data!$J:$J,$J16,Data!$K:$K,$K16,Data!$R:$R,"",Data!$L:$L,IF(ISBLANK($P16),"",$P16),Data!$G:$G,"MAHEL",Data!$H:$H,"A15C",Data!$M:$M,48),0)-S21</f>
        <v>0</v>
      </c>
      <c r="T19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IF(NOT(ISBLANK(T16)),COUNTIFS(Data!$C:$C,$C16,Data!$P:$P,"VAL",Data!$E:$E,$E16,Data!$F:$F,$F16,Data!$I:$I,IF(ISBLANK($I16),"",$I16),Data!$J:$J,$J16,Data!$K:$K,$K16,Data!$R:$R,"",Data!$L:$L,IF(ISBLANK($P16),"",$P16),Data!$G:$G,"MAHEL",Data!$H:$H,"A15C",Data!$M:$M,56),0)-T21</f>
        <v>0</v>
      </c>
      <c r="U19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IF(NOT(ISBLANK(U16)),COUNTIFS(Data!$C:$C,$C16,Data!$P:$P,"VAL",Data!$E:$E,$E16,Data!$F:$F,$F16,Data!$I:$I,IF(ISBLANK($I16),"",$I16),Data!$J:$J,$J16,Data!$K:$K,$K16,Data!$R:$R,"",Data!$L:$L,IF(ISBLANK($P16),"",$P16),Data!$G:$G,"MAHEL",Data!$H:$H,"A15C",Data!$M:$M,64),0)-U21</f>
        <v>0</v>
      </c>
      <c r="V19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IF(NOT(ISBLANK(V16)),COUNTIFS(Data!$C:$C,$C16,Data!$P:$P,"VAL",Data!$E:$E,$E16,Data!$F:$F,$F16,Data!$I:$I,IF(ISBLANK($I16),"",$I16),Data!$J:$J,$J16,Data!$K:$K,$K16,Data!$R:$R,"",Data!$L:$L,IF(ISBLANK($P16),"",$P16),Data!$G:$G,"MAHEL",Data!$H:$H,"A15C",Data!$M:$M,72),0)-V21</f>
        <v>0</v>
      </c>
      <c r="W19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IF(NOT(ISBLANK(W16)),COUNTIFS(Data!$C:$C,$C16,Data!$P:$P,"VAL",Data!$E:$E,$E16,Data!$F:$F,$F16,Data!$I:$I,IF(ISBLANK($I16),"",$I16),Data!$J:$J,$J16,Data!$K:$K,$K16,Data!$R:$R,"",Data!$L:$L,IF(ISBLANK($P16),"",$P16),Data!$G:$G,"MAHEL",Data!$H:$H,"A15C",Data!$M:$M,88),0)-W21</f>
        <v>1</v>
      </c>
      <c r="X19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IF(NOT(ISBLANK(X16)),COUNTIFS(Data!$C:$C,$C16,Data!$P:$P,"VAL",Data!$E:$E,$E16,Data!$F:$F,$F16,Data!$I:$I,IF(ISBLANK($I16),"",$I16),Data!$J:$J,$J16,Data!$K:$K,$K16,Data!$R:$R,"",Data!$L:$L,IF(ISBLANK($P16),"",$P16),Data!$G:$G,"MAHEL",Data!$H:$H,"A15C",Data!$M:$M,105),0)-X21</f>
        <v>0</v>
      </c>
      <c r="Y19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IF(NOT(ISBLANK(Y16)),COUNTIFS(Data!$C:$C,$C16,Data!$P:$P,"VAL",Data!$E:$E,$E16,Data!$F:$F,$F16,Data!$I:$I,IF(ISBLANK($I16),"",$I16),Data!$J:$J,$J16,Data!$K:$K,$K16,Data!$R:$R,"",Data!$L:$L,IF(ISBLANK($P16),"",$P16),Data!$G:$G,"MAHEL",Data!$H:$H,"A15C",Data!$M:$M,125),0)-Y21</f>
        <v>0</v>
      </c>
      <c r="Z19" s="11"/>
      <c r="AA19" s="129" t="s">
        <v>993</v>
      </c>
      <c r="AB19" s="8"/>
    </row>
    <row r="20" spans="1:28" x14ac:dyDescent="0.3">
      <c r="A20" s="8"/>
      <c r="B20" s="8"/>
      <c r="C20" s="9"/>
      <c r="D20" s="9"/>
      <c r="E20" s="9"/>
      <c r="F20" s="9"/>
      <c r="G20" s="9"/>
      <c r="H20" s="9"/>
      <c r="I20" s="9"/>
      <c r="J20" s="9"/>
      <c r="K20" s="9"/>
      <c r="L20" s="10" t="s">
        <v>416</v>
      </c>
      <c r="M20" s="10"/>
      <c r="N20" s="10"/>
      <c r="O20" s="10"/>
      <c r="P20" s="9">
        <f>IF(COUNTIF(AA16:AA21,"*AS ORDERED*")&gt;0,SUM(Q20:Y20),IF(P18&gt;0,0,(-1)*P18))</f>
        <v>0</v>
      </c>
      <c r="Q20" s="11">
        <f t="shared" ref="Q20:Y20" si="8">IF(Q18&lt;0,-Q18,IF((Q19+Q21)-Q17&gt;0,(Q19+Q21)-Q17,0))</f>
        <v>0</v>
      </c>
      <c r="R20" s="11">
        <f t="shared" si="8"/>
        <v>0</v>
      </c>
      <c r="S20" s="11">
        <f t="shared" si="8"/>
        <v>0</v>
      </c>
      <c r="T20" s="11">
        <f t="shared" si="8"/>
        <v>0</v>
      </c>
      <c r="U20" s="11">
        <f t="shared" si="8"/>
        <v>0</v>
      </c>
      <c r="V20" s="11">
        <f t="shared" si="8"/>
        <v>0</v>
      </c>
      <c r="W20" s="11">
        <f t="shared" si="8"/>
        <v>0</v>
      </c>
      <c r="X20" s="11">
        <f t="shared" si="8"/>
        <v>0</v>
      </c>
      <c r="Y20" s="11">
        <f t="shared" si="8"/>
        <v>0</v>
      </c>
      <c r="Z20" s="11"/>
      <c r="AA20" s="11"/>
      <c r="AB20" s="8"/>
    </row>
    <row r="21" spans="1:28" ht="15" thickBot="1" x14ac:dyDescent="0.35">
      <c r="A21" s="8"/>
      <c r="B21" s="8"/>
      <c r="C21" s="9"/>
      <c r="D21" s="9"/>
      <c r="E21" s="9"/>
      <c r="F21" s="9"/>
      <c r="G21" s="9"/>
      <c r="H21" s="9"/>
      <c r="I21" s="9"/>
      <c r="J21" s="9"/>
      <c r="K21" s="9"/>
      <c r="L21" s="10" t="s">
        <v>417</v>
      </c>
      <c r="M21" s="10"/>
      <c r="N21" s="10"/>
      <c r="O21" s="10"/>
      <c r="P21" s="131">
        <f>SUM(Q21:Y21)</f>
        <v>11</v>
      </c>
      <c r="Q21" s="58">
        <f>IF(NOT(ISBLANK(Q16)),COUNTIFS(Data!$C:$C,$C16,Data!$P:$P,"VAL",Data!$E:$E,$E16,Data!$F:$F,$F16,Data!$I:$I,IF(ISBLANK($I16),"",$I16),Data!$J:$J,$J16,Data!$K:$K,$K16,Data!$R:$R,"",Data!$L:$L,IF(ISBLANK($P16),"",$P16),Data!$G:$G,"MAHEL",Data!$H:$H,"A15C",Data!$M:$M,36, Data!$Q:$Q,1),0)</f>
        <v>0</v>
      </c>
      <c r="R21" s="58">
        <f>IF(NOT(ISBLANK(R16)),COUNTIFS(Data!$C:$C,$C16,Data!$P:$P,"VAL",Data!$E:$E,$E16,Data!$F:$F,$F16,Data!$I:$I,IF(ISBLANK($I16),"",$I16),Data!$J:$J,$J16,Data!$K:$K,$K16,Data!$R:$R,"",Data!$L:$L,IF(ISBLANK($P16),"",$P16),Data!$G:$G,"MAHEL",Data!$H:$H,"A15C",Data!$M:$M,40, Data!$Q:$Q,1),0)</f>
        <v>0</v>
      </c>
      <c r="S21" s="58">
        <f>IF(NOT(ISBLANK(S16)),COUNTIFS(Data!$C:$C,$C16,Data!$P:$P,"VAL",Data!$E:$E,$E16,Data!$F:$F,$F16,Data!$I:$I,IF(ISBLANK($I16),"",$I16),Data!$J:$J,$J16,Data!$K:$K,$K16,Data!$R:$R,"",Data!$L:$L,IF(ISBLANK($P16),"",$P16),Data!$G:$G,"MAHEL",Data!$H:$H,"A15C",Data!$M:$M,48, Data!$Q:$Q,1),0)</f>
        <v>0</v>
      </c>
      <c r="T21" s="58">
        <f>IF(NOT(ISBLANK(T16)),COUNTIFS(Data!$C:$C,$C16,Data!$P:$P,"VAL",Data!$E:$E,$E16,Data!$F:$F,$F16,Data!$I:$I,IF(ISBLANK($I16),"",$I16),Data!$J:$J,$J16,Data!$K:$K,$K16,Data!$R:$R,"",Data!$L:$L,IF(ISBLANK($P16),"",$P16),Data!$G:$G,"MAHEL",Data!$H:$H,"A15C",Data!$M:$M,56, Data!$Q:$Q,1),0)</f>
        <v>0</v>
      </c>
      <c r="U21" s="58">
        <f>IF(NOT(ISBLANK(U16)),COUNTIFS(Data!$C:$C,$C16,Data!$P:$P,"VAL",Data!$E:$E,$E16,Data!$F:$F,$F16,Data!$I:$I,IF(ISBLANK($I16),"",$I16),Data!$J:$J,$J16,Data!$K:$K,$K16,Data!$R:$R,"",Data!$L:$L,IF(ISBLANK($P16),"",$P16),Data!$G:$G,"MAHEL",Data!$H:$H,"A15C",Data!$M:$M,64, Data!$Q:$Q,1),0)</f>
        <v>0</v>
      </c>
      <c r="V21" s="58">
        <f>IF(NOT(ISBLANK(V16)),COUNTIFS(Data!$C:$C,$C16,Data!$P:$P,"VAL",Data!$E:$E,$E16,Data!$F:$F,$F16,Data!$I:$I,IF(ISBLANK($I16),"",$I16),Data!$J:$J,$J16,Data!$K:$K,$K16,Data!$R:$R,"",Data!$L:$L,IF(ISBLANK($P16),"",$P16),Data!$G:$G,"MAHEL",Data!$H:$H,"A15C",Data!$M:$M,72, Data!$Q:$Q,1),0)</f>
        <v>8</v>
      </c>
      <c r="W21" s="58">
        <f>IF(NOT(ISBLANK(W16)),COUNTIFS(Data!$C:$C,$C16,Data!$P:$P,"VAL",Data!$E:$E,$E16,Data!$F:$F,$F16,Data!$I:$I,IF(ISBLANK($I16),"",$I16),Data!$J:$J,$J16,Data!$K:$K,$K16,Data!$R:$R,"",Data!$L:$L,IF(ISBLANK($P16),"",$P16),Data!$G:$G,"MAHEL",Data!$H:$H,"A15C",Data!$M:$M,88, Data!$Q:$Q,1),0)</f>
        <v>3</v>
      </c>
      <c r="X21" s="58">
        <f>IF(NOT(ISBLANK(X16)),COUNTIFS(Data!$C:$C,$C16,Data!$P:$P,"VAL",Data!$E:$E,$E16,Data!$F:$F,$F16,Data!$I:$I,IF(ISBLANK($I16),"",$I16),Data!$J:$J,$J16,Data!$K:$K,$K16,Data!$R:$R,"",Data!$L:$L,IF(ISBLANK($P16),"",$P16),Data!$G:$G,"MAHEL",Data!$H:$H,"A15C",Data!$M:$M,105, Data!$Q:$Q,1),0)</f>
        <v>0</v>
      </c>
      <c r="Y21" s="58">
        <f>IF(NOT(ISBLANK(Y16)),COUNTIFS(Data!$C:$C,$C16,Data!$P:$P,"VAL",Data!$E:$E,$E16,Data!$F:$F,$F16,Data!$I:$I,IF(ISBLANK($I16),"",$I16),Data!$J:$J,$J16,Data!$K:$K,$K16,Data!$R:$R,"",Data!$L:$L,IF(ISBLANK($P16),"",$P16),Data!$G:$G,"MAHEL",Data!$H:$H,"A15C",Data!$M:$M,125, Data!$Q:$Q,1),0)</f>
        <v>0</v>
      </c>
      <c r="Z21" s="11"/>
      <c r="AA21" s="11"/>
      <c r="AB21" s="8">
        <v>80</v>
      </c>
    </row>
    <row r="22" spans="1:28" ht="15.6" x14ac:dyDescent="0.3">
      <c r="A22" s="66" t="s">
        <v>620</v>
      </c>
      <c r="B22" s="108" t="s">
        <v>389</v>
      </c>
      <c r="C22" s="109" t="s">
        <v>396</v>
      </c>
      <c r="D22" s="64" t="s">
        <v>612</v>
      </c>
      <c r="E22" s="64" t="s">
        <v>621</v>
      </c>
      <c r="F22" s="64">
        <v>1</v>
      </c>
      <c r="G22" s="64" t="s">
        <v>390</v>
      </c>
      <c r="H22" s="64" t="s">
        <v>391</v>
      </c>
      <c r="I22" s="110"/>
      <c r="J22" s="64" t="s">
        <v>622</v>
      </c>
      <c r="K22" s="64" t="s">
        <v>621</v>
      </c>
      <c r="L22" s="64" t="s">
        <v>482</v>
      </c>
      <c r="M22" s="64" t="s">
        <v>393</v>
      </c>
      <c r="N22" s="64">
        <f>+Z22/80</f>
        <v>20</v>
      </c>
      <c r="O22" s="64"/>
      <c r="P22" s="64" t="s">
        <v>623</v>
      </c>
      <c r="Q22" s="65"/>
      <c r="R22" s="65"/>
      <c r="S22" s="65"/>
      <c r="T22" s="65"/>
      <c r="U22" s="65"/>
      <c r="V22" s="65"/>
      <c r="W22" s="68"/>
      <c r="X22" s="65">
        <f>12*80</f>
        <v>960</v>
      </c>
      <c r="Y22" s="65">
        <f>8*80</f>
        <v>640</v>
      </c>
      <c r="Z22" s="65">
        <f>SUM(Q22:Y22)</f>
        <v>1600</v>
      </c>
      <c r="AA22" s="67" t="s">
        <v>496</v>
      </c>
      <c r="AB22" s="64" t="s">
        <v>406</v>
      </c>
    </row>
    <row r="23" spans="1:28" x14ac:dyDescent="0.3">
      <c r="A23" s="8"/>
      <c r="B23" s="8"/>
      <c r="C23" s="9"/>
      <c r="D23" s="9"/>
      <c r="E23" s="9"/>
      <c r="F23" s="9"/>
      <c r="G23" s="9"/>
      <c r="H23" s="9"/>
      <c r="I23" s="9"/>
      <c r="J23" s="9"/>
      <c r="K23" s="9"/>
      <c r="L23" s="10" t="s">
        <v>413</v>
      </c>
      <c r="M23" s="10"/>
      <c r="N23" s="10"/>
      <c r="O23" s="10"/>
      <c r="P23" s="9">
        <f>SUM(Q23:Y23)</f>
        <v>20</v>
      </c>
      <c r="Q23" s="11">
        <f t="shared" ref="Q23:Y23" si="9">IFERROR(Q22/80,0)</f>
        <v>0</v>
      </c>
      <c r="R23" s="11">
        <f t="shared" si="9"/>
        <v>0</v>
      </c>
      <c r="S23" s="11">
        <f t="shared" si="9"/>
        <v>0</v>
      </c>
      <c r="T23" s="11">
        <f t="shared" si="9"/>
        <v>0</v>
      </c>
      <c r="U23" s="11">
        <f t="shared" si="9"/>
        <v>0</v>
      </c>
      <c r="V23" s="11">
        <f t="shared" si="9"/>
        <v>0</v>
      </c>
      <c r="W23" s="11">
        <f t="shared" si="9"/>
        <v>0</v>
      </c>
      <c r="X23" s="11">
        <f t="shared" si="9"/>
        <v>12</v>
      </c>
      <c r="Y23" s="11">
        <f t="shared" si="9"/>
        <v>8</v>
      </c>
      <c r="Z23" s="11"/>
      <c r="AA23" s="129" t="s">
        <v>497</v>
      </c>
      <c r="AB23" s="8"/>
    </row>
    <row r="24" spans="1:28" x14ac:dyDescent="0.3">
      <c r="A24" s="8"/>
      <c r="B24" s="8"/>
      <c r="C24" s="9"/>
      <c r="D24" s="9"/>
      <c r="E24" s="9"/>
      <c r="F24" s="9"/>
      <c r="G24" s="9"/>
      <c r="H24" s="9"/>
      <c r="I24" s="9"/>
      <c r="J24" s="9"/>
      <c r="K24" s="9"/>
      <c r="L24" s="10" t="s">
        <v>414</v>
      </c>
      <c r="M24" s="10"/>
      <c r="N24" s="10"/>
      <c r="O24" s="10"/>
      <c r="P24" s="9">
        <f>SUM(Q24:Y24)</f>
        <v>0</v>
      </c>
      <c r="Q24" s="11">
        <f t="shared" ref="Q24:Y24" si="10">IFERROR(Q23-(Q25+Q27),0)</f>
        <v>0</v>
      </c>
      <c r="R24" s="11">
        <f t="shared" si="10"/>
        <v>0</v>
      </c>
      <c r="S24" s="11">
        <f t="shared" si="10"/>
        <v>0</v>
      </c>
      <c r="T24" s="11">
        <f t="shared" si="10"/>
        <v>0</v>
      </c>
      <c r="U24" s="11">
        <f t="shared" si="10"/>
        <v>0</v>
      </c>
      <c r="V24" s="11">
        <f t="shared" si="10"/>
        <v>0</v>
      </c>
      <c r="W24" s="11">
        <f t="shared" si="10"/>
        <v>0</v>
      </c>
      <c r="X24" s="11">
        <f t="shared" si="10"/>
        <v>-5</v>
      </c>
      <c r="Y24" s="11">
        <f t="shared" si="10"/>
        <v>5</v>
      </c>
      <c r="Z24" s="11"/>
      <c r="AA24" s="129"/>
      <c r="AB24" s="8"/>
    </row>
    <row r="25" spans="1:28" x14ac:dyDescent="0.3">
      <c r="A25" s="8"/>
      <c r="B25" s="8"/>
      <c r="C25" s="9"/>
      <c r="D25" s="9"/>
      <c r="E25" s="9"/>
      <c r="F25" s="9"/>
      <c r="G25" s="9"/>
      <c r="H25" s="9"/>
      <c r="I25" s="9"/>
      <c r="J25" s="9"/>
      <c r="K25" s="9"/>
      <c r="L25" s="10" t="s">
        <v>415</v>
      </c>
      <c r="M25" s="10"/>
      <c r="N25" s="10"/>
      <c r="O25" s="10"/>
      <c r="P25" s="131">
        <f>SUM(Q25:Y25)</f>
        <v>8</v>
      </c>
      <c r="Q25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IF(NOT(ISBLANK(Q22)),COUNTIFS(Data!$C:$C,$C22,Data!$P:$P,"VAL",Data!$E:$E,$E22,Data!$F:$F,$F22,Data!$I:$I,IF(ISBLANK($I22),"",$I22),Data!$J:$J,$J22,Data!$K:$K,$K22,Data!$R:$R,"",Data!$L:$L,IF(ISBLANK($P22),"",$P22),Data!$G:$G,"ZF",Data!$H:$H,"A15C",Data!$M:$M,36),0)-Q27</f>
        <v>0</v>
      </c>
      <c r="R25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IF(NOT(ISBLANK(R22)),COUNTIFS(Data!$C:$C,$C22,Data!$P:$P,"VAL",Data!$E:$E,$E22,Data!$F:$F,$F22,Data!$I:$I,IF(ISBLANK($I22),"",$I22),Data!$J:$J,$J22,Data!$K:$K,$K22,Data!$R:$R,"",Data!$L:$L,IF(ISBLANK($P22),"",$P22),Data!$G:$G,"ZF",Data!$H:$H,"A15C",Data!$M:$M,40),0)-R27</f>
        <v>0</v>
      </c>
      <c r="S25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IF(NOT(ISBLANK(S22)),COUNTIFS(Data!$C:$C,$C22,Data!$P:$P,"VAL",Data!$E:$E,$E22,Data!$F:$F,$F22,Data!$I:$I,IF(ISBLANK($I22),"",$I22),Data!$J:$J,$J22,Data!$K:$K,$K22,Data!$R:$R,"",Data!$L:$L,IF(ISBLANK($P22),"",$P22),Data!$G:$G,"ZF",Data!$H:$H,"A15C",Data!$M:$M,48),0)-S27</f>
        <v>0</v>
      </c>
      <c r="T25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IF(NOT(ISBLANK(T22)),COUNTIFS(Data!$C:$C,$C22,Data!$P:$P,"VAL",Data!$E:$E,$E22,Data!$F:$F,$F22,Data!$I:$I,IF(ISBLANK($I22),"",$I22),Data!$J:$J,$J22,Data!$K:$K,$K22,Data!$R:$R,"",Data!$L:$L,IF(ISBLANK($P22),"",$P22),Data!$G:$G,"ZF",Data!$H:$H,"A15C",Data!$M:$M,56),0)-T27</f>
        <v>0</v>
      </c>
      <c r="U25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IF(NOT(ISBLANK(U22)),COUNTIFS(Data!$C:$C,$C22,Data!$P:$P,"VAL",Data!$E:$E,$E22,Data!$F:$F,$F22,Data!$I:$I,IF(ISBLANK($I22),"",$I22),Data!$J:$J,$J22,Data!$K:$K,$K22,Data!$R:$R,"",Data!$L:$L,IF(ISBLANK($P22),"",$P22),Data!$G:$G,"ZF",Data!$H:$H,"A15C",Data!$M:$M,64),0)-U27</f>
        <v>0</v>
      </c>
      <c r="V25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IF(NOT(ISBLANK(V22)),COUNTIFS(Data!$C:$C,$C22,Data!$P:$P,"VAL",Data!$E:$E,$E22,Data!$F:$F,$F22,Data!$I:$I,IF(ISBLANK($I22),"",$I22),Data!$J:$J,$J22,Data!$K:$K,$K22,Data!$R:$R,"",Data!$L:$L,IF(ISBLANK($P22),"",$P22),Data!$G:$G,"ZF",Data!$H:$H,"A15C",Data!$M:$M,72),0)-V27</f>
        <v>0</v>
      </c>
      <c r="W25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IF(NOT(ISBLANK(W22)),COUNTIFS(Data!$C:$C,$C22,Data!$P:$P,"VAL",Data!$E:$E,$E22,Data!$F:$F,$F22,Data!$I:$I,IF(ISBLANK($I22),"",$I22),Data!$J:$J,$J22,Data!$K:$K,$K22,Data!$R:$R,"",Data!$L:$L,IF(ISBLANK($P22),"",$P22),Data!$G:$G,"ZF",Data!$H:$H,"A15C",Data!$M:$M,88),0)-W27</f>
        <v>0</v>
      </c>
      <c r="X25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IF(NOT(ISBLANK(X22)),COUNTIFS(Data!$C:$C,$C22,Data!$P:$P,"VAL",Data!$E:$E,$E22,Data!$F:$F,$F22,Data!$I:$I,IF(ISBLANK($I22),"",$I22),Data!$J:$J,$J22,Data!$K:$K,$K22,Data!$R:$R,"",Data!$L:$L,IF(ISBLANK($P22),"",$P22),Data!$G:$G,"ZF",Data!$H:$H,"A15C",Data!$M:$M,105),0)-X27</f>
        <v>7</v>
      </c>
      <c r="Y25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IF(NOT(ISBLANK(Y22)),COUNTIFS(Data!$C:$C,$C22,Data!$P:$P,"VAL",Data!$E:$E,$E22,Data!$F:$F,$F22,Data!$I:$I,IF(ISBLANK($I22),"",$I22),Data!$J:$J,$J22,Data!$K:$K,$K22,Data!$R:$R,"",Data!$L:$L,IF(ISBLANK($P22),"",$P22),Data!$G:$G,"ZF",Data!$H:$H,"A15C",Data!$M:$M,125),0)-Y27</f>
        <v>1</v>
      </c>
      <c r="Z25" s="11"/>
      <c r="AA25" s="11"/>
      <c r="AB25" s="8"/>
    </row>
    <row r="26" spans="1:28" x14ac:dyDescent="0.3">
      <c r="A26" s="8"/>
      <c r="B26" s="8"/>
      <c r="C26" s="9"/>
      <c r="D26" s="9"/>
      <c r="E26" s="9"/>
      <c r="F26" s="9"/>
      <c r="G26" s="9"/>
      <c r="H26" s="9"/>
      <c r="I26" s="9"/>
      <c r="J26" s="9"/>
      <c r="K26" s="9"/>
      <c r="L26" s="10" t="s">
        <v>416</v>
      </c>
      <c r="M26" s="10"/>
      <c r="N26" s="10"/>
      <c r="O26" s="10"/>
      <c r="P26" s="9">
        <f>IF(COUNTIF(AA22:AA27,"*AS ORDERED*")&gt;0,SUM(Q26:Y26),IF(P24&gt;0,0,(-1)*P24))</f>
        <v>0</v>
      </c>
      <c r="Q26" s="11">
        <f t="shared" ref="Q26:Y26" si="11">IF(($P25+$P27)&gt;$P23,IF((Q25+Q27)-Q23&gt;0,(Q25+Q27)-Q23,0),0)</f>
        <v>0</v>
      </c>
      <c r="R26" s="11">
        <f t="shared" si="11"/>
        <v>0</v>
      </c>
      <c r="S26" s="11">
        <f t="shared" si="11"/>
        <v>0</v>
      </c>
      <c r="T26" s="11">
        <f t="shared" si="11"/>
        <v>0</v>
      </c>
      <c r="U26" s="11">
        <f t="shared" si="11"/>
        <v>0</v>
      </c>
      <c r="V26" s="11">
        <f t="shared" si="11"/>
        <v>0</v>
      </c>
      <c r="W26" s="11">
        <f t="shared" si="11"/>
        <v>0</v>
      </c>
      <c r="X26" s="11">
        <f t="shared" si="11"/>
        <v>0</v>
      </c>
      <c r="Y26" s="11">
        <f t="shared" si="11"/>
        <v>0</v>
      </c>
      <c r="Z26" s="11"/>
      <c r="AA26" s="11"/>
      <c r="AB26" s="8"/>
    </row>
    <row r="27" spans="1:28" ht="15" thickBot="1" x14ac:dyDescent="0.35">
      <c r="A27" s="8"/>
      <c r="B27" s="8"/>
      <c r="C27" s="9"/>
      <c r="D27" s="9"/>
      <c r="E27" s="9"/>
      <c r="F27" s="9"/>
      <c r="G27" s="9"/>
      <c r="H27" s="9"/>
      <c r="I27" s="9"/>
      <c r="J27" s="9"/>
      <c r="K27" s="9"/>
      <c r="L27" s="10" t="s">
        <v>417</v>
      </c>
      <c r="M27" s="10"/>
      <c r="N27" s="10"/>
      <c r="O27" s="10"/>
      <c r="P27" s="131">
        <f>SUM(Q27:Y27)</f>
        <v>12</v>
      </c>
      <c r="Q27" s="58">
        <f>IF(NOT(ISBLANK(Q22)),COUNTIFS(Data!$C:$C,$C22,Data!$P:$P,"VAL",Data!$E:$E,$E22,Data!$F:$F,$F22,Data!$I:$I,IF(ISBLANK($I22),"",$I22),Data!$J:$J,$J22,Data!$K:$K,$K22,Data!$R:$R,"",Data!$L:$L,IF(ISBLANK($P22),"",$P22),Data!$G:$G,"ZF",Data!$H:$H,"A15C",Data!$M:$M,36, Data!$Q:$Q,1),0)</f>
        <v>0</v>
      </c>
      <c r="R27" s="58">
        <f>IF(NOT(ISBLANK(R22)),COUNTIFS(Data!$C:$C,$C22,Data!$P:$P,"VAL",Data!$E:$E,$E22,Data!$F:$F,$F22,Data!$I:$I,IF(ISBLANK($I22),"",$I22),Data!$J:$J,$J22,Data!$K:$K,$K22,Data!$R:$R,"",Data!$L:$L,IF(ISBLANK($P22),"",$P22),Data!$G:$G,"ZF",Data!$H:$H,"A15C",Data!$M:$M,40, Data!$Q:$Q,1),0)</f>
        <v>0</v>
      </c>
      <c r="S27" s="58">
        <f>IF(NOT(ISBLANK(S22)),COUNTIFS(Data!$C:$C,$C22,Data!$P:$P,"VAL",Data!$E:$E,$E22,Data!$F:$F,$F22,Data!$I:$I,IF(ISBLANK($I22),"",$I22),Data!$J:$J,$J22,Data!$K:$K,$K22,Data!$R:$R,"",Data!$L:$L,IF(ISBLANK($P22),"",$P22),Data!$G:$G,"ZF",Data!$H:$H,"A15C",Data!$M:$M,48, Data!$Q:$Q,1),0)</f>
        <v>0</v>
      </c>
      <c r="T27" s="58">
        <f>IF(NOT(ISBLANK(T22)),COUNTIFS(Data!$C:$C,$C22,Data!$P:$P,"VAL",Data!$E:$E,$E22,Data!$F:$F,$F22,Data!$I:$I,IF(ISBLANK($I22),"",$I22),Data!$J:$J,$J22,Data!$K:$K,$K22,Data!$R:$R,"",Data!$L:$L,IF(ISBLANK($P22),"",$P22),Data!$G:$G,"ZF",Data!$H:$H,"A15C",Data!$M:$M,56, Data!$Q:$Q,1),0)</f>
        <v>0</v>
      </c>
      <c r="U27" s="58">
        <f>IF(NOT(ISBLANK(U22)),COUNTIFS(Data!$C:$C,$C22,Data!$P:$P,"VAL",Data!$E:$E,$E22,Data!$F:$F,$F22,Data!$I:$I,IF(ISBLANK($I22),"",$I22),Data!$J:$J,$J22,Data!$K:$K,$K22,Data!$R:$R,"",Data!$L:$L,IF(ISBLANK($P22),"",$P22),Data!$G:$G,"ZF",Data!$H:$H,"A15C",Data!$M:$M,64, Data!$Q:$Q,1),0)</f>
        <v>0</v>
      </c>
      <c r="V27" s="58">
        <f>IF(NOT(ISBLANK(V22)),COUNTIFS(Data!$C:$C,$C22,Data!$P:$P,"VAL",Data!$E:$E,$E22,Data!$F:$F,$F22,Data!$I:$I,IF(ISBLANK($I22),"",$I22),Data!$J:$J,$J22,Data!$K:$K,$K22,Data!$R:$R,"",Data!$L:$L,IF(ISBLANK($P22),"",$P22),Data!$G:$G,"ZF",Data!$H:$H,"A15C",Data!$M:$M,72, Data!$Q:$Q,1),0)</f>
        <v>0</v>
      </c>
      <c r="W27" s="58">
        <f>IF(NOT(ISBLANK(W22)),COUNTIFS(Data!$C:$C,$C22,Data!$P:$P,"VAL",Data!$E:$E,$E22,Data!$F:$F,$F22,Data!$I:$I,IF(ISBLANK($I22),"",$I22),Data!$J:$J,$J22,Data!$K:$K,$K22,Data!$R:$R,"",Data!$L:$L,IF(ISBLANK($P22),"",$P22),Data!$G:$G,"ZF",Data!$H:$H,"A15C",Data!$M:$M,88, Data!$Q:$Q,1),0)</f>
        <v>0</v>
      </c>
      <c r="X27" s="58">
        <f>IF(NOT(ISBLANK(X22)),COUNTIFS(Data!$C:$C,$C22,Data!$P:$P,"VAL",Data!$E:$E,$E22,Data!$F:$F,$F22,Data!$I:$I,IF(ISBLANK($I22),"",$I22),Data!$J:$J,$J22,Data!$K:$K,$K22,Data!$R:$R,"",Data!$L:$L,IF(ISBLANK($P22),"",$P22),Data!$G:$G,"ZF",Data!$H:$H,"A15C",Data!$M:$M,105, Data!$Q:$Q,1),0)</f>
        <v>10</v>
      </c>
      <c r="Y27" s="58">
        <f>IF(NOT(ISBLANK(Y22)),COUNTIFS(Data!$C:$C,$C22,Data!$P:$P,"VAL",Data!$E:$E,$E22,Data!$F:$F,$F22,Data!$I:$I,IF(ISBLANK($I22),"",$I22),Data!$J:$J,$J22,Data!$K:$K,$K22,Data!$R:$R,"",Data!$L:$L,IF(ISBLANK($P22),"",$P22),Data!$G:$G,"ZF",Data!$H:$H,"A15C",Data!$M:$M,125, Data!$Q:$Q,1),0)</f>
        <v>2</v>
      </c>
      <c r="Z27" s="11"/>
      <c r="AA27" s="11"/>
      <c r="AB27" s="8">
        <v>80</v>
      </c>
    </row>
    <row r="28" spans="1:28" ht="15.6" x14ac:dyDescent="0.3">
      <c r="A28" s="66" t="s">
        <v>492</v>
      </c>
      <c r="B28" s="108" t="s">
        <v>489</v>
      </c>
      <c r="C28" s="109" t="s">
        <v>478</v>
      </c>
      <c r="D28" s="64" t="s">
        <v>612</v>
      </c>
      <c r="E28" s="64" t="s">
        <v>493</v>
      </c>
      <c r="F28" s="64">
        <v>1</v>
      </c>
      <c r="G28" s="64" t="s">
        <v>394</v>
      </c>
      <c r="H28" s="64" t="s">
        <v>391</v>
      </c>
      <c r="I28" s="64"/>
      <c r="J28" s="64" t="s">
        <v>494</v>
      </c>
      <c r="K28" s="64" t="s">
        <v>493</v>
      </c>
      <c r="L28" s="64" t="s">
        <v>482</v>
      </c>
      <c r="M28" s="64" t="s">
        <v>393</v>
      </c>
      <c r="N28" s="64">
        <f>+Z28/80</f>
        <v>100</v>
      </c>
      <c r="O28" s="64"/>
      <c r="P28" s="64" t="s">
        <v>626</v>
      </c>
      <c r="Q28" s="66"/>
      <c r="R28" s="66"/>
      <c r="S28" s="66"/>
      <c r="T28" s="65"/>
      <c r="U28" s="65"/>
      <c r="V28" s="65">
        <f>60*80</f>
        <v>4800</v>
      </c>
      <c r="W28" s="65">
        <f>40*80</f>
        <v>3200</v>
      </c>
      <c r="X28" s="65"/>
      <c r="Y28" s="65"/>
      <c r="Z28" s="65">
        <f>SUM(Q28:Y28)</f>
        <v>8000</v>
      </c>
      <c r="AA28" s="112" t="s">
        <v>495</v>
      </c>
      <c r="AB28" s="109" t="s">
        <v>483</v>
      </c>
    </row>
    <row r="29" spans="1:28" x14ac:dyDescent="0.3">
      <c r="A29" s="8"/>
      <c r="B29" s="8"/>
      <c r="C29" s="9"/>
      <c r="D29" s="9"/>
      <c r="E29" s="9"/>
      <c r="F29" s="9"/>
      <c r="G29" s="9"/>
      <c r="H29" s="9"/>
      <c r="I29" s="9"/>
      <c r="J29" s="9"/>
      <c r="K29" s="9"/>
      <c r="L29" s="10" t="s">
        <v>413</v>
      </c>
      <c r="M29" s="10"/>
      <c r="N29" s="10"/>
      <c r="O29" s="10"/>
      <c r="P29" s="9">
        <f>SUM(Q29:Y29)</f>
        <v>100</v>
      </c>
      <c r="Q29" s="11">
        <f t="shared" ref="Q29:Y29" si="12">IFERROR(Q28/80,0)</f>
        <v>0</v>
      </c>
      <c r="R29" s="11">
        <f t="shared" si="12"/>
        <v>0</v>
      </c>
      <c r="S29" s="11">
        <f t="shared" si="12"/>
        <v>0</v>
      </c>
      <c r="T29" s="11">
        <f t="shared" si="12"/>
        <v>0</v>
      </c>
      <c r="U29" s="11">
        <f t="shared" si="12"/>
        <v>0</v>
      </c>
      <c r="V29" s="11">
        <f t="shared" si="12"/>
        <v>60</v>
      </c>
      <c r="W29" s="11">
        <f t="shared" si="12"/>
        <v>40</v>
      </c>
      <c r="X29" s="11">
        <f t="shared" si="12"/>
        <v>0</v>
      </c>
      <c r="Y29" s="11">
        <f t="shared" si="12"/>
        <v>0</v>
      </c>
      <c r="Z29" s="11"/>
      <c r="AA29" s="129" t="s">
        <v>637</v>
      </c>
      <c r="AB29" s="8"/>
    </row>
    <row r="30" spans="1:28" x14ac:dyDescent="0.3">
      <c r="A30" s="8"/>
      <c r="B30" s="8"/>
      <c r="C30" s="9"/>
      <c r="D30" s="9"/>
      <c r="E30" s="9"/>
      <c r="F30" s="9"/>
      <c r="G30" s="9"/>
      <c r="H30" s="9"/>
      <c r="I30" s="9"/>
      <c r="J30" s="9"/>
      <c r="K30" s="9"/>
      <c r="L30" s="10" t="s">
        <v>414</v>
      </c>
      <c r="M30" s="10"/>
      <c r="N30" s="10"/>
      <c r="O30" s="10"/>
      <c r="P30" s="9">
        <f>SUM(Q30:Y30)</f>
        <v>0</v>
      </c>
      <c r="Q30" s="11">
        <f t="shared" ref="Q30:Y30" si="13">IFERROR(Q29-(Q31+Q33),0)</f>
        <v>0</v>
      </c>
      <c r="R30" s="11">
        <f t="shared" si="13"/>
        <v>0</v>
      </c>
      <c r="S30" s="11">
        <f t="shared" si="13"/>
        <v>0</v>
      </c>
      <c r="T30" s="11">
        <f t="shared" si="13"/>
        <v>0</v>
      </c>
      <c r="U30" s="11">
        <f t="shared" si="13"/>
        <v>0</v>
      </c>
      <c r="V30" s="11">
        <f t="shared" si="13"/>
        <v>-12</v>
      </c>
      <c r="W30" s="11">
        <f t="shared" si="13"/>
        <v>12</v>
      </c>
      <c r="X30" s="11">
        <f t="shared" si="13"/>
        <v>0</v>
      </c>
      <c r="Y30" s="11">
        <f t="shared" si="13"/>
        <v>0</v>
      </c>
      <c r="Z30" s="11"/>
      <c r="AA30" s="129"/>
      <c r="AB30" s="8"/>
    </row>
    <row r="31" spans="1:28" x14ac:dyDescent="0.3">
      <c r="A31" s="8"/>
      <c r="B31" s="8"/>
      <c r="C31" s="9"/>
      <c r="D31" s="9"/>
      <c r="E31" s="9"/>
      <c r="F31" s="9"/>
      <c r="G31" s="9"/>
      <c r="H31" s="9"/>
      <c r="I31" s="9"/>
      <c r="J31" s="9"/>
      <c r="K31" s="9"/>
      <c r="L31" s="10" t="s">
        <v>415</v>
      </c>
      <c r="M31" s="10"/>
      <c r="N31" s="10"/>
      <c r="O31" s="10"/>
      <c r="P31" s="131">
        <f>SUM(Q31:Y31)</f>
        <v>32</v>
      </c>
      <c r="Q31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IF(NOT(ISBLANK(Q28)),COUNTIFS(Data!$C:$C,$C28,Data!$P:$P,"VAL",Data!$E:$E,$E28,Data!$F:$F,$F28,Data!$I:$I,IF(ISBLANK($I28),"",$I28),Data!$J:$J,$J28,Data!$K:$K,$K28,Data!$R:$R,"",Data!$L:$L,IF(ISBLANK($P28),"",$P28),Data!$G:$G,"MAHEL",Data!$H:$H,"A15C",Data!$M:$M,36),0)-Q33</f>
        <v>0</v>
      </c>
      <c r="R31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IF(NOT(ISBLANK(R28)),COUNTIFS(Data!$C:$C,$C28,Data!$P:$P,"VAL",Data!$E:$E,$E28,Data!$F:$F,$F28,Data!$I:$I,IF(ISBLANK($I28),"",$I28),Data!$J:$J,$J28,Data!$K:$K,$K28,Data!$R:$R,"",Data!$L:$L,IF(ISBLANK($P28),"",$P28),Data!$G:$G,"MAHEL",Data!$H:$H,"A15C",Data!$M:$M,40),0)-R33</f>
        <v>0</v>
      </c>
      <c r="S31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IF(NOT(ISBLANK(S28)),COUNTIFS(Data!$C:$C,$C28,Data!$P:$P,"VAL",Data!$E:$E,$E28,Data!$F:$F,$F28,Data!$I:$I,IF(ISBLANK($I28),"",$I28),Data!$J:$J,$J28,Data!$K:$K,$K28,Data!$R:$R,"",Data!$L:$L,IF(ISBLANK($P28),"",$P28),Data!$G:$G,"MAHEL",Data!$H:$H,"A15C",Data!$M:$M,48),0)-S33</f>
        <v>0</v>
      </c>
      <c r="T31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IF(NOT(ISBLANK(T28)),COUNTIFS(Data!$C:$C,$C28,Data!$P:$P,"VAL",Data!$E:$E,$E28,Data!$F:$F,$F28,Data!$I:$I,IF(ISBLANK($I28),"",$I28),Data!$J:$J,$J28,Data!$K:$K,$K28,Data!$R:$R,"",Data!$L:$L,IF(ISBLANK($P28),"",$P28),Data!$G:$G,"MAHEL",Data!$H:$H,"A15C",Data!$M:$M,56),0)-T33</f>
        <v>0</v>
      </c>
      <c r="U31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IF(NOT(ISBLANK(U28)),COUNTIFS(Data!$C:$C,$C28,Data!$P:$P,"VAL",Data!$E:$E,$E28,Data!$F:$F,$F28,Data!$I:$I,IF(ISBLANK($I28),"",$I28),Data!$J:$J,$J28,Data!$K:$K,$K28,Data!$R:$R,"",Data!$L:$L,IF(ISBLANK($P28),"",$P28),Data!$G:$G,"MAHEL",Data!$H:$H,"A15C",Data!$M:$M,64),0)-U33</f>
        <v>0</v>
      </c>
      <c r="V31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IF(NOT(ISBLANK(V28)),COUNTIFS(Data!$C:$C,$C28,Data!$P:$P,"VAL",Data!$E:$E,$E28,Data!$F:$F,$F28,Data!$I:$I,IF(ISBLANK($I28),"",$I28),Data!$J:$J,$J28,Data!$K:$K,$K28,Data!$R:$R,"",Data!$L:$L,IF(ISBLANK($P28),"",$P28),Data!$G:$G,"MAHEL",Data!$H:$H,"A15C",Data!$M:$M,72),0)-V33</f>
        <v>23</v>
      </c>
      <c r="W31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IF(NOT(ISBLANK(W28)),COUNTIFS(Data!$C:$C,$C28,Data!$P:$P,"VAL",Data!$E:$E,$E28,Data!$F:$F,$F28,Data!$I:$I,IF(ISBLANK($I28),"",$I28),Data!$J:$J,$J28,Data!$K:$K,$K28,Data!$R:$R,"",Data!$L:$L,IF(ISBLANK($P28),"",$P28),Data!$G:$G,"MAHEL",Data!$H:$H,"A15C",Data!$M:$M,88),0)-W33</f>
        <v>9</v>
      </c>
      <c r="X31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IF(NOT(ISBLANK(X28)),COUNTIFS(Data!$C:$C,$C28,Data!$P:$P,"VAL",Data!$E:$E,$E28,Data!$F:$F,$F28,Data!$I:$I,IF(ISBLANK($I28),"",$I28),Data!$J:$J,$J28,Data!$K:$K,$K28,Data!$R:$R,"",Data!$L:$L,IF(ISBLANK($P28),"",$P28),Data!$G:$G,"MAHEL",Data!$H:$H,"A15C",Data!$M:$M,105),0)-X33</f>
        <v>0</v>
      </c>
      <c r="Y31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IF(NOT(ISBLANK(Y28)),COUNTIFS(Data!$C:$C,$C28,Data!$P:$P,"VAL",Data!$E:$E,$E28,Data!$F:$F,$F28,Data!$I:$I,IF(ISBLANK($I28),"",$I28),Data!$J:$J,$J28,Data!$K:$K,$K28,Data!$R:$R,"",Data!$L:$L,IF(ISBLANK($P28),"",$P28),Data!$G:$G,"MAHEL",Data!$H:$H,"A15C",Data!$M:$M,125),0)-Y33</f>
        <v>0</v>
      </c>
      <c r="Z31" s="11"/>
      <c r="AA31" s="11"/>
      <c r="AB31" s="8"/>
    </row>
    <row r="32" spans="1:28" x14ac:dyDescent="0.3">
      <c r="A32" s="8"/>
      <c r="B32" s="8"/>
      <c r="C32" s="9"/>
      <c r="D32" s="9"/>
      <c r="E32" s="9"/>
      <c r="F32" s="9"/>
      <c r="G32" s="9"/>
      <c r="H32" s="9"/>
      <c r="I32" s="9"/>
      <c r="J32" s="9"/>
      <c r="K32" s="9"/>
      <c r="L32" s="10" t="s">
        <v>416</v>
      </c>
      <c r="M32" s="10"/>
      <c r="N32" s="10"/>
      <c r="O32" s="10"/>
      <c r="P32" s="9">
        <f>IF(COUNTIF(AA28:AA33,"*AS ORDERED*")&gt;0,SUM(Q32:Y32),IF(P30&gt;0,0,(-1)*P30))</f>
        <v>0</v>
      </c>
      <c r="Q32" s="11">
        <f t="shared" ref="Q32:Y32" si="14">IF(($P31+$P33)&gt;$P29,IF((Q31+Q33)-Q29&gt;0,(Q31+Q33)-Q29,0),0)</f>
        <v>0</v>
      </c>
      <c r="R32" s="11">
        <f t="shared" si="14"/>
        <v>0</v>
      </c>
      <c r="S32" s="11">
        <f t="shared" si="14"/>
        <v>0</v>
      </c>
      <c r="T32" s="11">
        <f t="shared" si="14"/>
        <v>0</v>
      </c>
      <c r="U32" s="11">
        <f t="shared" si="14"/>
        <v>0</v>
      </c>
      <c r="V32" s="11">
        <f t="shared" si="14"/>
        <v>0</v>
      </c>
      <c r="W32" s="11">
        <f t="shared" si="14"/>
        <v>0</v>
      </c>
      <c r="X32" s="11">
        <f t="shared" si="14"/>
        <v>0</v>
      </c>
      <c r="Y32" s="11">
        <f t="shared" si="14"/>
        <v>0</v>
      </c>
      <c r="Z32" s="11"/>
      <c r="AA32" s="11"/>
      <c r="AB32" s="8"/>
    </row>
    <row r="33" spans="1:28" ht="15" thickBot="1" x14ac:dyDescent="0.35">
      <c r="A33" s="8"/>
      <c r="B33" s="8"/>
      <c r="C33" s="9"/>
      <c r="D33" s="9"/>
      <c r="E33" s="9"/>
      <c r="F33" s="9"/>
      <c r="G33" s="9"/>
      <c r="H33" s="9"/>
      <c r="I33" s="9"/>
      <c r="J33" s="9"/>
      <c r="K33" s="9"/>
      <c r="L33" s="10" t="s">
        <v>417</v>
      </c>
      <c r="M33" s="10"/>
      <c r="N33" s="10"/>
      <c r="O33" s="10"/>
      <c r="P33" s="131">
        <f>SUM(Q33:Y33)</f>
        <v>68</v>
      </c>
      <c r="Q33" s="58">
        <f>IF(NOT(ISBLANK(Q28)),COUNTIFS(Data!$C:$C,$C28,Data!$P:$P,"VAL",Data!$E:$E,$E28,Data!$F:$F,$F28,Data!$I:$I,IF(ISBLANK($I28),"",$I28),Data!$J:$J,$J28,Data!$K:$K,$K28,Data!$R:$R,"",Data!$L:$L,IF(ISBLANK($P28),"",$P28),Data!$G:$G,"MAHEL",Data!$H:$H,"A15C",Data!$M:$M,36, Data!$Q:$Q,1),0)</f>
        <v>0</v>
      </c>
      <c r="R33" s="58">
        <f>IF(NOT(ISBLANK(R28)),COUNTIFS(Data!$C:$C,$C28,Data!$P:$P,"VAL",Data!$E:$E,$E28,Data!$F:$F,$F28,Data!$I:$I,IF(ISBLANK($I28),"",$I28),Data!$J:$J,$J28,Data!$K:$K,$K28,Data!$R:$R,"",Data!$L:$L,IF(ISBLANK($P28),"",$P28),Data!$G:$G,"MAHEL",Data!$H:$H,"A15C",Data!$M:$M,40, Data!$Q:$Q,1),0)</f>
        <v>0</v>
      </c>
      <c r="S33" s="58">
        <f>IF(NOT(ISBLANK(S28)),COUNTIFS(Data!$C:$C,$C28,Data!$P:$P,"VAL",Data!$E:$E,$E28,Data!$F:$F,$F28,Data!$I:$I,IF(ISBLANK($I28),"",$I28),Data!$J:$J,$J28,Data!$K:$K,$K28,Data!$R:$R,"",Data!$L:$L,IF(ISBLANK($P28),"",$P28),Data!$G:$G,"MAHEL",Data!$H:$H,"A15C",Data!$M:$M,48, Data!$Q:$Q,1),0)</f>
        <v>0</v>
      </c>
      <c r="T33" s="58">
        <f>IF(NOT(ISBLANK(T28)),COUNTIFS(Data!$C:$C,$C28,Data!$P:$P,"VAL",Data!$E:$E,$E28,Data!$F:$F,$F28,Data!$I:$I,IF(ISBLANK($I28),"",$I28),Data!$J:$J,$J28,Data!$K:$K,$K28,Data!$R:$R,"",Data!$L:$L,IF(ISBLANK($P28),"",$P28),Data!$G:$G,"MAHEL",Data!$H:$H,"A15C",Data!$M:$M,56, Data!$Q:$Q,1),0)</f>
        <v>0</v>
      </c>
      <c r="U33" s="58">
        <f>IF(NOT(ISBLANK(U28)),COUNTIFS(Data!$C:$C,$C28,Data!$P:$P,"VAL",Data!$E:$E,$E28,Data!$F:$F,$F28,Data!$I:$I,IF(ISBLANK($I28),"",$I28),Data!$J:$J,$J28,Data!$K:$K,$K28,Data!$R:$R,"",Data!$L:$L,IF(ISBLANK($P28),"",$P28),Data!$G:$G,"MAHEL",Data!$H:$H,"A15C",Data!$M:$M,64, Data!$Q:$Q,1),0)</f>
        <v>0</v>
      </c>
      <c r="V33" s="58">
        <f>IF(NOT(ISBLANK(V28)),COUNTIFS(Data!$C:$C,$C28,Data!$P:$P,"VAL",Data!$E:$E,$E28,Data!$F:$F,$F28,Data!$I:$I,IF(ISBLANK($I28),"",$I28),Data!$J:$J,$J28,Data!$K:$K,$K28,Data!$R:$R,"",Data!$L:$L,IF(ISBLANK($P28),"",$P28),Data!$G:$G,"MAHEL",Data!$H:$H,"A15C",Data!$M:$M,72, Data!$Q:$Q,1),0)</f>
        <v>49</v>
      </c>
      <c r="W33" s="58">
        <f>IF(NOT(ISBLANK(W28)),COUNTIFS(Data!$C:$C,$C28,Data!$P:$P,"VAL",Data!$E:$E,$E28,Data!$F:$F,$F28,Data!$I:$I,IF(ISBLANK($I28),"",$I28),Data!$J:$J,$J28,Data!$K:$K,$K28,Data!$R:$R,"",Data!$L:$L,IF(ISBLANK($P28),"",$P28),Data!$G:$G,"MAHEL",Data!$H:$H,"A15C",Data!$M:$M,88, Data!$Q:$Q,1),0)</f>
        <v>19</v>
      </c>
      <c r="X33" s="58">
        <f>IF(NOT(ISBLANK(X28)),COUNTIFS(Data!$C:$C,$C28,Data!$P:$P,"VAL",Data!$E:$E,$E28,Data!$F:$F,$F28,Data!$I:$I,IF(ISBLANK($I28),"",$I28),Data!$J:$J,$J28,Data!$K:$K,$K28,Data!$R:$R,"",Data!$L:$L,IF(ISBLANK($P28),"",$P28),Data!$G:$G,"MAHEL",Data!$H:$H,"A15C",Data!$M:$M,105, Data!$Q:$Q,1),0)</f>
        <v>0</v>
      </c>
      <c r="Y33" s="58">
        <f>IF(NOT(ISBLANK(Y28)),COUNTIFS(Data!$C:$C,$C28,Data!$P:$P,"VAL",Data!$E:$E,$E28,Data!$F:$F,$F28,Data!$I:$I,IF(ISBLANK($I28),"",$I28),Data!$J:$J,$J28,Data!$K:$K,$K28,Data!$R:$R,"",Data!$L:$L,IF(ISBLANK($P28),"",$P28),Data!$G:$G,"MAHEL",Data!$H:$H,"A15C",Data!$M:$M,125, Data!$Q:$Q,1),0)</f>
        <v>0</v>
      </c>
      <c r="Z33" s="11"/>
      <c r="AA33" s="11"/>
      <c r="AB33" s="8">
        <v>80</v>
      </c>
    </row>
    <row r="34" spans="1:28" ht="15.6" x14ac:dyDescent="0.3">
      <c r="A34" s="66"/>
      <c r="B34" s="108" t="s">
        <v>389</v>
      </c>
      <c r="C34" s="109" t="s">
        <v>396</v>
      </c>
      <c r="D34" s="64" t="s">
        <v>612</v>
      </c>
      <c r="E34" s="64" t="s">
        <v>493</v>
      </c>
      <c r="F34" s="64">
        <v>1</v>
      </c>
      <c r="G34" s="64" t="s">
        <v>390</v>
      </c>
      <c r="H34" s="64" t="s">
        <v>391</v>
      </c>
      <c r="I34" s="64"/>
      <c r="J34" s="64" t="s">
        <v>494</v>
      </c>
      <c r="K34" s="64" t="s">
        <v>493</v>
      </c>
      <c r="L34" s="64" t="s">
        <v>482</v>
      </c>
      <c r="M34" s="64" t="s">
        <v>393</v>
      </c>
      <c r="N34" s="64">
        <f>+Z34/80</f>
        <v>40</v>
      </c>
      <c r="O34" s="64"/>
      <c r="P34" s="64" t="s">
        <v>623</v>
      </c>
      <c r="Q34" s="66"/>
      <c r="R34" s="66"/>
      <c r="S34" s="66"/>
      <c r="T34" s="65"/>
      <c r="U34" s="68"/>
      <c r="V34" s="65">
        <f>20*80</f>
        <v>1600</v>
      </c>
      <c r="W34" s="65">
        <f>20*80</f>
        <v>1600</v>
      </c>
      <c r="X34" s="65"/>
      <c r="Y34" s="65"/>
      <c r="Z34" s="65">
        <f>SUM(Q34:Y34)</f>
        <v>3200</v>
      </c>
      <c r="AA34" s="112" t="s">
        <v>496</v>
      </c>
      <c r="AB34" s="109" t="s">
        <v>406</v>
      </c>
    </row>
    <row r="35" spans="1:28" x14ac:dyDescent="0.3">
      <c r="A35" s="8"/>
      <c r="B35" s="8"/>
      <c r="C35" s="9"/>
      <c r="D35" s="9"/>
      <c r="E35" s="9"/>
      <c r="F35" s="9"/>
      <c r="G35" s="9"/>
      <c r="H35" s="9"/>
      <c r="I35" s="9"/>
      <c r="J35" s="9"/>
      <c r="K35" s="9"/>
      <c r="L35" s="10" t="s">
        <v>413</v>
      </c>
      <c r="M35" s="10"/>
      <c r="N35" s="10"/>
      <c r="O35" s="10"/>
      <c r="P35" s="9">
        <f>SUM(Q35:Y35)</f>
        <v>40</v>
      </c>
      <c r="Q35" s="11">
        <f t="shared" ref="Q35:Y35" si="15">IFERROR(Q34/80,0)</f>
        <v>0</v>
      </c>
      <c r="R35" s="11">
        <f t="shared" si="15"/>
        <v>0</v>
      </c>
      <c r="S35" s="11">
        <f t="shared" si="15"/>
        <v>0</v>
      </c>
      <c r="T35" s="11">
        <f t="shared" si="15"/>
        <v>0</v>
      </c>
      <c r="U35" s="11">
        <f t="shared" si="15"/>
        <v>0</v>
      </c>
      <c r="V35" s="11">
        <f t="shared" si="15"/>
        <v>20</v>
      </c>
      <c r="W35" s="11">
        <f t="shared" si="15"/>
        <v>20</v>
      </c>
      <c r="X35" s="11">
        <f t="shared" si="15"/>
        <v>0</v>
      </c>
      <c r="Y35" s="11">
        <f t="shared" si="15"/>
        <v>0</v>
      </c>
      <c r="Z35" s="11"/>
      <c r="AA35" s="129" t="s">
        <v>637</v>
      </c>
      <c r="AB35" s="8"/>
    </row>
    <row r="36" spans="1:28" x14ac:dyDescent="0.3">
      <c r="A36" s="8"/>
      <c r="B36" s="8"/>
      <c r="C36" s="9"/>
      <c r="D36" s="9"/>
      <c r="E36" s="9"/>
      <c r="F36" s="9"/>
      <c r="G36" s="9"/>
      <c r="H36" s="9"/>
      <c r="I36" s="9"/>
      <c r="J36" s="9"/>
      <c r="K36" s="9"/>
      <c r="L36" s="10" t="s">
        <v>414</v>
      </c>
      <c r="M36" s="10"/>
      <c r="N36" s="10"/>
      <c r="O36" s="10"/>
      <c r="P36" s="9">
        <f>SUM(Q36:Y36)</f>
        <v>13</v>
      </c>
      <c r="Q36" s="11">
        <f t="shared" ref="Q36:Y36" si="16">IFERROR(Q35-(Q37+Q39),0)</f>
        <v>0</v>
      </c>
      <c r="R36" s="11">
        <f t="shared" si="16"/>
        <v>0</v>
      </c>
      <c r="S36" s="11">
        <f t="shared" si="16"/>
        <v>0</v>
      </c>
      <c r="T36" s="11">
        <f t="shared" si="16"/>
        <v>0</v>
      </c>
      <c r="U36" s="11">
        <f t="shared" si="16"/>
        <v>0</v>
      </c>
      <c r="V36" s="11">
        <f t="shared" si="16"/>
        <v>-1</v>
      </c>
      <c r="W36" s="11">
        <f t="shared" si="16"/>
        <v>14</v>
      </c>
      <c r="X36" s="11">
        <f t="shared" si="16"/>
        <v>0</v>
      </c>
      <c r="Y36" s="11">
        <f t="shared" si="16"/>
        <v>0</v>
      </c>
      <c r="Z36" s="11"/>
      <c r="AA36" s="129"/>
      <c r="AB36" s="8"/>
    </row>
    <row r="37" spans="1:28" x14ac:dyDescent="0.3">
      <c r="A37" s="8"/>
      <c r="B37" s="8"/>
      <c r="C37" s="9"/>
      <c r="D37" s="9"/>
      <c r="E37" s="9"/>
      <c r="F37" s="9"/>
      <c r="G37" s="9"/>
      <c r="H37" s="9"/>
      <c r="I37" s="9"/>
      <c r="J37" s="9"/>
      <c r="K37" s="9"/>
      <c r="L37" s="10" t="s">
        <v>415</v>
      </c>
      <c r="M37" s="10"/>
      <c r="N37" s="10"/>
      <c r="O37" s="10"/>
      <c r="P37" s="131">
        <f>SUM(Q37:Y37)</f>
        <v>27</v>
      </c>
      <c r="Q37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IF(NOT(ISBLANK(Q34)),COUNTIFS(Data!$C:$C,$C34,Data!$P:$P,"VAL",Data!$E:$E,$E34,Data!$F:$F,$F34,Data!$I:$I,IF(ISBLANK($I34),"",$I34),Data!$J:$J,$J34,Data!$K:$K,$K34,Data!$R:$R,"",Data!$L:$L,IF(ISBLANK($P34),"",$P34),Data!$G:$G,"ZF",Data!$H:$H,"A15C",Data!$M:$M,36),0)-Q39</f>
        <v>0</v>
      </c>
      <c r="R37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IF(NOT(ISBLANK(R34)),COUNTIFS(Data!$C:$C,$C34,Data!$P:$P,"VAL",Data!$E:$E,$E34,Data!$F:$F,$F34,Data!$I:$I,IF(ISBLANK($I34),"",$I34),Data!$J:$J,$J34,Data!$K:$K,$K34,Data!$R:$R,"",Data!$L:$L,IF(ISBLANK($P34),"",$P34),Data!$G:$G,"ZF",Data!$H:$H,"A15C",Data!$M:$M,40),0)-R39</f>
        <v>0</v>
      </c>
      <c r="S37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IF(NOT(ISBLANK(S34)),COUNTIFS(Data!$C:$C,$C34,Data!$P:$P,"VAL",Data!$E:$E,$E34,Data!$F:$F,$F34,Data!$I:$I,IF(ISBLANK($I34),"",$I34),Data!$J:$J,$J34,Data!$K:$K,$K34,Data!$R:$R,"",Data!$L:$L,IF(ISBLANK($P34),"",$P34),Data!$G:$G,"ZF",Data!$H:$H,"A15C",Data!$M:$M,48),0)-S39</f>
        <v>0</v>
      </c>
      <c r="T37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IF(NOT(ISBLANK(T34)),COUNTIFS(Data!$C:$C,$C34,Data!$P:$P,"VAL",Data!$E:$E,$E34,Data!$F:$F,$F34,Data!$I:$I,IF(ISBLANK($I34),"",$I34),Data!$J:$J,$J34,Data!$K:$K,$K34,Data!$R:$R,"",Data!$L:$L,IF(ISBLANK($P34),"",$P34),Data!$G:$G,"ZF",Data!$H:$H,"A15C",Data!$M:$M,56),0)-T39</f>
        <v>0</v>
      </c>
      <c r="U37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IF(NOT(ISBLANK(U34)),COUNTIFS(Data!$C:$C,$C34,Data!$P:$P,"VAL",Data!$E:$E,$E34,Data!$F:$F,$F34,Data!$I:$I,IF(ISBLANK($I34),"",$I34),Data!$J:$J,$J34,Data!$K:$K,$K34,Data!$R:$R,"",Data!$L:$L,IF(ISBLANK($P34),"",$P34),Data!$G:$G,"ZF",Data!$H:$H,"A15C",Data!$M:$M,64),0)-U39</f>
        <v>0</v>
      </c>
      <c r="V37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IF(NOT(ISBLANK(V34)),COUNTIFS(Data!$C:$C,$C34,Data!$P:$P,"VAL",Data!$E:$E,$E34,Data!$F:$F,$F34,Data!$I:$I,IF(ISBLANK($I34),"",$I34),Data!$J:$J,$J34,Data!$K:$K,$K34,Data!$R:$R,"",Data!$L:$L,IF(ISBLANK($P34),"",$P34),Data!$G:$G,"ZF",Data!$H:$H,"A15C",Data!$M:$M,72),0)-V39</f>
        <v>21</v>
      </c>
      <c r="W37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IF(NOT(ISBLANK(W34)),COUNTIFS(Data!$C:$C,$C34,Data!$P:$P,"VAL",Data!$E:$E,$E34,Data!$F:$F,$F34,Data!$I:$I,IF(ISBLANK($I34),"",$I34),Data!$J:$J,$J34,Data!$K:$K,$K34,Data!$R:$R,"",Data!$L:$L,IF(ISBLANK($P34),"",$P34),Data!$G:$G,"ZF",Data!$H:$H,"A15C",Data!$M:$M,88),0)-W39</f>
        <v>6</v>
      </c>
      <c r="X37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IF(NOT(ISBLANK(X34)),COUNTIFS(Data!$C:$C,$C34,Data!$P:$P,"VAL",Data!$E:$E,$E34,Data!$F:$F,$F34,Data!$I:$I,IF(ISBLANK($I34),"",$I34),Data!$J:$J,$J34,Data!$K:$K,$K34,Data!$R:$R,"",Data!$L:$L,IF(ISBLANK($P34),"",$P34),Data!$G:$G,"ZF",Data!$H:$H,"A15C",Data!$M:$M,105),0)-X39</f>
        <v>0</v>
      </c>
      <c r="Y37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IF(NOT(ISBLANK(Y34)),COUNTIFS(Data!$C:$C,$C34,Data!$P:$P,"VAL",Data!$E:$E,$E34,Data!$F:$F,$F34,Data!$I:$I,IF(ISBLANK($I34),"",$I34),Data!$J:$J,$J34,Data!$K:$K,$K34,Data!$R:$R,"",Data!$L:$L,IF(ISBLANK($P34),"",$P34),Data!$G:$G,"ZF",Data!$H:$H,"A15C",Data!$M:$M,125),0)-Y39</f>
        <v>0</v>
      </c>
      <c r="Z37" s="11"/>
      <c r="AA37" s="11"/>
      <c r="AB37" s="8"/>
    </row>
    <row r="38" spans="1:28" x14ac:dyDescent="0.3">
      <c r="A38" s="8"/>
      <c r="B38" s="8"/>
      <c r="C38" s="9"/>
      <c r="D38" s="9"/>
      <c r="E38" s="9"/>
      <c r="F38" s="9"/>
      <c r="G38" s="9"/>
      <c r="H38" s="9"/>
      <c r="I38" s="9"/>
      <c r="J38" s="9"/>
      <c r="K38" s="9"/>
      <c r="L38" s="10" t="s">
        <v>416</v>
      </c>
      <c r="M38" s="10"/>
      <c r="N38" s="10"/>
      <c r="O38" s="10"/>
      <c r="P38" s="9">
        <f>IF(COUNTIF(AA34:AA39,"*AS ORDERED*")&gt;0,SUM(Q38:Y38),IF(P36&gt;0,0,(-1)*P36))</f>
        <v>0</v>
      </c>
      <c r="Q38" s="11">
        <f t="shared" ref="Q38:Y38" si="17">IF(($P37+$P39)&gt;$P35,IF((Q37+Q39)-Q35&gt;0,(Q37+Q39)-Q35,0),0)</f>
        <v>0</v>
      </c>
      <c r="R38" s="11">
        <f t="shared" si="17"/>
        <v>0</v>
      </c>
      <c r="S38" s="11">
        <f t="shared" si="17"/>
        <v>0</v>
      </c>
      <c r="T38" s="11">
        <f t="shared" si="17"/>
        <v>0</v>
      </c>
      <c r="U38" s="11">
        <f t="shared" si="17"/>
        <v>0</v>
      </c>
      <c r="V38" s="11">
        <f t="shared" si="17"/>
        <v>0</v>
      </c>
      <c r="W38" s="11">
        <f t="shared" si="17"/>
        <v>0</v>
      </c>
      <c r="X38" s="11">
        <f t="shared" si="17"/>
        <v>0</v>
      </c>
      <c r="Y38" s="11">
        <f t="shared" si="17"/>
        <v>0</v>
      </c>
      <c r="Z38" s="11"/>
      <c r="AA38" s="11"/>
      <c r="AB38" s="8"/>
    </row>
    <row r="39" spans="1:28" ht="15" thickBot="1" x14ac:dyDescent="0.35">
      <c r="A39" s="8"/>
      <c r="B39" s="8"/>
      <c r="C39" s="9"/>
      <c r="D39" s="9"/>
      <c r="E39" s="9"/>
      <c r="F39" s="9"/>
      <c r="G39" s="9"/>
      <c r="H39" s="9"/>
      <c r="I39" s="9"/>
      <c r="J39" s="9"/>
      <c r="K39" s="9"/>
      <c r="L39" s="10" t="s">
        <v>417</v>
      </c>
      <c r="M39" s="10"/>
      <c r="N39" s="10"/>
      <c r="O39" s="10"/>
      <c r="P39" s="131">
        <f>SUM(Q39:Y39)</f>
        <v>0</v>
      </c>
      <c r="Q39" s="58">
        <f>IF(NOT(ISBLANK(Q34)),COUNTIFS(Data!$C:$C,$C34,Data!$P:$P,"VAL",Data!$E:$E,$E34,Data!$F:$F,$F34,Data!$I:$I,IF(ISBLANK($I34),"",$I34),Data!$J:$J,$J34,Data!$K:$K,$K34,Data!$R:$R,"",Data!$L:$L,IF(ISBLANK($P34),"",$P34),Data!$G:$G,"ZF",Data!$H:$H,"A15C",Data!$M:$M,36, Data!$Q:$Q,1),0)</f>
        <v>0</v>
      </c>
      <c r="R39" s="58">
        <f>IF(NOT(ISBLANK(R34)),COUNTIFS(Data!$C:$C,$C34,Data!$P:$P,"VAL",Data!$E:$E,$E34,Data!$F:$F,$F34,Data!$I:$I,IF(ISBLANK($I34),"",$I34),Data!$J:$J,$J34,Data!$K:$K,$K34,Data!$R:$R,"",Data!$L:$L,IF(ISBLANK($P34),"",$P34),Data!$G:$G,"ZF",Data!$H:$H,"A15C",Data!$M:$M,40, Data!$Q:$Q,1),0)</f>
        <v>0</v>
      </c>
      <c r="S39" s="58">
        <f>IF(NOT(ISBLANK(S34)),COUNTIFS(Data!$C:$C,$C34,Data!$P:$P,"VAL",Data!$E:$E,$E34,Data!$F:$F,$F34,Data!$I:$I,IF(ISBLANK($I34),"",$I34),Data!$J:$J,$J34,Data!$K:$K,$K34,Data!$R:$R,"",Data!$L:$L,IF(ISBLANK($P34),"",$P34),Data!$G:$G,"ZF",Data!$H:$H,"A15C",Data!$M:$M,48, Data!$Q:$Q,1),0)</f>
        <v>0</v>
      </c>
      <c r="T39" s="58">
        <f>IF(NOT(ISBLANK(T34)),COUNTIFS(Data!$C:$C,$C34,Data!$P:$P,"VAL",Data!$E:$E,$E34,Data!$F:$F,$F34,Data!$I:$I,IF(ISBLANK($I34),"",$I34),Data!$J:$J,$J34,Data!$K:$K,$K34,Data!$R:$R,"",Data!$L:$L,IF(ISBLANK($P34),"",$P34),Data!$G:$G,"ZF",Data!$H:$H,"A15C",Data!$M:$M,56, Data!$Q:$Q,1),0)</f>
        <v>0</v>
      </c>
      <c r="U39" s="58">
        <f>IF(NOT(ISBLANK(U34)),COUNTIFS(Data!$C:$C,$C34,Data!$P:$P,"VAL",Data!$E:$E,$E34,Data!$F:$F,$F34,Data!$I:$I,IF(ISBLANK($I34),"",$I34),Data!$J:$J,$J34,Data!$K:$K,$K34,Data!$R:$R,"",Data!$L:$L,IF(ISBLANK($P34),"",$P34),Data!$G:$G,"ZF",Data!$H:$H,"A15C",Data!$M:$M,64, Data!$Q:$Q,1),0)</f>
        <v>0</v>
      </c>
      <c r="V39" s="58">
        <f>IF(NOT(ISBLANK(V34)),COUNTIFS(Data!$C:$C,$C34,Data!$P:$P,"VAL",Data!$E:$E,$E34,Data!$F:$F,$F34,Data!$I:$I,IF(ISBLANK($I34),"",$I34),Data!$J:$J,$J34,Data!$K:$K,$K34,Data!$R:$R,"",Data!$L:$L,IF(ISBLANK($P34),"",$P34),Data!$G:$G,"ZF",Data!$H:$H,"A15C",Data!$M:$M,72, Data!$Q:$Q,1),0)</f>
        <v>0</v>
      </c>
      <c r="W39" s="58">
        <f>IF(NOT(ISBLANK(W34)),COUNTIFS(Data!$C:$C,$C34,Data!$P:$P,"VAL",Data!$E:$E,$E34,Data!$F:$F,$F34,Data!$I:$I,IF(ISBLANK($I34),"",$I34),Data!$J:$J,$J34,Data!$K:$K,$K34,Data!$R:$R,"",Data!$L:$L,IF(ISBLANK($P34),"",$P34),Data!$G:$G,"ZF",Data!$H:$H,"A15C",Data!$M:$M,88, Data!$Q:$Q,1),0)</f>
        <v>0</v>
      </c>
      <c r="X39" s="58">
        <f>IF(NOT(ISBLANK(X34)),COUNTIFS(Data!$C:$C,$C34,Data!$P:$P,"VAL",Data!$E:$E,$E34,Data!$F:$F,$F34,Data!$I:$I,IF(ISBLANK($I34),"",$I34),Data!$J:$J,$J34,Data!$K:$K,$K34,Data!$R:$R,"",Data!$L:$L,IF(ISBLANK($P34),"",$P34),Data!$G:$G,"ZF",Data!$H:$H,"A15C",Data!$M:$M,105, Data!$Q:$Q,1),0)</f>
        <v>0</v>
      </c>
      <c r="Y39" s="58">
        <f>IF(NOT(ISBLANK(Y34)),COUNTIFS(Data!$C:$C,$C34,Data!$P:$P,"VAL",Data!$E:$E,$E34,Data!$F:$F,$F34,Data!$I:$I,IF(ISBLANK($I34),"",$I34),Data!$J:$J,$J34,Data!$K:$K,$K34,Data!$R:$R,"",Data!$L:$L,IF(ISBLANK($P34),"",$P34),Data!$G:$G,"ZF",Data!$H:$H,"A15C",Data!$M:$M,125, Data!$Q:$Q,1),0)</f>
        <v>0</v>
      </c>
      <c r="Z39" s="11"/>
      <c r="AA39" s="11"/>
      <c r="AB39" s="8">
        <v>80</v>
      </c>
    </row>
    <row r="40" spans="1:28" ht="15.6" x14ac:dyDescent="0.3">
      <c r="A40" s="66"/>
      <c r="B40" s="108" t="s">
        <v>489</v>
      </c>
      <c r="C40" s="109" t="s">
        <v>478</v>
      </c>
      <c r="D40" s="64" t="s">
        <v>612</v>
      </c>
      <c r="E40" s="64" t="s">
        <v>493</v>
      </c>
      <c r="F40" s="64">
        <v>1</v>
      </c>
      <c r="G40" s="64" t="s">
        <v>411</v>
      </c>
      <c r="H40" s="64" t="s">
        <v>391</v>
      </c>
      <c r="I40" s="64"/>
      <c r="J40" s="64" t="s">
        <v>494</v>
      </c>
      <c r="K40" s="64" t="s">
        <v>493</v>
      </c>
      <c r="L40" s="64" t="s">
        <v>482</v>
      </c>
      <c r="M40" s="64" t="s">
        <v>393</v>
      </c>
      <c r="N40" s="64">
        <f>+Z40/80</f>
        <v>60</v>
      </c>
      <c r="O40" s="64"/>
      <c r="P40" s="64" t="s">
        <v>613</v>
      </c>
      <c r="Q40" s="66"/>
      <c r="R40" s="66"/>
      <c r="S40" s="66"/>
      <c r="T40" s="65"/>
      <c r="U40" s="65"/>
      <c r="V40" s="65">
        <f>25*80</f>
        <v>2000</v>
      </c>
      <c r="W40" s="65">
        <f>25*80</f>
        <v>2000</v>
      </c>
      <c r="X40" s="65">
        <f>10*80</f>
        <v>800</v>
      </c>
      <c r="Y40" s="65"/>
      <c r="Z40" s="65">
        <f>SUM(Q40:Y40)</f>
        <v>4800</v>
      </c>
      <c r="AA40" s="112" t="s">
        <v>495</v>
      </c>
      <c r="AB40" s="109" t="s">
        <v>483</v>
      </c>
    </row>
    <row r="41" spans="1:28" x14ac:dyDescent="0.3">
      <c r="A41" s="8"/>
      <c r="B41" s="8"/>
      <c r="C41" s="9"/>
      <c r="D41" s="9"/>
      <c r="E41" s="9"/>
      <c r="F41" s="9"/>
      <c r="G41" s="9"/>
      <c r="H41" s="9"/>
      <c r="I41" s="9"/>
      <c r="J41" s="9"/>
      <c r="K41" s="9"/>
      <c r="L41" s="10" t="s">
        <v>413</v>
      </c>
      <c r="M41" s="10"/>
      <c r="N41" s="10"/>
      <c r="O41" s="10"/>
      <c r="P41" s="9">
        <f>SUM(Q41:Y41)</f>
        <v>60</v>
      </c>
      <c r="Q41" s="11">
        <f t="shared" ref="Q41:Y41" si="18">IFERROR(Q40/80,0)</f>
        <v>0</v>
      </c>
      <c r="R41" s="11">
        <f t="shared" si="18"/>
        <v>0</v>
      </c>
      <c r="S41" s="11">
        <f t="shared" si="18"/>
        <v>0</v>
      </c>
      <c r="T41" s="11">
        <f t="shared" si="18"/>
        <v>0</v>
      </c>
      <c r="U41" s="11">
        <f t="shared" si="18"/>
        <v>0</v>
      </c>
      <c r="V41" s="11">
        <f t="shared" si="18"/>
        <v>25</v>
      </c>
      <c r="W41" s="11">
        <f t="shared" si="18"/>
        <v>25</v>
      </c>
      <c r="X41" s="11">
        <f t="shared" si="18"/>
        <v>10</v>
      </c>
      <c r="Y41" s="11">
        <f t="shared" si="18"/>
        <v>0</v>
      </c>
      <c r="Z41" s="11"/>
      <c r="AA41" s="129" t="s">
        <v>638</v>
      </c>
      <c r="AB41" s="8"/>
    </row>
    <row r="42" spans="1:28" x14ac:dyDescent="0.3">
      <c r="A42" s="8"/>
      <c r="B42" s="8"/>
      <c r="C42" s="9"/>
      <c r="D42" s="9"/>
      <c r="E42" s="9"/>
      <c r="F42" s="9"/>
      <c r="G42" s="9"/>
      <c r="H42" s="9"/>
      <c r="I42" s="9"/>
      <c r="J42" s="9"/>
      <c r="K42" s="9"/>
      <c r="L42" s="10" t="s">
        <v>414</v>
      </c>
      <c r="M42" s="10"/>
      <c r="N42" s="10"/>
      <c r="O42" s="10"/>
      <c r="P42" s="9">
        <f>SUM(Q42:Y42)</f>
        <v>59</v>
      </c>
      <c r="Q42" s="11">
        <f t="shared" ref="Q42:Y42" si="19">IFERROR(Q41-(Q43+Q45),0)</f>
        <v>0</v>
      </c>
      <c r="R42" s="11">
        <f t="shared" si="19"/>
        <v>0</v>
      </c>
      <c r="S42" s="11">
        <f t="shared" si="19"/>
        <v>0</v>
      </c>
      <c r="T42" s="11">
        <f t="shared" si="19"/>
        <v>0</v>
      </c>
      <c r="U42" s="11">
        <f t="shared" si="19"/>
        <v>0</v>
      </c>
      <c r="V42" s="11">
        <f t="shared" si="19"/>
        <v>25</v>
      </c>
      <c r="W42" s="11">
        <f t="shared" si="19"/>
        <v>25</v>
      </c>
      <c r="X42" s="11">
        <f t="shared" si="19"/>
        <v>9</v>
      </c>
      <c r="Y42" s="11">
        <f t="shared" si="19"/>
        <v>0</v>
      </c>
      <c r="Z42" s="11"/>
      <c r="AA42" s="129"/>
      <c r="AB42" s="8"/>
    </row>
    <row r="43" spans="1:28" x14ac:dyDescent="0.3">
      <c r="A43" s="8"/>
      <c r="B43" s="8"/>
      <c r="C43" s="9"/>
      <c r="D43" s="9"/>
      <c r="E43" s="9"/>
      <c r="F43" s="9"/>
      <c r="G43" s="9"/>
      <c r="H43" s="9"/>
      <c r="I43" s="9"/>
      <c r="J43" s="9"/>
      <c r="K43" s="9"/>
      <c r="L43" s="10" t="s">
        <v>415</v>
      </c>
      <c r="M43" s="10"/>
      <c r="N43" s="10"/>
      <c r="O43" s="10"/>
      <c r="P43" s="131">
        <f>SUM(Q43:Y43)</f>
        <v>1</v>
      </c>
      <c r="Q43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IF(NOT(ISBLANK(Q40)),COUNTIFS(Data!$C:$C,$C40,Data!$P:$P,"VAL",Data!$E:$E,$E40,Data!$F:$F,$F40,Data!$I:$I,IF(ISBLANK($I40),"",$I40),Data!$J:$J,$J40,Data!$K:$K,$K40,Data!$R:$R,"",Data!$L:$L,IF(ISBLANK($P40),"",$P40),Data!$G:$G,"MALA",Data!$H:$H,"A15C",Data!$M:$M,36),0)-Q45</f>
        <v>0</v>
      </c>
      <c r="R43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IF(NOT(ISBLANK(R40)),COUNTIFS(Data!$C:$C,$C40,Data!$P:$P,"VAL",Data!$E:$E,$E40,Data!$F:$F,$F40,Data!$I:$I,IF(ISBLANK($I40),"",$I40),Data!$J:$J,$J40,Data!$K:$K,$K40,Data!$R:$R,"",Data!$L:$L,IF(ISBLANK($P40),"",$P40),Data!$G:$G,"MALA",Data!$H:$H,"A15C",Data!$M:$M,40),0)-R45</f>
        <v>0</v>
      </c>
      <c r="S43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IF(NOT(ISBLANK(S40)),COUNTIFS(Data!$C:$C,$C40,Data!$P:$P,"VAL",Data!$E:$E,$E40,Data!$F:$F,$F40,Data!$I:$I,IF(ISBLANK($I40),"",$I40),Data!$J:$J,$J40,Data!$K:$K,$K40,Data!$R:$R,"",Data!$L:$L,IF(ISBLANK($P40),"",$P40),Data!$G:$G,"MALA",Data!$H:$H,"A15C",Data!$M:$M,48),0)-S45</f>
        <v>0</v>
      </c>
      <c r="T43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IF(NOT(ISBLANK(T40)),COUNTIFS(Data!$C:$C,$C40,Data!$P:$P,"VAL",Data!$E:$E,$E40,Data!$F:$F,$F40,Data!$I:$I,IF(ISBLANK($I40),"",$I40),Data!$J:$J,$J40,Data!$K:$K,$K40,Data!$R:$R,"",Data!$L:$L,IF(ISBLANK($P40),"",$P40),Data!$G:$G,"MALA",Data!$H:$H,"A15C",Data!$M:$M,56),0)-T45</f>
        <v>0</v>
      </c>
      <c r="U43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IF(NOT(ISBLANK(U40)),COUNTIFS(Data!$C:$C,$C40,Data!$P:$P,"VAL",Data!$E:$E,$E40,Data!$F:$F,$F40,Data!$I:$I,IF(ISBLANK($I40),"",$I40),Data!$J:$J,$J40,Data!$K:$K,$K40,Data!$R:$R,"",Data!$L:$L,IF(ISBLANK($P40),"",$P40),Data!$G:$G,"MALA",Data!$H:$H,"A15C",Data!$M:$M,64),0)-U45</f>
        <v>0</v>
      </c>
      <c r="V43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IF(NOT(ISBLANK(V40)),COUNTIFS(Data!$C:$C,$C40,Data!$P:$P,"VAL",Data!$E:$E,$E40,Data!$F:$F,$F40,Data!$I:$I,IF(ISBLANK($I40),"",$I40),Data!$J:$J,$J40,Data!$K:$K,$K40,Data!$R:$R,"",Data!$L:$L,IF(ISBLANK($P40),"",$P40),Data!$G:$G,"MALA",Data!$H:$H,"A15C",Data!$M:$M,72),0)-V45</f>
        <v>0</v>
      </c>
      <c r="W43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IF(NOT(ISBLANK(W40)),COUNTIFS(Data!$C:$C,$C40,Data!$P:$P,"VAL",Data!$E:$E,$E40,Data!$F:$F,$F40,Data!$I:$I,IF(ISBLANK($I40),"",$I40),Data!$J:$J,$J40,Data!$K:$K,$K40,Data!$R:$R,"",Data!$L:$L,IF(ISBLANK($P40),"",$P40),Data!$G:$G,"MALA",Data!$H:$H,"A15C",Data!$M:$M,88),0)-W45</f>
        <v>0</v>
      </c>
      <c r="X43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IF(NOT(ISBLANK(X40)),COUNTIFS(Data!$C:$C,$C40,Data!$P:$P,"VAL",Data!$E:$E,$E40,Data!$F:$F,$F40,Data!$I:$I,IF(ISBLANK($I40),"",$I40),Data!$J:$J,$J40,Data!$K:$K,$K40,Data!$R:$R,"",Data!$L:$L,IF(ISBLANK($P40),"",$P40),Data!$G:$G,"MALA",Data!$H:$H,"A15C",Data!$M:$M,105),0)-X45</f>
        <v>1</v>
      </c>
      <c r="Y43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IF(NOT(ISBLANK(Y40)),COUNTIFS(Data!$C:$C,$C40,Data!$P:$P,"VAL",Data!$E:$E,$E40,Data!$F:$F,$F40,Data!$I:$I,IF(ISBLANK($I40),"",$I40),Data!$J:$J,$J40,Data!$K:$K,$K40,Data!$R:$R,"",Data!$L:$L,IF(ISBLANK($P40),"",$P40),Data!$G:$G,"MALA",Data!$H:$H,"A15C",Data!$M:$M,125),0)-Y45</f>
        <v>0</v>
      </c>
      <c r="Z43" s="11"/>
      <c r="AA43" s="11"/>
      <c r="AB43" s="8"/>
    </row>
    <row r="44" spans="1:28" x14ac:dyDescent="0.3">
      <c r="A44" s="8"/>
      <c r="B44" s="8"/>
      <c r="C44" s="9"/>
      <c r="D44" s="9"/>
      <c r="E44" s="9"/>
      <c r="F44" s="9"/>
      <c r="G44" s="9"/>
      <c r="H44" s="9"/>
      <c r="I44" s="9"/>
      <c r="J44" s="9"/>
      <c r="K44" s="9"/>
      <c r="L44" s="10" t="s">
        <v>416</v>
      </c>
      <c r="M44" s="10"/>
      <c r="N44" s="10"/>
      <c r="O44" s="10"/>
      <c r="P44" s="9">
        <f>IF(COUNTIF(AA40:AA45,"*AS ORDERED*")&gt;0,SUM(Q44:Y44),IF(P42&gt;0,0,(-1)*P42))</f>
        <v>0</v>
      </c>
      <c r="Q44" s="11">
        <f t="shared" ref="Q44:W44" si="20">IF(($P43+$P45)&gt;$P41,IF((Q43+Q45)-Q41&gt;0,(Q43+Q45)-Q41,0),0)</f>
        <v>0</v>
      </c>
      <c r="R44" s="11">
        <f t="shared" si="20"/>
        <v>0</v>
      </c>
      <c r="S44" s="11">
        <f t="shared" si="20"/>
        <v>0</v>
      </c>
      <c r="T44" s="11">
        <f t="shared" si="20"/>
        <v>0</v>
      </c>
      <c r="U44" s="11">
        <f t="shared" si="20"/>
        <v>0</v>
      </c>
      <c r="V44" s="11">
        <f t="shared" si="20"/>
        <v>0</v>
      </c>
      <c r="W44" s="11">
        <f t="shared" si="20"/>
        <v>0</v>
      </c>
      <c r="X44" s="11">
        <f>IF(X42&lt;0,-X42,IF((X43+X45)-X41&gt;0,(X43+X45)-X41,0))</f>
        <v>0</v>
      </c>
      <c r="Y44" s="11">
        <f>IF(($P43+$P45)&gt;$P41,IF((Y43+Y45)-Y41&gt;0,(Y43+Y45)-Y41,0),0)</f>
        <v>0</v>
      </c>
      <c r="Z44" s="11"/>
      <c r="AA44" s="11"/>
      <c r="AB44" s="8"/>
    </row>
    <row r="45" spans="1:28" ht="15" thickBot="1" x14ac:dyDescent="0.35">
      <c r="A45" s="8"/>
      <c r="B45" s="8"/>
      <c r="C45" s="9"/>
      <c r="D45" s="9"/>
      <c r="E45" s="9"/>
      <c r="F45" s="9"/>
      <c r="G45" s="9"/>
      <c r="H45" s="9"/>
      <c r="I45" s="9"/>
      <c r="J45" s="9"/>
      <c r="K45" s="9"/>
      <c r="L45" s="10" t="s">
        <v>417</v>
      </c>
      <c r="M45" s="10"/>
      <c r="N45" s="10"/>
      <c r="O45" s="10"/>
      <c r="P45" s="131">
        <f>SUM(Q45:Y45)</f>
        <v>0</v>
      </c>
      <c r="Q45" s="58">
        <f>IF(NOT(ISBLANK(Q40)),COUNTIFS(Data!$C:$C,$C40,Data!$P:$P,"VAL",Data!$E:$E,$E40,Data!$F:$F,$F40,Data!$I:$I,IF(ISBLANK($I40),"",$I40),Data!$J:$J,$J40,Data!$K:$K,$K40,Data!$R:$R,"",Data!$L:$L,IF(ISBLANK($P40),"",$P40),Data!$G:$G,"MALA",Data!$H:$H,"A15C",Data!$M:$M,36, Data!$Q:$Q,1),0)</f>
        <v>0</v>
      </c>
      <c r="R45" s="58">
        <f>IF(NOT(ISBLANK(R40)),COUNTIFS(Data!$C:$C,$C40,Data!$P:$P,"VAL",Data!$E:$E,$E40,Data!$F:$F,$F40,Data!$I:$I,IF(ISBLANK($I40),"",$I40),Data!$J:$J,$J40,Data!$K:$K,$K40,Data!$R:$R,"",Data!$L:$L,IF(ISBLANK($P40),"",$P40),Data!$G:$G,"MALA",Data!$H:$H,"A15C",Data!$M:$M,40, Data!$Q:$Q,1),0)</f>
        <v>0</v>
      </c>
      <c r="S45" s="58">
        <f>IF(NOT(ISBLANK(S40)),COUNTIFS(Data!$C:$C,$C40,Data!$P:$P,"VAL",Data!$E:$E,$E40,Data!$F:$F,$F40,Data!$I:$I,IF(ISBLANK($I40),"",$I40),Data!$J:$J,$J40,Data!$K:$K,$K40,Data!$R:$R,"",Data!$L:$L,IF(ISBLANK($P40),"",$P40),Data!$G:$G,"MALA",Data!$H:$H,"A15C",Data!$M:$M,48, Data!$Q:$Q,1),0)</f>
        <v>0</v>
      </c>
      <c r="T45" s="58">
        <f>IF(NOT(ISBLANK(T40)),COUNTIFS(Data!$C:$C,$C40,Data!$P:$P,"VAL",Data!$E:$E,$E40,Data!$F:$F,$F40,Data!$I:$I,IF(ISBLANK($I40),"",$I40),Data!$J:$J,$J40,Data!$K:$K,$K40,Data!$R:$R,"",Data!$L:$L,IF(ISBLANK($P40),"",$P40),Data!$G:$G,"MALA",Data!$H:$H,"A15C",Data!$M:$M,56, Data!$Q:$Q,1),0)</f>
        <v>0</v>
      </c>
      <c r="U45" s="58">
        <f>IF(NOT(ISBLANK(U40)),COUNTIFS(Data!$C:$C,$C40,Data!$P:$P,"VAL",Data!$E:$E,$E40,Data!$F:$F,$F40,Data!$I:$I,IF(ISBLANK($I40),"",$I40),Data!$J:$J,$J40,Data!$K:$K,$K40,Data!$R:$R,"",Data!$L:$L,IF(ISBLANK($P40),"",$P40),Data!$G:$G,"MALA",Data!$H:$H,"A15C",Data!$M:$M,64, Data!$Q:$Q,1),0)</f>
        <v>0</v>
      </c>
      <c r="V45" s="58">
        <f>IF(NOT(ISBLANK(V40)),COUNTIFS(Data!$C:$C,$C40,Data!$P:$P,"VAL",Data!$E:$E,$E40,Data!$F:$F,$F40,Data!$I:$I,IF(ISBLANK($I40),"",$I40),Data!$J:$J,$J40,Data!$K:$K,$K40,Data!$R:$R,"",Data!$L:$L,IF(ISBLANK($P40),"",$P40),Data!$G:$G,"MALA",Data!$H:$H,"A15C",Data!$M:$M,72, Data!$Q:$Q,1),0)</f>
        <v>0</v>
      </c>
      <c r="W45" s="58">
        <f>IF(NOT(ISBLANK(W40)),COUNTIFS(Data!$C:$C,$C40,Data!$P:$P,"VAL",Data!$E:$E,$E40,Data!$F:$F,$F40,Data!$I:$I,IF(ISBLANK($I40),"",$I40),Data!$J:$J,$J40,Data!$K:$K,$K40,Data!$R:$R,"",Data!$L:$L,IF(ISBLANK($P40),"",$P40),Data!$G:$G,"MALA",Data!$H:$H,"A15C",Data!$M:$M,88, Data!$Q:$Q,1),0)</f>
        <v>0</v>
      </c>
      <c r="X45" s="58">
        <f>IF(NOT(ISBLANK(X40)),COUNTIFS(Data!$C:$C,$C40,Data!$P:$P,"VAL",Data!$E:$E,$E40,Data!$F:$F,$F40,Data!$I:$I,IF(ISBLANK($I40),"",$I40),Data!$J:$J,$J40,Data!$K:$K,$K40,Data!$R:$R,"",Data!$L:$L,IF(ISBLANK($P40),"",$P40),Data!$G:$G,"MALA",Data!$H:$H,"A15C",Data!$M:$M,105, Data!$Q:$Q,1),0)</f>
        <v>0</v>
      </c>
      <c r="Y45" s="58">
        <f>IF(NOT(ISBLANK(Y40)),COUNTIFS(Data!$C:$C,$C40,Data!$P:$P,"VAL",Data!$E:$E,$E40,Data!$F:$F,$F40,Data!$I:$I,IF(ISBLANK($I40),"",$I40),Data!$J:$J,$J40,Data!$K:$K,$K40,Data!$R:$R,"",Data!$L:$L,IF(ISBLANK($P40),"",$P40),Data!$G:$G,"MALA",Data!$H:$H,"A15C",Data!$M:$M,125, Data!$Q:$Q,1),0)</f>
        <v>0</v>
      </c>
      <c r="Z45" s="11"/>
      <c r="AA45" s="11"/>
      <c r="AB45" s="8">
        <v>80</v>
      </c>
    </row>
    <row r="46" spans="1:28" ht="15.6" x14ac:dyDescent="0.3">
      <c r="A46" s="66"/>
      <c r="B46" s="108" t="s">
        <v>389</v>
      </c>
      <c r="C46" s="109" t="s">
        <v>396</v>
      </c>
      <c r="D46" s="64" t="s">
        <v>612</v>
      </c>
      <c r="E46" s="64" t="s">
        <v>493</v>
      </c>
      <c r="F46" s="64">
        <v>1</v>
      </c>
      <c r="G46" s="64" t="s">
        <v>390</v>
      </c>
      <c r="H46" s="64" t="s">
        <v>391</v>
      </c>
      <c r="I46" s="64"/>
      <c r="J46" s="64" t="s">
        <v>494</v>
      </c>
      <c r="K46" s="64" t="s">
        <v>493</v>
      </c>
      <c r="L46" s="64" t="s">
        <v>482</v>
      </c>
      <c r="M46" s="64" t="s">
        <v>393</v>
      </c>
      <c r="N46" s="64">
        <f>+Z46/80</f>
        <v>40</v>
      </c>
      <c r="O46" s="64"/>
      <c r="P46" s="64" t="s">
        <v>623</v>
      </c>
      <c r="Q46" s="66"/>
      <c r="R46" s="66"/>
      <c r="S46" s="66"/>
      <c r="T46" s="65"/>
      <c r="U46" s="68"/>
      <c r="V46" s="65">
        <f>20*80</f>
        <v>1600</v>
      </c>
      <c r="W46" s="65">
        <f>20*80</f>
        <v>1600</v>
      </c>
      <c r="X46" s="65"/>
      <c r="Y46" s="65"/>
      <c r="Z46" s="65">
        <f>SUM(Q46:Y46)</f>
        <v>3200</v>
      </c>
      <c r="AA46" s="112" t="s">
        <v>496</v>
      </c>
      <c r="AB46" s="109" t="s">
        <v>406</v>
      </c>
    </row>
    <row r="47" spans="1:28" x14ac:dyDescent="0.3">
      <c r="A47" s="8"/>
      <c r="B47" s="8"/>
      <c r="C47" s="9"/>
      <c r="D47" s="9"/>
      <c r="E47" s="9"/>
      <c r="F47" s="9"/>
      <c r="G47" s="9"/>
      <c r="H47" s="9"/>
      <c r="I47" s="9"/>
      <c r="J47" s="9"/>
      <c r="K47" s="9"/>
      <c r="L47" s="10" t="s">
        <v>413</v>
      </c>
      <c r="M47" s="10"/>
      <c r="N47" s="10"/>
      <c r="O47" s="10"/>
      <c r="P47" s="9">
        <f>SUM(Q47:Y47)</f>
        <v>40</v>
      </c>
      <c r="Q47" s="11">
        <f t="shared" ref="Q47:Y47" si="21">IFERROR(Q46/80,0)</f>
        <v>0</v>
      </c>
      <c r="R47" s="11">
        <f t="shared" si="21"/>
        <v>0</v>
      </c>
      <c r="S47" s="11">
        <f t="shared" si="21"/>
        <v>0</v>
      </c>
      <c r="T47" s="11">
        <f t="shared" si="21"/>
        <v>0</v>
      </c>
      <c r="U47" s="11">
        <f t="shared" si="21"/>
        <v>0</v>
      </c>
      <c r="V47" s="11">
        <f t="shared" si="21"/>
        <v>20</v>
      </c>
      <c r="W47" s="11">
        <f t="shared" si="21"/>
        <v>20</v>
      </c>
      <c r="X47" s="11">
        <f t="shared" si="21"/>
        <v>0</v>
      </c>
      <c r="Y47" s="11">
        <f t="shared" si="21"/>
        <v>0</v>
      </c>
      <c r="Z47" s="11"/>
      <c r="AA47" s="129" t="s">
        <v>637</v>
      </c>
      <c r="AB47" s="8"/>
    </row>
    <row r="48" spans="1:28" x14ac:dyDescent="0.3">
      <c r="A48" s="8"/>
      <c r="B48" s="8"/>
      <c r="C48" s="9"/>
      <c r="D48" s="9"/>
      <c r="E48" s="9"/>
      <c r="F48" s="9"/>
      <c r="G48" s="9"/>
      <c r="H48" s="9"/>
      <c r="I48" s="9"/>
      <c r="J48" s="9"/>
      <c r="K48" s="9"/>
      <c r="L48" s="10" t="s">
        <v>414</v>
      </c>
      <c r="M48" s="10"/>
      <c r="N48" s="10"/>
      <c r="O48" s="10"/>
      <c r="P48" s="9">
        <f>SUM(Q48:Y48)</f>
        <v>40</v>
      </c>
      <c r="Q48" s="11">
        <f t="shared" ref="Q48:Y48" si="22">IFERROR(Q47-(Q49+Q51),0)</f>
        <v>0</v>
      </c>
      <c r="R48" s="11">
        <f t="shared" si="22"/>
        <v>0</v>
      </c>
      <c r="S48" s="11">
        <f t="shared" si="22"/>
        <v>0</v>
      </c>
      <c r="T48" s="11">
        <f t="shared" si="22"/>
        <v>0</v>
      </c>
      <c r="U48" s="11">
        <f t="shared" si="22"/>
        <v>0</v>
      </c>
      <c r="V48" s="11">
        <f t="shared" si="22"/>
        <v>20</v>
      </c>
      <c r="W48" s="11">
        <f t="shared" si="22"/>
        <v>20</v>
      </c>
      <c r="X48" s="11">
        <f t="shared" si="22"/>
        <v>0</v>
      </c>
      <c r="Y48" s="11">
        <f t="shared" si="22"/>
        <v>0</v>
      </c>
      <c r="Z48" s="11"/>
      <c r="AA48" s="129"/>
      <c r="AB48" s="8"/>
    </row>
    <row r="49" spans="1:28" x14ac:dyDescent="0.3">
      <c r="A49" s="8"/>
      <c r="B49" s="8"/>
      <c r="C49" s="9"/>
      <c r="D49" s="9"/>
      <c r="E49" s="9"/>
      <c r="F49" s="9"/>
      <c r="G49" s="9"/>
      <c r="H49" s="9"/>
      <c r="I49" s="9"/>
      <c r="J49" s="9"/>
      <c r="K49" s="9"/>
      <c r="L49" s="10" t="s">
        <v>415</v>
      </c>
      <c r="M49" s="10"/>
      <c r="N49" s="10"/>
      <c r="O49" s="10"/>
      <c r="P49" s="131">
        <f>SUM(Q49:Y49)</f>
        <v>0</v>
      </c>
      <c r="Q49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IF(NOT(ISBLANK(Q46)),COUNTIFS(Data!$C:$C,$C46,Data!$P:$P,"VAL",Data!$E:$E,$E46,Data!$F:$F,$F46,Data!$I:$I,IF(ISBLANK($I46),"",$I46),Data!$J:$J,$J46,Data!$K:$K,$K46,Data!$R:$R,"",Data!$L:$L,IF(ISBLANK($P46),"",$P46),Data!$G:$G,"ZF",Data!$H:$H,"A15C",Data!$M:$M,36),0)-Q51</f>
        <v>0</v>
      </c>
      <c r="R49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IF(NOT(ISBLANK(R46)),COUNTIFS(Data!$C:$C,$C46,Data!$P:$P,"VAL",Data!$E:$E,$E46,Data!$F:$F,$F46,Data!$I:$I,IF(ISBLANK($I46),"",$I46),Data!$J:$J,$J46,Data!$K:$K,$K46,Data!$R:$R,"",Data!$L:$L,IF(ISBLANK($P46),"",$P46),Data!$G:$G,"ZF",Data!$H:$H,"A15C",Data!$M:$M,40),0)-R51</f>
        <v>0</v>
      </c>
      <c r="S49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IF(NOT(ISBLANK(S46)),COUNTIFS(Data!$C:$C,$C46,Data!$P:$P,"VAL",Data!$E:$E,$E46,Data!$F:$F,$F46,Data!$I:$I,IF(ISBLANK($I46),"",$I46),Data!$J:$J,$J46,Data!$K:$K,$K46,Data!$R:$R,"",Data!$L:$L,IF(ISBLANK($P46),"",$P46),Data!$G:$G,"ZF",Data!$H:$H,"A15C",Data!$M:$M,48),0)-S51</f>
        <v>0</v>
      </c>
      <c r="T49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IF(NOT(ISBLANK(T46)),COUNTIFS(Data!$C:$C,$C46,Data!$P:$P,"VAL",Data!$E:$E,$E46,Data!$F:$F,$F46,Data!$I:$I,IF(ISBLANK($I46),"",$I46),Data!$J:$J,$J46,Data!$K:$K,$K46,Data!$R:$R,"",Data!$L:$L,IF(ISBLANK($P46),"",$P46),Data!$G:$G,"ZF",Data!$H:$H,"A15C",Data!$M:$M,56),0)-T51</f>
        <v>0</v>
      </c>
      <c r="U49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IF(NOT(ISBLANK(U46)),COUNTIFS(Data!$C:$C,$C46,Data!$P:$P,"VAL",Data!$E:$E,$E46,Data!$F:$F,$F46,Data!$I:$I,IF(ISBLANK($I46),"",$I46),Data!$J:$J,$J46,Data!$K:$K,$K46,Data!$R:$R,"",Data!$L:$L,IF(ISBLANK($P46),"",$P46),Data!$G:$G,"ZF",Data!$H:$H,"A15C",Data!$M:$M,64),0)-U51</f>
        <v>0</v>
      </c>
      <c r="V49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IF(NOT(ISBLANK(V46)),COUNTIFS(Data!$C:$C,$C46,Data!$P:$P,"VAL",Data!$E:$E,$E46,Data!$F:$F,$F46,Data!$I:$I,IF(ISBLANK($I46),"",$I46),Data!$J:$J,$J46,Data!$K:$K,$K46,Data!$R:$R,"",Data!$L:$L,IF(ISBLANK($P46),"",$P46),Data!$G:$G,"ZF",Data!$H:$H,"A15C",Data!$M:$M,72),0)-V51-V37-V39</f>
        <v>0</v>
      </c>
      <c r="W49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IF(NOT(ISBLANK(W46)),COUNTIFS(Data!$C:$C,$C46,Data!$P:$P,"VAL",Data!$E:$E,$E46,Data!$F:$F,$F46,Data!$I:$I,IF(ISBLANK($I46),"",$I46),Data!$J:$J,$J46,Data!$K:$K,$K46,Data!$R:$R,"",Data!$L:$L,IF(ISBLANK($P46),"",$P46),Data!$G:$G,"ZF",Data!$H:$H,"A15C",Data!$M:$M,88),0)-W51-W37-W39</f>
        <v>0</v>
      </c>
      <c r="X49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IF(NOT(ISBLANK(X46)),COUNTIFS(Data!$C:$C,$C46,Data!$P:$P,"VAL",Data!$E:$E,$E46,Data!$F:$F,$F46,Data!$I:$I,IF(ISBLANK($I46),"",$I46),Data!$J:$J,$J46,Data!$K:$K,$K46,Data!$R:$R,"",Data!$L:$L,IF(ISBLANK($P46),"",$P46),Data!$G:$G,"ZF",Data!$H:$H,"A15C",Data!$M:$M,105),0)-X51</f>
        <v>0</v>
      </c>
      <c r="Y49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IF(NOT(ISBLANK(Y46)),COUNTIFS(Data!$C:$C,$C46,Data!$P:$P,"VAL",Data!$E:$E,$E46,Data!$F:$F,$F46,Data!$I:$I,IF(ISBLANK($I46),"",$I46),Data!$J:$J,$J46,Data!$K:$K,$K46,Data!$R:$R,"",Data!$L:$L,IF(ISBLANK($P46),"",$P46),Data!$G:$G,"ZF",Data!$H:$H,"A15C",Data!$M:$M,125),0)-Y51</f>
        <v>0</v>
      </c>
      <c r="Z49" s="11"/>
      <c r="AA49" s="11"/>
      <c r="AB49" s="8"/>
    </row>
    <row r="50" spans="1:28" x14ac:dyDescent="0.3">
      <c r="A50" s="8"/>
      <c r="B50" s="8"/>
      <c r="C50" s="9"/>
      <c r="D50" s="9"/>
      <c r="E50" s="9"/>
      <c r="F50" s="9"/>
      <c r="G50" s="9"/>
      <c r="H50" s="9"/>
      <c r="I50" s="9"/>
      <c r="J50" s="9"/>
      <c r="K50" s="9"/>
      <c r="L50" s="10" t="s">
        <v>416</v>
      </c>
      <c r="M50" s="10"/>
      <c r="N50" s="10"/>
      <c r="O50" s="10"/>
      <c r="P50" s="9">
        <f>IF(COUNTIF(AA46:AA51,"*AS ORDERED*")&gt;0,SUM(Q50:Y50),IF(P48&gt;0,0,(-1)*P48))</f>
        <v>0</v>
      </c>
      <c r="Q50" s="11">
        <f t="shared" ref="Q50:Y50" si="23">IF(($P49+$P51)&gt;$P47,IF((Q49+Q51)-Q47&gt;0,(Q49+Q51)-Q47,0),0)</f>
        <v>0</v>
      </c>
      <c r="R50" s="11">
        <f t="shared" si="23"/>
        <v>0</v>
      </c>
      <c r="S50" s="11">
        <f t="shared" si="23"/>
        <v>0</v>
      </c>
      <c r="T50" s="11">
        <f t="shared" si="23"/>
        <v>0</v>
      </c>
      <c r="U50" s="11">
        <f t="shared" si="23"/>
        <v>0</v>
      </c>
      <c r="V50" s="11">
        <f t="shared" si="23"/>
        <v>0</v>
      </c>
      <c r="W50" s="11">
        <f t="shared" si="23"/>
        <v>0</v>
      </c>
      <c r="X50" s="11">
        <f t="shared" si="23"/>
        <v>0</v>
      </c>
      <c r="Y50" s="11">
        <f t="shared" si="23"/>
        <v>0</v>
      </c>
      <c r="Z50" s="11"/>
      <c r="AA50" s="11"/>
      <c r="AB50" s="8"/>
    </row>
    <row r="51" spans="1:28" ht="15" thickBot="1" x14ac:dyDescent="0.35">
      <c r="A51" s="8"/>
      <c r="B51" s="8"/>
      <c r="C51" s="9"/>
      <c r="D51" s="9"/>
      <c r="E51" s="9"/>
      <c r="F51" s="9"/>
      <c r="G51" s="9"/>
      <c r="H51" s="9"/>
      <c r="I51" s="9"/>
      <c r="J51" s="9"/>
      <c r="K51" s="9"/>
      <c r="L51" s="10" t="s">
        <v>417</v>
      </c>
      <c r="M51" s="10"/>
      <c r="N51" s="10"/>
      <c r="O51" s="10"/>
      <c r="P51" s="131">
        <f>SUM(Q51:Y51)</f>
        <v>0</v>
      </c>
      <c r="Q51" s="58">
        <f>IF(NOT(ISBLANK(Q46)),COUNTIFS(Data!$C:$C,$C46,Data!$P:$P,"VAL",Data!$E:$E,$E46,Data!$F:$F,$F46,Data!$I:$I,IF(ISBLANK($I46),"",$I46),Data!$J:$J,$J46,Data!$K:$K,$K46,Data!$R:$R,"",Data!$L:$L,IF(ISBLANK($P46),"",$P46),Data!$G:$G,"ZF",Data!$H:$H,"A15C",Data!$M:$M,36, Data!$Q:$Q,1),0)</f>
        <v>0</v>
      </c>
      <c r="R51" s="58">
        <f>IF(NOT(ISBLANK(R46)),COUNTIFS(Data!$C:$C,$C46,Data!$P:$P,"VAL",Data!$E:$E,$E46,Data!$F:$F,$F46,Data!$I:$I,IF(ISBLANK($I46),"",$I46),Data!$J:$J,$J46,Data!$K:$K,$K46,Data!$R:$R,"",Data!$L:$L,IF(ISBLANK($P46),"",$P46),Data!$G:$G,"ZF",Data!$H:$H,"A15C",Data!$M:$M,40, Data!$Q:$Q,1),0)</f>
        <v>0</v>
      </c>
      <c r="S51" s="58">
        <f>IF(NOT(ISBLANK(S46)),COUNTIFS(Data!$C:$C,$C46,Data!$P:$P,"VAL",Data!$E:$E,$E46,Data!$F:$F,$F46,Data!$I:$I,IF(ISBLANK($I46),"",$I46),Data!$J:$J,$J46,Data!$K:$K,$K46,Data!$R:$R,"",Data!$L:$L,IF(ISBLANK($P46),"",$P46),Data!$G:$G,"ZF",Data!$H:$H,"A15C",Data!$M:$M,48, Data!$Q:$Q,1),0)</f>
        <v>0</v>
      </c>
      <c r="T51" s="58">
        <f>IF(NOT(ISBLANK(T46)),COUNTIFS(Data!$C:$C,$C46,Data!$P:$P,"VAL",Data!$E:$E,$E46,Data!$F:$F,$F46,Data!$I:$I,IF(ISBLANK($I46),"",$I46),Data!$J:$J,$J46,Data!$K:$K,$K46,Data!$R:$R,"",Data!$L:$L,IF(ISBLANK($P46),"",$P46),Data!$G:$G,"ZF",Data!$H:$H,"A15C",Data!$M:$M,56, Data!$Q:$Q,1),0)</f>
        <v>0</v>
      </c>
      <c r="U51" s="58">
        <f>IF(NOT(ISBLANK(U46)),COUNTIFS(Data!$C:$C,$C46,Data!$P:$P,"VAL",Data!$E:$E,$E46,Data!$F:$F,$F46,Data!$I:$I,IF(ISBLANK($I46),"",$I46),Data!$J:$J,$J46,Data!$K:$K,$K46,Data!$R:$R,"",Data!$L:$L,IF(ISBLANK($P46),"",$P46),Data!$G:$G,"ZF",Data!$H:$H,"A15C",Data!$M:$M,64, Data!$Q:$Q,1),0)</f>
        <v>0</v>
      </c>
      <c r="V51" s="58">
        <f>IF(NOT(ISBLANK(V46)),COUNTIFS(Data!$C:$C,$C46,Data!$P:$P,"VAL",Data!$E:$E,$E46,Data!$F:$F,$F46,Data!$I:$I,IF(ISBLANK($I46),"",$I46),Data!$J:$J,$J46,Data!$K:$K,$K46,Data!$R:$R,"",Data!$L:$L,IF(ISBLANK($P46),"",$P46),Data!$G:$G,"ZF",Data!$H:$H,"A15C",Data!$M:$M,72, Data!$Q:$Q,1),0)-V39</f>
        <v>0</v>
      </c>
      <c r="W51" s="58">
        <f>IF(NOT(ISBLANK(W46)),COUNTIFS(Data!$C:$C,$C46,Data!$P:$P,"VAL",Data!$E:$E,$E46,Data!$F:$F,$F46,Data!$I:$I,IF(ISBLANK($I46),"",$I46),Data!$J:$J,$J46,Data!$K:$K,$K46,Data!$R:$R,"",Data!$L:$L,IF(ISBLANK($P46),"",$P46),Data!$G:$G,"ZF",Data!$H:$H,"A15C",Data!$M:$M,88, Data!$Q:$Q,1),0)-W39</f>
        <v>0</v>
      </c>
      <c r="X51" s="58">
        <f>IF(NOT(ISBLANK(X46)),COUNTIFS(Data!$C:$C,$C46,Data!$P:$P,"VAL",Data!$E:$E,$E46,Data!$F:$F,$F46,Data!$I:$I,IF(ISBLANK($I46),"",$I46),Data!$J:$J,$J46,Data!$K:$K,$K46,Data!$R:$R,"",Data!$L:$L,IF(ISBLANK($P46),"",$P46),Data!$G:$G,"ZF",Data!$H:$H,"A15C",Data!$M:$M,105, Data!$Q:$Q,1),0)</f>
        <v>0</v>
      </c>
      <c r="Y51" s="58">
        <f>IF(NOT(ISBLANK(Y46)),COUNTIFS(Data!$C:$C,$C46,Data!$P:$P,"VAL",Data!$E:$E,$E46,Data!$F:$F,$F46,Data!$I:$I,IF(ISBLANK($I46),"",$I46),Data!$J:$J,$J46,Data!$K:$K,$K46,Data!$R:$R,"",Data!$L:$L,IF(ISBLANK($P46),"",$P46),Data!$G:$G,"ZF",Data!$H:$H,"A15C",Data!$M:$M,125, Data!$Q:$Q,1),0)</f>
        <v>0</v>
      </c>
      <c r="Z51" s="11"/>
      <c r="AA51" s="11"/>
      <c r="AB51" s="8">
        <v>80</v>
      </c>
    </row>
    <row r="52" spans="1:28" ht="15.6" x14ac:dyDescent="0.3">
      <c r="A52" s="66" t="s">
        <v>629</v>
      </c>
      <c r="B52" s="108" t="s">
        <v>389</v>
      </c>
      <c r="C52" s="109" t="s">
        <v>396</v>
      </c>
      <c r="D52" s="64" t="s">
        <v>612</v>
      </c>
      <c r="E52" s="64" t="s">
        <v>400</v>
      </c>
      <c r="F52" s="64">
        <v>1</v>
      </c>
      <c r="G52" s="64" t="s">
        <v>390</v>
      </c>
      <c r="H52" s="64" t="s">
        <v>391</v>
      </c>
      <c r="I52" s="64"/>
      <c r="J52" s="64" t="s">
        <v>401</v>
      </c>
      <c r="K52" s="64" t="s">
        <v>400</v>
      </c>
      <c r="L52" s="64" t="s">
        <v>482</v>
      </c>
      <c r="M52" s="64" t="s">
        <v>393</v>
      </c>
      <c r="N52" s="64">
        <f>+Z52/80</f>
        <v>40</v>
      </c>
      <c r="O52" s="64"/>
      <c r="P52" s="64" t="s">
        <v>623</v>
      </c>
      <c r="Q52" s="65"/>
      <c r="R52" s="65"/>
      <c r="S52" s="65"/>
      <c r="T52" s="65"/>
      <c r="U52" s="64"/>
      <c r="V52" s="65">
        <f>20*80</f>
        <v>1600</v>
      </c>
      <c r="W52" s="65">
        <f>20*80</f>
        <v>1600</v>
      </c>
      <c r="X52" s="65"/>
      <c r="Y52" s="65"/>
      <c r="Z52" s="65">
        <f>SUM(Q52:Y52)</f>
        <v>3200</v>
      </c>
      <c r="AA52" s="67" t="s">
        <v>496</v>
      </c>
      <c r="AB52" s="64" t="s">
        <v>406</v>
      </c>
    </row>
    <row r="53" spans="1:28" x14ac:dyDescent="0.3">
      <c r="A53" s="8"/>
      <c r="B53" s="8"/>
      <c r="C53" s="9"/>
      <c r="D53" s="9"/>
      <c r="E53" s="9"/>
      <c r="F53" s="9"/>
      <c r="G53" s="9"/>
      <c r="H53" s="9"/>
      <c r="I53" s="9"/>
      <c r="J53" s="9"/>
      <c r="K53" s="9"/>
      <c r="L53" s="10" t="s">
        <v>413</v>
      </c>
      <c r="M53" s="10"/>
      <c r="N53" s="10"/>
      <c r="O53" s="10"/>
      <c r="P53" s="9">
        <f>SUM(Q53:Y53)</f>
        <v>40</v>
      </c>
      <c r="Q53" s="11">
        <f t="shared" ref="Q53:Y53" si="24">IFERROR(Q52/80,0)</f>
        <v>0</v>
      </c>
      <c r="R53" s="11">
        <f t="shared" si="24"/>
        <v>0</v>
      </c>
      <c r="S53" s="11">
        <f t="shared" si="24"/>
        <v>0</v>
      </c>
      <c r="T53" s="11">
        <f t="shared" si="24"/>
        <v>0</v>
      </c>
      <c r="U53" s="11">
        <f t="shared" si="24"/>
        <v>0</v>
      </c>
      <c r="V53" s="11">
        <f t="shared" si="24"/>
        <v>20</v>
      </c>
      <c r="W53" s="11">
        <f t="shared" si="24"/>
        <v>20</v>
      </c>
      <c r="X53" s="11">
        <f t="shared" si="24"/>
        <v>0</v>
      </c>
      <c r="Y53" s="11">
        <f t="shared" si="24"/>
        <v>0</v>
      </c>
      <c r="Z53" s="11"/>
      <c r="AA53" s="129" t="s">
        <v>497</v>
      </c>
      <c r="AB53" s="8"/>
    </row>
    <row r="54" spans="1:28" x14ac:dyDescent="0.3">
      <c r="A54" s="8"/>
      <c r="B54" s="8"/>
      <c r="C54" s="9"/>
      <c r="D54" s="9"/>
      <c r="E54" s="9"/>
      <c r="F54" s="9"/>
      <c r="G54" s="9"/>
      <c r="H54" s="9"/>
      <c r="I54" s="9"/>
      <c r="J54" s="9"/>
      <c r="K54" s="9"/>
      <c r="L54" s="10" t="s">
        <v>414</v>
      </c>
      <c r="M54" s="10"/>
      <c r="N54" s="10"/>
      <c r="O54" s="10"/>
      <c r="P54" s="9">
        <f>SUM(Q54:Y54)</f>
        <v>40</v>
      </c>
      <c r="Q54" s="11">
        <f t="shared" ref="Q54:Y54" si="25">IFERROR(Q53-(Q55+Q57),0)</f>
        <v>0</v>
      </c>
      <c r="R54" s="11">
        <f t="shared" si="25"/>
        <v>0</v>
      </c>
      <c r="S54" s="11">
        <f t="shared" si="25"/>
        <v>0</v>
      </c>
      <c r="T54" s="11">
        <f t="shared" si="25"/>
        <v>0</v>
      </c>
      <c r="U54" s="11">
        <f t="shared" si="25"/>
        <v>0</v>
      </c>
      <c r="V54" s="11">
        <f t="shared" si="25"/>
        <v>20</v>
      </c>
      <c r="W54" s="11">
        <f t="shared" si="25"/>
        <v>20</v>
      </c>
      <c r="X54" s="11">
        <f t="shared" si="25"/>
        <v>0</v>
      </c>
      <c r="Y54" s="11">
        <f t="shared" si="25"/>
        <v>0</v>
      </c>
      <c r="Z54" s="11"/>
      <c r="AA54" s="129" t="s">
        <v>502</v>
      </c>
      <c r="AB54" s="8"/>
    </row>
    <row r="55" spans="1:28" x14ac:dyDescent="0.3">
      <c r="A55" s="8"/>
      <c r="B55" s="8"/>
      <c r="C55" s="9"/>
      <c r="D55" s="9"/>
      <c r="E55" s="9"/>
      <c r="F55" s="9"/>
      <c r="G55" s="9"/>
      <c r="H55" s="9"/>
      <c r="I55" s="9"/>
      <c r="J55" s="9"/>
      <c r="K55" s="9"/>
      <c r="L55" s="10" t="s">
        <v>415</v>
      </c>
      <c r="M55" s="10"/>
      <c r="N55" s="10"/>
      <c r="O55" s="10"/>
      <c r="P55" s="131">
        <f>SUM(Q55:Y55)</f>
        <v>0</v>
      </c>
      <c r="Q55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IF(NOT(ISBLANK(Q52)),COUNTIFS(Data!$C:$C,$C52,Data!$P:$P,"VAL",Data!$E:$E,$E52,Data!$F:$F,$F52,Data!$I:$I,IF(ISBLANK($I52),"",$I52),Data!$J:$J,$J52,Data!$K:$K,$K52,Data!$R:$R,"",Data!$L:$L,IF(ISBLANK($P52),"",$P52),Data!$G:$G,"ZF",Data!$H:$H,"A15C",Data!$M:$M,36),0)-Q57</f>
        <v>0</v>
      </c>
      <c r="R55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IF(NOT(ISBLANK(R52)),COUNTIFS(Data!$C:$C,$C52,Data!$P:$P,"VAL",Data!$E:$E,$E52,Data!$F:$F,$F52,Data!$I:$I,IF(ISBLANK($I52),"",$I52),Data!$J:$J,$J52,Data!$K:$K,$K52,Data!$R:$R,"",Data!$L:$L,IF(ISBLANK($P52),"",$P52),Data!$G:$G,"ZF",Data!$H:$H,"A15C",Data!$M:$M,40),0)-R57</f>
        <v>0</v>
      </c>
      <c r="S55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IF(NOT(ISBLANK(S52)),COUNTIFS(Data!$C:$C,$C52,Data!$P:$P,"VAL",Data!$E:$E,$E52,Data!$F:$F,$F52,Data!$I:$I,IF(ISBLANK($I52),"",$I52),Data!$J:$J,$J52,Data!$K:$K,$K52,Data!$R:$R,"",Data!$L:$L,IF(ISBLANK($P52),"",$P52),Data!$G:$G,"ZF",Data!$H:$H,"A15C",Data!$M:$M,48),0)-S57</f>
        <v>0</v>
      </c>
      <c r="T55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IF(NOT(ISBLANK(T52)),COUNTIFS(Data!$C:$C,$C52,Data!$P:$P,"VAL",Data!$E:$E,$E52,Data!$F:$F,$F52,Data!$I:$I,IF(ISBLANK($I52),"",$I52),Data!$J:$J,$J52,Data!$K:$K,$K52,Data!$R:$R,"",Data!$L:$L,IF(ISBLANK($P52),"",$P52),Data!$G:$G,"ZF",Data!$H:$H,"A15C",Data!$M:$M,56),0)-T57</f>
        <v>0</v>
      </c>
      <c r="U55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IF(NOT(ISBLANK(U52)),COUNTIFS(Data!$C:$C,$C52,Data!$P:$P,"VAL",Data!$E:$E,$E52,Data!$F:$F,$F52,Data!$I:$I,IF(ISBLANK($I52),"",$I52),Data!$J:$J,$J52,Data!$K:$K,$K52,Data!$R:$R,"",Data!$L:$L,IF(ISBLANK($P52),"",$P52),Data!$G:$G,"ZF",Data!$H:$H,"A15C",Data!$M:$M,64),0)-U57</f>
        <v>0</v>
      </c>
      <c r="V55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IF(NOT(ISBLANK(V52)),COUNTIFS(Data!$C:$C,$C52,Data!$P:$P,"VAL",Data!$E:$E,$E52,Data!$F:$F,$F52,Data!$I:$I,IF(ISBLANK($I52),"",$I52),Data!$J:$J,$J52,Data!$K:$K,$K52,Data!$R:$R,"",Data!$L:$L,IF(ISBLANK($P52),"",$P52),Data!$G:$G,"ZF",Data!$H:$H,"A15C",Data!$M:$M,72),0)-V57</f>
        <v>0</v>
      </c>
      <c r="W55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IF(NOT(ISBLANK(W52)),COUNTIFS(Data!$C:$C,$C52,Data!$P:$P,"VAL",Data!$E:$E,$E52,Data!$F:$F,$F52,Data!$I:$I,IF(ISBLANK($I52),"",$I52),Data!$J:$J,$J52,Data!$K:$K,$K52,Data!$R:$R,"",Data!$L:$L,IF(ISBLANK($P52),"",$P52),Data!$G:$G,"ZF",Data!$H:$H,"A15C",Data!$M:$M,88),0)-W57</f>
        <v>0</v>
      </c>
      <c r="X55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IF(NOT(ISBLANK(X52)),COUNTIFS(Data!$C:$C,$C52,Data!$P:$P,"VAL",Data!$E:$E,$E52,Data!$F:$F,$F52,Data!$I:$I,IF(ISBLANK($I52),"",$I52),Data!$J:$J,$J52,Data!$K:$K,$K52,Data!$R:$R,"",Data!$L:$L,IF(ISBLANK($P52),"",$P52),Data!$G:$G,"ZF",Data!$H:$H,"A15C",Data!$M:$M,105),0)-X57</f>
        <v>0</v>
      </c>
      <c r="Y55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IF(NOT(ISBLANK(Y52)),COUNTIFS(Data!$C:$C,$C52,Data!$P:$P,"VAL",Data!$E:$E,$E52,Data!$F:$F,$F52,Data!$I:$I,IF(ISBLANK($I52),"",$I52),Data!$J:$J,$J52,Data!$K:$K,$K52,Data!$R:$R,"",Data!$L:$L,IF(ISBLANK($P52),"",$P52),Data!$G:$G,"ZF",Data!$H:$H,"A15C",Data!$M:$M,125),0)-Y57</f>
        <v>0</v>
      </c>
      <c r="Z55" s="11"/>
      <c r="AA55" s="129"/>
      <c r="AB55" s="8"/>
    </row>
    <row r="56" spans="1:28" x14ac:dyDescent="0.3">
      <c r="A56" s="8"/>
      <c r="B56" s="8"/>
      <c r="C56" s="9"/>
      <c r="D56" s="9"/>
      <c r="E56" s="9"/>
      <c r="F56" s="9"/>
      <c r="G56" s="9"/>
      <c r="H56" s="9"/>
      <c r="I56" s="9"/>
      <c r="J56" s="9"/>
      <c r="K56" s="9"/>
      <c r="L56" s="10" t="s">
        <v>416</v>
      </c>
      <c r="M56" s="10"/>
      <c r="N56" s="10"/>
      <c r="O56" s="10"/>
      <c r="P56" s="9">
        <f>IF(COUNTIF(AA52:AA57,"*AS ORDERED*")&gt;0,SUM(Q56:Y56),IF(P54&gt;0,0,(-1)*P54))</f>
        <v>0</v>
      </c>
      <c r="Q56" s="11">
        <f t="shared" ref="Q56:Y56" si="26">IF(($P55+$P57)&gt;$P53,IF((Q55+Q57)-Q53&gt;0,(Q55+Q57)-Q53,0),0)</f>
        <v>0</v>
      </c>
      <c r="R56" s="11">
        <f t="shared" si="26"/>
        <v>0</v>
      </c>
      <c r="S56" s="11">
        <f t="shared" si="26"/>
        <v>0</v>
      </c>
      <c r="T56" s="11">
        <f t="shared" si="26"/>
        <v>0</v>
      </c>
      <c r="U56" s="11">
        <f t="shared" si="26"/>
        <v>0</v>
      </c>
      <c r="V56" s="11">
        <f t="shared" si="26"/>
        <v>0</v>
      </c>
      <c r="W56" s="11">
        <f t="shared" si="26"/>
        <v>0</v>
      </c>
      <c r="X56" s="11">
        <f t="shared" si="26"/>
        <v>0</v>
      </c>
      <c r="Y56" s="11">
        <f t="shared" si="26"/>
        <v>0</v>
      </c>
      <c r="Z56" s="11"/>
      <c r="AA56" s="11"/>
      <c r="AB56" s="8"/>
    </row>
    <row r="57" spans="1:28" ht="15" thickBot="1" x14ac:dyDescent="0.35">
      <c r="A57" s="8"/>
      <c r="B57" s="8"/>
      <c r="C57" s="9"/>
      <c r="D57" s="9"/>
      <c r="E57" s="9"/>
      <c r="F57" s="9"/>
      <c r="G57" s="9"/>
      <c r="H57" s="9"/>
      <c r="I57" s="9"/>
      <c r="J57" s="9"/>
      <c r="K57" s="9"/>
      <c r="L57" s="10" t="s">
        <v>417</v>
      </c>
      <c r="M57" s="10"/>
      <c r="N57" s="10"/>
      <c r="O57" s="10"/>
      <c r="P57" s="131">
        <f>SUM(Q57:Y57)</f>
        <v>0</v>
      </c>
      <c r="Q57" s="58">
        <f>IF(NOT(ISBLANK(Q52)),COUNTIFS(Data!$C:$C,$C52,Data!$P:$P,"VAL",Data!$E:$E,$E52,Data!$F:$F,$F52,Data!$I:$I,IF(ISBLANK($I52),"",$I52),Data!$J:$J,$J52,Data!$K:$K,$K52,Data!$R:$R,"",Data!$L:$L,IF(ISBLANK($P52),"",$P52),Data!$G:$G,"ZF",Data!$H:$H,"A15C",Data!$M:$M,36, Data!$Q:$Q,1),0)</f>
        <v>0</v>
      </c>
      <c r="R57" s="58">
        <f>IF(NOT(ISBLANK(R52)),COUNTIFS(Data!$C:$C,$C52,Data!$P:$P,"VAL",Data!$E:$E,$E52,Data!$F:$F,$F52,Data!$I:$I,IF(ISBLANK($I52),"",$I52),Data!$J:$J,$J52,Data!$K:$K,$K52,Data!$R:$R,"",Data!$L:$L,IF(ISBLANK($P52),"",$P52),Data!$G:$G,"ZF",Data!$H:$H,"A15C",Data!$M:$M,40, Data!$Q:$Q,1),0)</f>
        <v>0</v>
      </c>
      <c r="S57" s="58">
        <f>IF(NOT(ISBLANK(S52)),COUNTIFS(Data!$C:$C,$C52,Data!$P:$P,"VAL",Data!$E:$E,$E52,Data!$F:$F,$F52,Data!$I:$I,IF(ISBLANK($I52),"",$I52),Data!$J:$J,$J52,Data!$K:$K,$K52,Data!$R:$R,"",Data!$L:$L,IF(ISBLANK($P52),"",$P52),Data!$G:$G,"ZF",Data!$H:$H,"A15C",Data!$M:$M,48, Data!$Q:$Q,1),0)</f>
        <v>0</v>
      </c>
      <c r="T57" s="58">
        <f>IF(NOT(ISBLANK(T52)),COUNTIFS(Data!$C:$C,$C52,Data!$P:$P,"VAL",Data!$E:$E,$E52,Data!$F:$F,$F52,Data!$I:$I,IF(ISBLANK($I52),"",$I52),Data!$J:$J,$J52,Data!$K:$K,$K52,Data!$R:$R,"",Data!$L:$L,IF(ISBLANK($P52),"",$P52),Data!$G:$G,"ZF",Data!$H:$H,"A15C",Data!$M:$M,56, Data!$Q:$Q,1),0)</f>
        <v>0</v>
      </c>
      <c r="U57" s="58">
        <f>IF(NOT(ISBLANK(U52)),COUNTIFS(Data!$C:$C,$C52,Data!$P:$P,"VAL",Data!$E:$E,$E52,Data!$F:$F,$F52,Data!$I:$I,IF(ISBLANK($I52),"",$I52),Data!$J:$J,$J52,Data!$K:$K,$K52,Data!$R:$R,"",Data!$L:$L,IF(ISBLANK($P52),"",$P52),Data!$G:$G,"ZF",Data!$H:$H,"A15C",Data!$M:$M,64, Data!$Q:$Q,1),0)</f>
        <v>0</v>
      </c>
      <c r="V57" s="58">
        <f>IF(NOT(ISBLANK(V52)),COUNTIFS(Data!$C:$C,$C52,Data!$P:$P,"VAL",Data!$E:$E,$E52,Data!$F:$F,$F52,Data!$I:$I,IF(ISBLANK($I52),"",$I52),Data!$J:$J,$J52,Data!$K:$K,$K52,Data!$R:$R,"",Data!$L:$L,IF(ISBLANK($P52),"",$P52),Data!$G:$G,"ZF",Data!$H:$H,"A15C",Data!$M:$M,72, Data!$Q:$Q,1),0)</f>
        <v>0</v>
      </c>
      <c r="W57" s="58">
        <f>IF(NOT(ISBLANK(W52)),COUNTIFS(Data!$C:$C,$C52,Data!$P:$P,"VAL",Data!$E:$E,$E52,Data!$F:$F,$F52,Data!$I:$I,IF(ISBLANK($I52),"",$I52),Data!$J:$J,$J52,Data!$K:$K,$K52,Data!$R:$R,"",Data!$L:$L,IF(ISBLANK($P52),"",$P52),Data!$G:$G,"ZF",Data!$H:$H,"A15C",Data!$M:$M,88, Data!$Q:$Q,1),0)</f>
        <v>0</v>
      </c>
      <c r="X57" s="58">
        <f>IF(NOT(ISBLANK(X52)),COUNTIFS(Data!$C:$C,$C52,Data!$P:$P,"VAL",Data!$E:$E,$E52,Data!$F:$F,$F52,Data!$I:$I,IF(ISBLANK($I52),"",$I52),Data!$J:$J,$J52,Data!$K:$K,$K52,Data!$R:$R,"",Data!$L:$L,IF(ISBLANK($P52),"",$P52),Data!$G:$G,"ZF",Data!$H:$H,"A15C",Data!$M:$M,105, Data!$Q:$Q,1),0)</f>
        <v>0</v>
      </c>
      <c r="Y57" s="58">
        <f>IF(NOT(ISBLANK(Y52)),COUNTIFS(Data!$C:$C,$C52,Data!$P:$P,"VAL",Data!$E:$E,$E52,Data!$F:$F,$F52,Data!$I:$I,IF(ISBLANK($I52),"",$I52),Data!$J:$J,$J52,Data!$K:$K,$K52,Data!$R:$R,"",Data!$L:$L,IF(ISBLANK($P52),"",$P52),Data!$G:$G,"ZF",Data!$H:$H,"A15C",Data!$M:$M,125, Data!$Q:$Q,1),0)</f>
        <v>0</v>
      </c>
      <c r="Z57" s="11"/>
      <c r="AA57" s="11"/>
      <c r="AB57" s="8">
        <v>80</v>
      </c>
    </row>
    <row r="58" spans="1:28" ht="15.6" x14ac:dyDescent="0.3">
      <c r="A58" s="68"/>
      <c r="B58" s="108" t="s">
        <v>489</v>
      </c>
      <c r="C58" s="109" t="s">
        <v>478</v>
      </c>
      <c r="D58" s="64" t="s">
        <v>612</v>
      </c>
      <c r="E58" s="64" t="s">
        <v>400</v>
      </c>
      <c r="F58" s="64">
        <v>1</v>
      </c>
      <c r="G58" s="64" t="s">
        <v>411</v>
      </c>
      <c r="H58" s="64" t="s">
        <v>391</v>
      </c>
      <c r="I58" s="64"/>
      <c r="J58" s="64" t="s">
        <v>401</v>
      </c>
      <c r="K58" s="64" t="s">
        <v>400</v>
      </c>
      <c r="L58" s="64" t="s">
        <v>482</v>
      </c>
      <c r="M58" s="64" t="s">
        <v>393</v>
      </c>
      <c r="N58" s="64">
        <f>+Z58/80</f>
        <v>20</v>
      </c>
      <c r="O58" s="64"/>
      <c r="P58" s="64" t="s">
        <v>613</v>
      </c>
      <c r="Q58" s="65"/>
      <c r="R58" s="65"/>
      <c r="S58" s="65"/>
      <c r="T58" s="65"/>
      <c r="U58" s="64"/>
      <c r="V58" s="65">
        <f>10*80</f>
        <v>800</v>
      </c>
      <c r="W58" s="65">
        <f>10*80</f>
        <v>800</v>
      </c>
      <c r="X58" s="65"/>
      <c r="Y58" s="65"/>
      <c r="Z58" s="65">
        <f>SUM(Q58:Y58)</f>
        <v>1600</v>
      </c>
      <c r="AA58" s="67" t="s">
        <v>495</v>
      </c>
      <c r="AB58" s="64" t="s">
        <v>483</v>
      </c>
    </row>
    <row r="59" spans="1:28" x14ac:dyDescent="0.3">
      <c r="A59" s="8"/>
      <c r="B59" s="8"/>
      <c r="C59" s="9"/>
      <c r="D59" s="9"/>
      <c r="E59" s="9"/>
      <c r="F59" s="9"/>
      <c r="G59" s="9"/>
      <c r="H59" s="9"/>
      <c r="I59" s="9"/>
      <c r="J59" s="9"/>
      <c r="K59" s="9"/>
      <c r="L59" s="10" t="s">
        <v>413</v>
      </c>
      <c r="M59" s="10"/>
      <c r="N59" s="10"/>
      <c r="O59" s="10"/>
      <c r="P59" s="9">
        <f>SUM(Q59:Y59)</f>
        <v>20</v>
      </c>
      <c r="Q59" s="11">
        <f t="shared" ref="Q59:Y59" si="27">IFERROR(Q58/80,0)</f>
        <v>0</v>
      </c>
      <c r="R59" s="11">
        <f t="shared" si="27"/>
        <v>0</v>
      </c>
      <c r="S59" s="11">
        <f t="shared" si="27"/>
        <v>0</v>
      </c>
      <c r="T59" s="11">
        <f t="shared" si="27"/>
        <v>0</v>
      </c>
      <c r="U59" s="11">
        <f t="shared" si="27"/>
        <v>0</v>
      </c>
      <c r="V59" s="11">
        <f t="shared" si="27"/>
        <v>10</v>
      </c>
      <c r="W59" s="11">
        <f t="shared" si="27"/>
        <v>10</v>
      </c>
      <c r="X59" s="11">
        <f t="shared" si="27"/>
        <v>0</v>
      </c>
      <c r="Y59" s="11">
        <f t="shared" si="27"/>
        <v>0</v>
      </c>
      <c r="Z59" s="11"/>
      <c r="AA59" s="129" t="s">
        <v>497</v>
      </c>
      <c r="AB59" s="8"/>
    </row>
    <row r="60" spans="1:28" x14ac:dyDescent="0.3">
      <c r="A60" s="8"/>
      <c r="B60" s="8"/>
      <c r="C60" s="9"/>
      <c r="D60" s="9"/>
      <c r="E60" s="9"/>
      <c r="F60" s="9"/>
      <c r="G60" s="9"/>
      <c r="H60" s="9"/>
      <c r="I60" s="9"/>
      <c r="J60" s="9"/>
      <c r="K60" s="9"/>
      <c r="L60" s="10" t="s">
        <v>414</v>
      </c>
      <c r="M60" s="10"/>
      <c r="N60" s="10"/>
      <c r="O60" s="10"/>
      <c r="P60" s="9">
        <f>SUM(Q60:Y60)</f>
        <v>20</v>
      </c>
      <c r="Q60" s="11">
        <f t="shared" ref="Q60:Y60" si="28">IFERROR(Q59-(Q61+Q63),0)</f>
        <v>0</v>
      </c>
      <c r="R60" s="11">
        <f t="shared" si="28"/>
        <v>0</v>
      </c>
      <c r="S60" s="11">
        <f t="shared" si="28"/>
        <v>0</v>
      </c>
      <c r="T60" s="11">
        <f t="shared" si="28"/>
        <v>0</v>
      </c>
      <c r="U60" s="11">
        <f t="shared" si="28"/>
        <v>0</v>
      </c>
      <c r="V60" s="11">
        <f t="shared" si="28"/>
        <v>10</v>
      </c>
      <c r="W60" s="11">
        <f t="shared" si="28"/>
        <v>10</v>
      </c>
      <c r="X60" s="11">
        <f t="shared" si="28"/>
        <v>0</v>
      </c>
      <c r="Y60" s="11">
        <f t="shared" si="28"/>
        <v>0</v>
      </c>
      <c r="Z60" s="11"/>
      <c r="AA60" s="129" t="s">
        <v>502</v>
      </c>
      <c r="AB60" s="8"/>
    </row>
    <row r="61" spans="1:28" x14ac:dyDescent="0.3">
      <c r="A61" s="8"/>
      <c r="B61" s="8"/>
      <c r="C61" s="9"/>
      <c r="D61" s="9"/>
      <c r="E61" s="9"/>
      <c r="F61" s="9"/>
      <c r="G61" s="9"/>
      <c r="H61" s="9"/>
      <c r="I61" s="9"/>
      <c r="J61" s="9"/>
      <c r="K61" s="9"/>
      <c r="L61" s="10" t="s">
        <v>415</v>
      </c>
      <c r="M61" s="10"/>
      <c r="N61" s="10"/>
      <c r="O61" s="10"/>
      <c r="P61" s="131">
        <f>SUM(Q61:Y61)</f>
        <v>0</v>
      </c>
      <c r="Q61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IF(NOT(ISBLANK(Q58)),COUNTIFS(Data!$C:$C,$C58,Data!$P:$P,"VAL",Data!$E:$E,$E58,Data!$F:$F,$F58,Data!$I:$I,IF(ISBLANK($I58),"",$I58),Data!$J:$J,$J58,Data!$K:$K,$K58,Data!$R:$R,"",Data!$L:$L,IF(ISBLANK($P58),"",$P58),Data!$G:$G,"MALA",Data!$H:$H,"A15C",Data!$M:$M,36),0)-Q63</f>
        <v>0</v>
      </c>
      <c r="R61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IF(NOT(ISBLANK(R58)),COUNTIFS(Data!$C:$C,$C58,Data!$P:$P,"VAL",Data!$E:$E,$E58,Data!$F:$F,$F58,Data!$I:$I,IF(ISBLANK($I58),"",$I58),Data!$J:$J,$J58,Data!$K:$K,$K58,Data!$R:$R,"",Data!$L:$L,IF(ISBLANK($P58),"",$P58),Data!$G:$G,"MALA",Data!$H:$H,"A15C",Data!$M:$M,40),0)-R63</f>
        <v>0</v>
      </c>
      <c r="S61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IF(NOT(ISBLANK(S58)),COUNTIFS(Data!$C:$C,$C58,Data!$P:$P,"VAL",Data!$E:$E,$E58,Data!$F:$F,$F58,Data!$I:$I,IF(ISBLANK($I58),"",$I58),Data!$J:$J,$J58,Data!$K:$K,$K58,Data!$R:$R,"",Data!$L:$L,IF(ISBLANK($P58),"",$P58),Data!$G:$G,"MALA",Data!$H:$H,"A15C",Data!$M:$M,48),0)-S63</f>
        <v>0</v>
      </c>
      <c r="T61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IF(NOT(ISBLANK(T58)),COUNTIFS(Data!$C:$C,$C58,Data!$P:$P,"VAL",Data!$E:$E,$E58,Data!$F:$F,$F58,Data!$I:$I,IF(ISBLANK($I58),"",$I58),Data!$J:$J,$J58,Data!$K:$K,$K58,Data!$R:$R,"",Data!$L:$L,IF(ISBLANK($P58),"",$P58),Data!$G:$G,"MALA",Data!$H:$H,"A15C",Data!$M:$M,56),0)-T63</f>
        <v>0</v>
      </c>
      <c r="U61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IF(NOT(ISBLANK(U58)),COUNTIFS(Data!$C:$C,$C58,Data!$P:$P,"VAL",Data!$E:$E,$E58,Data!$F:$F,$F58,Data!$I:$I,IF(ISBLANK($I58),"",$I58),Data!$J:$J,$J58,Data!$K:$K,$K58,Data!$R:$R,"",Data!$L:$L,IF(ISBLANK($P58),"",$P58),Data!$G:$G,"MALA",Data!$H:$H,"A15C",Data!$M:$M,64),0)-U63</f>
        <v>0</v>
      </c>
      <c r="V61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IF(NOT(ISBLANK(V58)),COUNTIFS(Data!$C:$C,$C58,Data!$P:$P,"VAL",Data!$E:$E,$E58,Data!$F:$F,$F58,Data!$I:$I,IF(ISBLANK($I58),"",$I58),Data!$J:$J,$J58,Data!$K:$K,$K58,Data!$R:$R,"",Data!$L:$L,IF(ISBLANK($P58),"",$P58),Data!$G:$G,"MALA",Data!$H:$H,"A15C",Data!$M:$M,72),0)-V63</f>
        <v>0</v>
      </c>
      <c r="W61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IF(NOT(ISBLANK(W58)),COUNTIFS(Data!$C:$C,$C58,Data!$P:$P,"VAL",Data!$E:$E,$E58,Data!$F:$F,$F58,Data!$I:$I,IF(ISBLANK($I58),"",$I58),Data!$J:$J,$J58,Data!$K:$K,$K58,Data!$R:$R,"",Data!$L:$L,IF(ISBLANK($P58),"",$P58),Data!$G:$G,"MALA",Data!$H:$H,"A15C",Data!$M:$M,88),0)-W63</f>
        <v>0</v>
      </c>
      <c r="X61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IF(NOT(ISBLANK(X58)),COUNTIFS(Data!$C:$C,$C58,Data!$P:$P,"VAL",Data!$E:$E,$E58,Data!$F:$F,$F58,Data!$I:$I,IF(ISBLANK($I58),"",$I58),Data!$J:$J,$J58,Data!$K:$K,$K58,Data!$R:$R,"",Data!$L:$L,IF(ISBLANK($P58),"",$P58),Data!$G:$G,"MALA",Data!$H:$H,"A15C",Data!$M:$M,105),0)-X63</f>
        <v>0</v>
      </c>
      <c r="Y61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IF(NOT(ISBLANK(Y58)),COUNTIFS(Data!$C:$C,$C58,Data!$P:$P,"VAL",Data!$E:$E,$E58,Data!$F:$F,$F58,Data!$I:$I,IF(ISBLANK($I58),"",$I58),Data!$J:$J,$J58,Data!$K:$K,$K58,Data!$R:$R,"",Data!$L:$L,IF(ISBLANK($P58),"",$P58),Data!$G:$G,"MALA",Data!$H:$H,"A15C",Data!$M:$M,125),0)-Y63</f>
        <v>0</v>
      </c>
      <c r="Z61" s="11"/>
      <c r="AA61" s="129"/>
      <c r="AB61" s="8"/>
    </row>
    <row r="62" spans="1:28" x14ac:dyDescent="0.3">
      <c r="A62" s="8"/>
      <c r="B62" s="8"/>
      <c r="C62" s="9"/>
      <c r="D62" s="9"/>
      <c r="E62" s="9"/>
      <c r="F62" s="9"/>
      <c r="G62" s="9"/>
      <c r="H62" s="9"/>
      <c r="I62" s="9"/>
      <c r="J62" s="9"/>
      <c r="K62" s="9"/>
      <c r="L62" s="10" t="s">
        <v>416</v>
      </c>
      <c r="M62" s="10"/>
      <c r="N62" s="10"/>
      <c r="O62" s="10"/>
      <c r="P62" s="9">
        <f>IF(COUNTIF(AA58:AA63,"*AS ORDERED*")&gt;0,SUM(Q62:Y62),IF(P60&gt;0,0,(-1)*P60))</f>
        <v>0</v>
      </c>
      <c r="Q62" s="11">
        <f t="shared" ref="Q62:Y62" si="29">IF(($P61+$P63)&gt;$P59,IF((Q61+Q63)-Q59&gt;0,(Q61+Q63)-Q59,0),0)</f>
        <v>0</v>
      </c>
      <c r="R62" s="11">
        <f t="shared" si="29"/>
        <v>0</v>
      </c>
      <c r="S62" s="11">
        <f t="shared" si="29"/>
        <v>0</v>
      </c>
      <c r="T62" s="11">
        <f t="shared" si="29"/>
        <v>0</v>
      </c>
      <c r="U62" s="11">
        <f t="shared" si="29"/>
        <v>0</v>
      </c>
      <c r="V62" s="11">
        <f t="shared" si="29"/>
        <v>0</v>
      </c>
      <c r="W62" s="11">
        <f t="shared" si="29"/>
        <v>0</v>
      </c>
      <c r="X62" s="11">
        <f t="shared" si="29"/>
        <v>0</v>
      </c>
      <c r="Y62" s="11">
        <f t="shared" si="29"/>
        <v>0</v>
      </c>
      <c r="Z62" s="11"/>
      <c r="AA62" s="11"/>
      <c r="AB62" s="8"/>
    </row>
    <row r="63" spans="1:28" ht="15" thickBot="1" x14ac:dyDescent="0.35">
      <c r="A63" s="8"/>
      <c r="B63" s="8"/>
      <c r="C63" s="9"/>
      <c r="D63" s="9"/>
      <c r="E63" s="9"/>
      <c r="F63" s="9"/>
      <c r="G63" s="9"/>
      <c r="H63" s="9"/>
      <c r="I63" s="9"/>
      <c r="J63" s="9"/>
      <c r="K63" s="9"/>
      <c r="L63" s="10" t="s">
        <v>417</v>
      </c>
      <c r="M63" s="10"/>
      <c r="N63" s="10"/>
      <c r="O63" s="10"/>
      <c r="P63" s="131">
        <f>SUM(Q63:Y63)</f>
        <v>0</v>
      </c>
      <c r="Q63" s="58">
        <f>IF(NOT(ISBLANK(Q58)),COUNTIFS(Data!$C:$C,$C58,Data!$P:$P,"VAL",Data!$E:$E,$E58,Data!$F:$F,$F58,Data!$I:$I,IF(ISBLANK($I58),"",$I58),Data!$J:$J,$J58,Data!$K:$K,$K58,Data!$R:$R,"",Data!$L:$L,IF(ISBLANK($P58),"",$P58),Data!$G:$G,"MALA",Data!$H:$H,"A15C",Data!$M:$M,36, Data!$Q:$Q,1),0)</f>
        <v>0</v>
      </c>
      <c r="R63" s="58">
        <f>IF(NOT(ISBLANK(R58)),COUNTIFS(Data!$C:$C,$C58,Data!$P:$P,"VAL",Data!$E:$E,$E58,Data!$F:$F,$F58,Data!$I:$I,IF(ISBLANK($I58),"",$I58),Data!$J:$J,$J58,Data!$K:$K,$K58,Data!$R:$R,"",Data!$L:$L,IF(ISBLANK($P58),"",$P58),Data!$G:$G,"MALA",Data!$H:$H,"A15C",Data!$M:$M,40, Data!$Q:$Q,1),0)</f>
        <v>0</v>
      </c>
      <c r="S63" s="58">
        <f>IF(NOT(ISBLANK(S58)),COUNTIFS(Data!$C:$C,$C58,Data!$P:$P,"VAL",Data!$E:$E,$E58,Data!$F:$F,$F58,Data!$I:$I,IF(ISBLANK($I58),"",$I58),Data!$J:$J,$J58,Data!$K:$K,$K58,Data!$R:$R,"",Data!$L:$L,IF(ISBLANK($P58),"",$P58),Data!$G:$G,"MALA",Data!$H:$H,"A15C",Data!$M:$M,48, Data!$Q:$Q,1),0)</f>
        <v>0</v>
      </c>
      <c r="T63" s="58">
        <f>IF(NOT(ISBLANK(T58)),COUNTIFS(Data!$C:$C,$C58,Data!$P:$P,"VAL",Data!$E:$E,$E58,Data!$F:$F,$F58,Data!$I:$I,IF(ISBLANK($I58),"",$I58),Data!$J:$J,$J58,Data!$K:$K,$K58,Data!$R:$R,"",Data!$L:$L,IF(ISBLANK($P58),"",$P58),Data!$G:$G,"MALA",Data!$H:$H,"A15C",Data!$M:$M,56, Data!$Q:$Q,1),0)</f>
        <v>0</v>
      </c>
      <c r="U63" s="58">
        <f>IF(NOT(ISBLANK(U58)),COUNTIFS(Data!$C:$C,$C58,Data!$P:$P,"VAL",Data!$E:$E,$E58,Data!$F:$F,$F58,Data!$I:$I,IF(ISBLANK($I58),"",$I58),Data!$J:$J,$J58,Data!$K:$K,$K58,Data!$R:$R,"",Data!$L:$L,IF(ISBLANK($P58),"",$P58),Data!$G:$G,"MALA",Data!$H:$H,"A15C",Data!$M:$M,64, Data!$Q:$Q,1),0)</f>
        <v>0</v>
      </c>
      <c r="V63" s="58">
        <f>IF(NOT(ISBLANK(V58)),COUNTIFS(Data!$C:$C,$C58,Data!$P:$P,"VAL",Data!$E:$E,$E58,Data!$F:$F,$F58,Data!$I:$I,IF(ISBLANK($I58),"",$I58),Data!$J:$J,$J58,Data!$K:$K,$K58,Data!$R:$R,"",Data!$L:$L,IF(ISBLANK($P58),"",$P58),Data!$G:$G,"MALA",Data!$H:$H,"A15C",Data!$M:$M,72, Data!$Q:$Q,1),0)</f>
        <v>0</v>
      </c>
      <c r="W63" s="58">
        <f>IF(NOT(ISBLANK(W58)),COUNTIFS(Data!$C:$C,$C58,Data!$P:$P,"VAL",Data!$E:$E,$E58,Data!$F:$F,$F58,Data!$I:$I,IF(ISBLANK($I58),"",$I58),Data!$J:$J,$J58,Data!$K:$K,$K58,Data!$R:$R,"",Data!$L:$L,IF(ISBLANK($P58),"",$P58),Data!$G:$G,"MALA",Data!$H:$H,"A15C",Data!$M:$M,88, Data!$Q:$Q,1),0)</f>
        <v>0</v>
      </c>
      <c r="X63" s="58">
        <f>IF(NOT(ISBLANK(X58)),COUNTIFS(Data!$C:$C,$C58,Data!$P:$P,"VAL",Data!$E:$E,$E58,Data!$F:$F,$F58,Data!$I:$I,IF(ISBLANK($I58),"",$I58),Data!$J:$J,$J58,Data!$K:$K,$K58,Data!$R:$R,"",Data!$L:$L,IF(ISBLANK($P58),"",$P58),Data!$G:$G,"MALA",Data!$H:$H,"A15C",Data!$M:$M,105, Data!$Q:$Q,1),0)</f>
        <v>0</v>
      </c>
      <c r="Y63" s="58">
        <f>IF(NOT(ISBLANK(Y58)),COUNTIFS(Data!$C:$C,$C58,Data!$P:$P,"VAL",Data!$E:$E,$E58,Data!$F:$F,$F58,Data!$I:$I,IF(ISBLANK($I58),"",$I58),Data!$J:$J,$J58,Data!$K:$K,$K58,Data!$R:$R,"",Data!$L:$L,IF(ISBLANK($P58),"",$P58),Data!$G:$G,"MALA",Data!$H:$H,"A15C",Data!$M:$M,125, Data!$Q:$Q,1),0)</f>
        <v>0</v>
      </c>
      <c r="Z63" s="11"/>
      <c r="AA63" s="11"/>
      <c r="AB63" s="8">
        <v>80</v>
      </c>
    </row>
    <row r="64" spans="1:28" ht="15.6" x14ac:dyDescent="0.3">
      <c r="A64" s="66" t="s">
        <v>395</v>
      </c>
      <c r="B64" s="108" t="s">
        <v>389</v>
      </c>
      <c r="C64" s="109" t="s">
        <v>396</v>
      </c>
      <c r="D64" s="64" t="s">
        <v>612</v>
      </c>
      <c r="E64" s="64" t="s">
        <v>397</v>
      </c>
      <c r="F64" s="64">
        <v>1</v>
      </c>
      <c r="G64" s="64" t="s">
        <v>662</v>
      </c>
      <c r="H64" s="110" t="s">
        <v>419</v>
      </c>
      <c r="I64" s="110" t="s">
        <v>632</v>
      </c>
      <c r="J64" s="64" t="s">
        <v>398</v>
      </c>
      <c r="K64" s="64" t="s">
        <v>397</v>
      </c>
      <c r="L64" s="64" t="s">
        <v>392</v>
      </c>
      <c r="M64" s="64" t="s">
        <v>399</v>
      </c>
      <c r="N64" s="64"/>
      <c r="O64" s="142">
        <f>+Z64/55</f>
        <v>15</v>
      </c>
      <c r="P64" s="64" t="s">
        <v>623</v>
      </c>
      <c r="Q64" s="65">
        <f>2*55</f>
        <v>110</v>
      </c>
      <c r="R64" s="65">
        <f>3*55</f>
        <v>165</v>
      </c>
      <c r="S64" s="65">
        <f>10*55</f>
        <v>550</v>
      </c>
      <c r="T64" s="65"/>
      <c r="U64" s="65"/>
      <c r="V64" s="65"/>
      <c r="W64" s="65"/>
      <c r="X64" s="65"/>
      <c r="Y64" s="66"/>
      <c r="Z64" s="65">
        <f>SUM(Q64:X64)</f>
        <v>825</v>
      </c>
      <c r="AA64" s="67" t="s">
        <v>496</v>
      </c>
      <c r="AB64" s="64" t="s">
        <v>406</v>
      </c>
    </row>
    <row r="65" spans="1:28" x14ac:dyDescent="0.3">
      <c r="A65" s="8"/>
      <c r="B65" s="8"/>
      <c r="C65" s="9"/>
      <c r="D65" s="9"/>
      <c r="E65" s="9"/>
      <c r="F65" s="9"/>
      <c r="G65" s="9"/>
      <c r="H65" s="9"/>
      <c r="I65" s="9"/>
      <c r="J65" s="9"/>
      <c r="K65" s="9"/>
      <c r="L65" s="10" t="s">
        <v>413</v>
      </c>
      <c r="M65" s="10"/>
      <c r="N65" s="10"/>
      <c r="O65" s="10"/>
      <c r="P65" s="9">
        <f>SUM(Q65:Y65)</f>
        <v>15</v>
      </c>
      <c r="Q65" s="11">
        <f t="shared" ref="Q65:Y65" si="30">IFERROR(Q64/55,0)</f>
        <v>2</v>
      </c>
      <c r="R65" s="11">
        <f t="shared" si="30"/>
        <v>3</v>
      </c>
      <c r="S65" s="11">
        <f t="shared" si="30"/>
        <v>10</v>
      </c>
      <c r="T65" s="11">
        <f t="shared" si="30"/>
        <v>0</v>
      </c>
      <c r="U65" s="11">
        <f t="shared" si="30"/>
        <v>0</v>
      </c>
      <c r="V65" s="11">
        <f t="shared" si="30"/>
        <v>0</v>
      </c>
      <c r="W65" s="11">
        <f t="shared" si="30"/>
        <v>0</v>
      </c>
      <c r="X65" s="11">
        <f t="shared" si="30"/>
        <v>0</v>
      </c>
      <c r="Y65" s="11">
        <f t="shared" si="30"/>
        <v>0</v>
      </c>
      <c r="Z65" s="11"/>
      <c r="AA65" s="129" t="s">
        <v>639</v>
      </c>
      <c r="AB65" s="8"/>
    </row>
    <row r="66" spans="1:28" x14ac:dyDescent="0.3">
      <c r="A66" s="8"/>
      <c r="B66" s="8"/>
      <c r="C66" s="9"/>
      <c r="D66" s="9"/>
      <c r="E66" s="9"/>
      <c r="F66" s="9"/>
      <c r="G66" s="9"/>
      <c r="H66" s="9"/>
      <c r="I66" s="9"/>
      <c r="J66" s="9"/>
      <c r="K66" s="9"/>
      <c r="L66" s="10" t="s">
        <v>414</v>
      </c>
      <c r="M66" s="10"/>
      <c r="N66" s="10"/>
      <c r="O66" s="10"/>
      <c r="P66" s="9">
        <f>SUM(Q66:Y66)</f>
        <v>0</v>
      </c>
      <c r="Q66" s="11">
        <f t="shared" ref="Q66:Y66" si="31">IFERROR(Q65-(Q67+Q69),0)</f>
        <v>2</v>
      </c>
      <c r="R66" s="11">
        <f t="shared" si="31"/>
        <v>2</v>
      </c>
      <c r="S66" s="11">
        <f t="shared" si="31"/>
        <v>-4</v>
      </c>
      <c r="T66" s="11">
        <f t="shared" si="31"/>
        <v>0</v>
      </c>
      <c r="U66" s="11">
        <f t="shared" si="31"/>
        <v>0</v>
      </c>
      <c r="V66" s="11">
        <f t="shared" si="31"/>
        <v>0</v>
      </c>
      <c r="W66" s="11">
        <f t="shared" si="31"/>
        <v>0</v>
      </c>
      <c r="X66" s="11">
        <f t="shared" si="31"/>
        <v>0</v>
      </c>
      <c r="Y66" s="11">
        <f t="shared" si="31"/>
        <v>0</v>
      </c>
      <c r="Z66" s="11"/>
      <c r="AA66" s="11"/>
      <c r="AB66" s="8"/>
    </row>
    <row r="67" spans="1:28" x14ac:dyDescent="0.3">
      <c r="A67" s="8"/>
      <c r="B67" s="8"/>
      <c r="C67" s="9"/>
      <c r="D67" s="9"/>
      <c r="E67" s="9"/>
      <c r="F67" s="9"/>
      <c r="G67" s="9"/>
      <c r="H67" s="9"/>
      <c r="I67" s="9"/>
      <c r="J67" s="9"/>
      <c r="K67" s="9"/>
      <c r="L67" s="10" t="s">
        <v>415</v>
      </c>
      <c r="M67" s="10"/>
      <c r="N67" s="10"/>
      <c r="O67" s="10"/>
      <c r="P67" s="131">
        <f>SUM(Q67:Y67)</f>
        <v>0</v>
      </c>
      <c r="Q67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45)+COUNTIFS(Data!$C:$C,$C64,Data!$P:$P,"VAL",Data!$E:$E,$E64,Data!$F:$F,$F64,Data!$I:$I,IF(ISBLANK($I64),"",$I64),Data!$J:$J,$J64,Data!$K:$K,$K64,Data!$R:$R,"",Data!$L:$L,IF(ISBLANK($P64),"",$P64),Data!$G:$G,"MAHEL",Data!$H:$H,"E15D",Data!$M:$M,45),0)-Q69</f>
        <v>0</v>
      </c>
      <c r="R67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50)+COUNTIFS(Data!$C:$C,$C64,Data!$P:$P,"VAL",Data!$E:$E,$E64,Data!$F:$F,$F64,Data!$I:$I,IF(ISBLANK($I64),"",$I64),Data!$J:$J,$J64,Data!$K:$K,$K64,Data!$R:$R,"",Data!$L:$L,IF(ISBLANK($P64),"",$P64),Data!$G:$G,"MAHEL",Data!$H:$H,"E15D",Data!$M:$M,50),0)-R69</f>
        <v>0</v>
      </c>
      <c r="S67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55)+COUNTIFS(Data!$C:$C,$C64,Data!$P:$P,"VAL",Data!$E:$E,$E64,Data!$F:$F,$F64,Data!$I:$I,IF(ISBLANK($I64),"",$I64),Data!$J:$J,$J64,Data!$K:$K,$K64,Data!$R:$R,"",Data!$L:$L,IF(ISBLANK($P64),"",$P64),Data!$G:$G,"MAHEL",Data!$H:$H,"E15D",Data!$M:$M,55),0)-S69</f>
        <v>0</v>
      </c>
      <c r="T67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60)+COUNTIFS(Data!$C:$C,$C64,Data!$P:$P,"VAL",Data!$E:$E,$E64,Data!$F:$F,$F64,Data!$I:$I,IF(ISBLANK($I64),"",$I64),Data!$J:$J,$J64,Data!$K:$K,$K64,Data!$R:$R,"",Data!$L:$L,IF(ISBLANK($P64),"",$P64),Data!$G:$G,"MAHEL",Data!$H:$H,"E15D",Data!$M:$M,60),0)-T69</f>
        <v>0</v>
      </c>
      <c r="U67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65)+COUNTIFS(Data!$C:$C,$C64,Data!$P:$P,"VAL",Data!$E:$E,$E64,Data!$F:$F,$F64,Data!$I:$I,IF(ISBLANK($I64),"",$I64),Data!$J:$J,$J64,Data!$K:$K,$K64,Data!$R:$R,"",Data!$L:$L,IF(ISBLANK($P64),"",$P64),Data!$G:$G,"MAHEL",Data!$H:$H,"E15D",Data!$M:$M,65),0)-U69</f>
        <v>0</v>
      </c>
      <c r="V67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72)+COUNTIFS(Data!$C:$C,$C64,Data!$P:$P,"VAL",Data!$E:$E,$E64,Data!$F:$F,$F64,Data!$I:$I,IF(ISBLANK($I64),"",$I64),Data!$J:$J,$J64,Data!$K:$K,$K64,Data!$R:$R,"",Data!$L:$L,IF(ISBLANK($P64),"",$P64),Data!$G:$G,"MAHEL",Data!$H:$H,"E15D",Data!$M:$M,72),0)-V69</f>
        <v>0</v>
      </c>
      <c r="W67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90)+COUNTIFS(Data!$C:$C,$C64,Data!$P:$P,"VAL",Data!$E:$E,$E64,Data!$F:$F,$F64,Data!$I:$I,IF(ISBLANK($I64),"",$I64),Data!$J:$J,$J64,Data!$K:$K,$K64,Data!$R:$R,"",Data!$L:$L,IF(ISBLANK($P64),"",$P64),Data!$G:$G,"MAHEL",Data!$H:$H,"E15D",Data!$M:$M,90),0)-W69</f>
        <v>0</v>
      </c>
      <c r="X67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96)+COUNTIFS(Data!$C:$C,$C64,Data!$P:$P,"VAL",Data!$E:$E,$E64,Data!$F:$F,$F64,Data!$I:$I,IF(ISBLANK($I64),"",$I64),Data!$J:$J,$J64,Data!$K:$K,$K64,Data!$R:$R,"",Data!$L:$L,IF(ISBLANK($P64),"",$P64),Data!$G:$G,"MAHEL",Data!$H:$H,"E15D",Data!$M:$M,96),0)-X69</f>
        <v>0</v>
      </c>
      <c r="Y67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125)+COUNTIFS(Data!$C:$C,$C64,Data!$P:$P,"VAL",Data!$E:$E,$E64,Data!$F:$F,$F64,Data!$I:$I,IF(ISBLANK($I64),"",$I64),Data!$J:$J,$J64,Data!$K:$K,$K64,Data!$R:$R,"",Data!$L:$L,IF(ISBLANK($P64),"",$P64),Data!$G:$G,"MAHEL",Data!$H:$H,"E15D",Data!$M:$M,125),0)-Y69</f>
        <v>0</v>
      </c>
      <c r="Z67" s="11"/>
      <c r="AA67" s="11"/>
      <c r="AB67" s="8"/>
    </row>
    <row r="68" spans="1:28" x14ac:dyDescent="0.3">
      <c r="A68" s="8"/>
      <c r="B68" s="8"/>
      <c r="C68" s="9"/>
      <c r="D68" s="9"/>
      <c r="E68" s="9"/>
      <c r="F68" s="9"/>
      <c r="G68" s="9"/>
      <c r="H68" s="9"/>
      <c r="I68" s="9"/>
      <c r="J68" s="9"/>
      <c r="K68" s="9"/>
      <c r="L68" s="10" t="s">
        <v>416</v>
      </c>
      <c r="M68" s="10"/>
      <c r="N68" s="10"/>
      <c r="O68" s="10"/>
      <c r="P68" s="9">
        <f>IF(COUNTIF(AA64:AA69,"*AS ORDERED*")&gt;0,SUM(Q68:Y68),IF(P66&gt;0,0,(-1)*P66))</f>
        <v>0</v>
      </c>
      <c r="Q68" s="11">
        <f t="shared" ref="Q68:Y68" si="32">IF(($P67+$P69)&gt;$P65,IF((Q67+Q69)-Q65&gt;0,(Q67+Q69)-Q65,0),0)</f>
        <v>0</v>
      </c>
      <c r="R68" s="11">
        <f t="shared" si="32"/>
        <v>0</v>
      </c>
      <c r="S68" s="11">
        <f t="shared" si="32"/>
        <v>0</v>
      </c>
      <c r="T68" s="11">
        <f t="shared" si="32"/>
        <v>0</v>
      </c>
      <c r="U68" s="11">
        <f t="shared" si="32"/>
        <v>0</v>
      </c>
      <c r="V68" s="11">
        <f t="shared" si="32"/>
        <v>0</v>
      </c>
      <c r="W68" s="11">
        <f t="shared" si="32"/>
        <v>0</v>
      </c>
      <c r="X68" s="11">
        <f t="shared" si="32"/>
        <v>0</v>
      </c>
      <c r="Y68" s="11">
        <f t="shared" si="32"/>
        <v>0</v>
      </c>
      <c r="Z68" s="11"/>
      <c r="AA68" s="11"/>
      <c r="AB68" s="8"/>
    </row>
    <row r="69" spans="1:28" ht="15" thickBot="1" x14ac:dyDescent="0.35">
      <c r="A69" s="8"/>
      <c r="B69" s="8"/>
      <c r="C69" s="9"/>
      <c r="D69" s="9"/>
      <c r="E69" s="9"/>
      <c r="F69" s="9"/>
      <c r="G69" s="9"/>
      <c r="H69" s="9"/>
      <c r="I69" s="9"/>
      <c r="J69" s="9"/>
      <c r="K69" s="9"/>
      <c r="L69" s="10" t="s">
        <v>417</v>
      </c>
      <c r="M69" s="10"/>
      <c r="N69" s="10"/>
      <c r="O69" s="10"/>
      <c r="P69" s="131">
        <f>SUM(Q69:Y69)</f>
        <v>15</v>
      </c>
      <c r="Q69" s="58">
        <f>IF(NOT(ISBLANK(Q64)),COUNTIFS(Data!$C:$C,$C64,Data!$P:$P,"VAL",Data!$E:$E,$E64,Data!$F:$F,$F64,Data!$I:$I,IF(ISBLANK($I64),"",$I64),Data!$J:$J,$J64,Data!$K:$K,$K64,Data!$R:$R,"",Data!$L:$L,IF(ISBLANK($P64),"",$P64),Data!$G:$G,"ZF",Data!$H:$H,"E15D",Data!$M:$M,45, Data!$Q:$Q,1)+COUNTIFS(Data!$C:$C,$C64,Data!$P:$P,"VAL",Data!$E:$E,$E64,Data!$F:$F,$F64,Data!$I:$I,IF(ISBLANK($I64),"",$I64),Data!$J:$J,$J64,Data!$K:$K,$K64,Data!$R:$R,"",Data!$L:$L,IF(ISBLANK($P64),"",$P64),Data!$G:$G,"MAHEL",Data!$H:$H,"E15D",Data!$M:$M,45, Data!$Q:$Q,1),0)</f>
        <v>0</v>
      </c>
      <c r="R69" s="58">
        <f>IF(NOT(ISBLANK(R64)),COUNTIFS(Data!$C:$C,$C64,Data!$P:$P,"VAL",Data!$E:$E,$E64,Data!$F:$F,$F64,Data!$I:$I,IF(ISBLANK($I64),"",$I64),Data!$J:$J,$J64,Data!$K:$K,$K64,Data!$R:$R,"",Data!$L:$L,IF(ISBLANK($P64),"",$P64),Data!$G:$G,"ZF",Data!$H:$H,"E15D",Data!$M:$M,50, Data!$Q:$Q,1)+COUNTIFS(Data!$C:$C,$C64,Data!$P:$P,"VAL",Data!$E:$E,$E64,Data!$F:$F,$F64,Data!$I:$I,IF(ISBLANK($I64),"",$I64),Data!$J:$J,$J64,Data!$K:$K,$K64,Data!$R:$R,"",Data!$L:$L,IF(ISBLANK($P64),"",$P64),Data!$G:$G,"MAHEL",Data!$H:$H,"E15D",Data!$M:$M,50, Data!$Q:$Q,1),0)</f>
        <v>1</v>
      </c>
      <c r="S69" s="58">
        <f>IF(NOT(ISBLANK(S64)),COUNTIFS(Data!$C:$C,$C64,Data!$P:$P,"VAL",Data!$E:$E,$E64,Data!$F:$F,$F64,Data!$I:$I,IF(ISBLANK($I64),"",$I64),Data!$J:$J,$J64,Data!$K:$K,$K64,Data!$R:$R,"",Data!$L:$L,IF(ISBLANK($P64),"",$P64),Data!$G:$G,"ZF",Data!$H:$H,"E15D",Data!$M:$M,55, Data!$Q:$Q,1)+COUNTIFS(Data!$C:$C,$C64,Data!$P:$P,"VAL",Data!$E:$E,$E64,Data!$F:$F,$F64,Data!$I:$I,IF(ISBLANK($I64),"",$I64),Data!$J:$J,$J64,Data!$K:$K,$K64,Data!$R:$R,"",Data!$L:$L,IF(ISBLANK($P64),"",$P64),Data!$G:$G,"MAHEL",Data!$H:$H,"E15D",Data!$M:$M,55, Data!$Q:$Q,1),0)</f>
        <v>14</v>
      </c>
      <c r="T69" s="58">
        <f>IF(NOT(ISBLANK(T64)),COUNTIFS(Data!$C:$C,$C64,Data!$P:$P,"VAL",Data!$E:$E,$E64,Data!$F:$F,$F64,Data!$I:$I,IF(ISBLANK($I64),"",$I64),Data!$J:$J,$J64,Data!$K:$K,$K64,Data!$R:$R,"",Data!$L:$L,IF(ISBLANK($P64),"",$P64),Data!$G:$G,"ZF",Data!$H:$H,"E15D",Data!$M:$M,60, Data!$Q:$Q,1)+COUNTIFS(Data!$C:$C,$C64,Data!$P:$P,"VAL",Data!$E:$E,$E64,Data!$F:$F,$F64,Data!$I:$I,IF(ISBLANK($I64),"",$I64),Data!$J:$J,$J64,Data!$K:$K,$K64,Data!$R:$R,"",Data!$L:$L,IF(ISBLANK($P64),"",$P64),Data!$G:$G,"MAHEL",Data!$H:$H,"E15D",Data!$M:$M,60, Data!$Q:$Q,1),0)</f>
        <v>0</v>
      </c>
      <c r="U69" s="58">
        <f>IF(NOT(ISBLANK(U64)),COUNTIFS(Data!$C:$C,$C64,Data!$P:$P,"VAL",Data!$E:$E,$E64,Data!$F:$F,$F64,Data!$I:$I,IF(ISBLANK($I64),"",$I64),Data!$J:$J,$J64,Data!$K:$K,$K64,Data!$R:$R,"",Data!$L:$L,IF(ISBLANK($P64),"",$P64),Data!$G:$G,"ZF",Data!$H:$H,"E15D",Data!$M:$M,65, Data!$Q:$Q,1)+COUNTIFS(Data!$C:$C,$C64,Data!$P:$P,"VAL",Data!$E:$E,$E64,Data!$F:$F,$F64,Data!$I:$I,IF(ISBLANK($I64),"",$I64),Data!$J:$J,$J64,Data!$K:$K,$K64,Data!$R:$R,"",Data!$L:$L,IF(ISBLANK($P64),"",$P64),Data!$G:$G,"MAHEL",Data!$H:$H,"E15D",Data!$M:$M,65, Data!$Q:$Q,1),0)</f>
        <v>0</v>
      </c>
      <c r="V69" s="58">
        <f>IF(NOT(ISBLANK(V64)),COUNTIFS(Data!$C:$C,$C64,Data!$P:$P,"VAL",Data!$E:$E,$E64,Data!$F:$F,$F64,Data!$I:$I,IF(ISBLANK($I64),"",$I64),Data!$J:$J,$J64,Data!$K:$K,$K64,Data!$R:$R,"",Data!$L:$L,IF(ISBLANK($P64),"",$P64),Data!$G:$G,"ZF",Data!$H:$H,"E15D",Data!$M:$M,72, Data!$Q:$Q,1)+COUNTIFS(Data!$C:$C,$C64,Data!$P:$P,"VAL",Data!$E:$E,$E64,Data!$F:$F,$F64,Data!$I:$I,IF(ISBLANK($I64),"",$I64),Data!$J:$J,$J64,Data!$K:$K,$K64,Data!$R:$R,"",Data!$L:$L,IF(ISBLANK($P64),"",$P64),Data!$G:$G,"MAHEL",Data!$H:$H,"E15D",Data!$M:$M,72, Data!$Q:$Q,1),0)</f>
        <v>0</v>
      </c>
      <c r="W69" s="58">
        <f>IF(NOT(ISBLANK(W64)),COUNTIFS(Data!$C:$C,$C64,Data!$P:$P,"VAL",Data!$E:$E,$E64,Data!$F:$F,$F64,Data!$I:$I,IF(ISBLANK($I64),"",$I64),Data!$J:$J,$J64,Data!$K:$K,$K64,Data!$R:$R,"",Data!$L:$L,IF(ISBLANK($P64),"",$P64),Data!$G:$G,"ZF",Data!$H:$H,"E15D",Data!$M:$M,90, Data!$Q:$Q,1)+COUNTIFS(Data!$C:$C,$C64,Data!$P:$P,"VAL",Data!$E:$E,$E64,Data!$F:$F,$F64,Data!$I:$I,IF(ISBLANK($I64),"",$I64),Data!$J:$J,$J64,Data!$K:$K,$K64,Data!$R:$R,"",Data!$L:$L,IF(ISBLANK($P64),"",$P64),Data!$G:$G,"MAHEL",Data!$H:$H,"E15D",Data!$M:$M,90, Data!$Q:$Q,1),0)</f>
        <v>0</v>
      </c>
      <c r="X69" s="58">
        <f>IF(NOT(ISBLANK(X64)),COUNTIFS(Data!$C:$C,$C64,Data!$P:$P,"VAL",Data!$E:$E,$E64,Data!$F:$F,$F64,Data!$I:$I,IF(ISBLANK($I64),"",$I64),Data!$J:$J,$J64,Data!$K:$K,$K64,Data!$R:$R,"",Data!$L:$L,IF(ISBLANK($P64),"",$P64),Data!$G:$G,"ZF",Data!$H:$H,"E15D",Data!$M:$M,96, Data!$Q:$Q,1)+COUNTIFS(Data!$C:$C,$C64,Data!$P:$P,"VAL",Data!$E:$E,$E64,Data!$F:$F,$F64,Data!$I:$I,IF(ISBLANK($I64),"",$I64),Data!$J:$J,$J64,Data!$K:$K,$K64,Data!$R:$R,"",Data!$L:$L,IF(ISBLANK($P64),"",$P64),Data!$G:$G,"MAHEL",Data!$H:$H,"E15D",Data!$M:$M,96, Data!$Q:$Q,1),0)</f>
        <v>0</v>
      </c>
      <c r="Y69" s="58">
        <f>IF(NOT(ISBLANK(Y64)),COUNTIFS(Data!$C:$C,$C64,Data!$P:$P,"VAL",Data!$E:$E,$E64,Data!$F:$F,$F64,Data!$I:$I,IF(ISBLANK($I64),"",$I64),Data!$J:$J,$J64,Data!$K:$K,$K64,Data!$R:$R,"",Data!$L:$L,IF(ISBLANK($P64),"",$P64),Data!$G:$G,"ZF",Data!$H:$H,"E15D",Data!$M:$M,125, Data!$Q:$Q,1)+COUNTIFS(Data!$C:$C,$C64,Data!$P:$P,"VAL",Data!$E:$E,$E64,Data!$F:$F,$F64,Data!$I:$I,IF(ISBLANK($I64),"",$I64),Data!$J:$J,$J64,Data!$K:$K,$K64,Data!$R:$R,"",Data!$L:$L,IF(ISBLANK($P64),"",$P64),Data!$G:$G,"MAHEL",Data!$H:$H,"E15D",Data!$M:$M,125, Data!$Q:$Q,1),0)</f>
        <v>0</v>
      </c>
      <c r="Z69" s="11"/>
      <c r="AA69" s="11"/>
      <c r="AB69" s="8">
        <v>55</v>
      </c>
    </row>
    <row r="70" spans="1:28" ht="15.6" x14ac:dyDescent="0.3">
      <c r="A70" s="66"/>
      <c r="B70" s="108"/>
      <c r="C70" s="143" t="s">
        <v>396</v>
      </c>
      <c r="D70" s="143" t="s">
        <v>612</v>
      </c>
      <c r="E70" s="143" t="s">
        <v>397</v>
      </c>
      <c r="F70" s="143">
        <v>1</v>
      </c>
      <c r="G70" s="143" t="s">
        <v>390</v>
      </c>
      <c r="H70" s="143" t="s">
        <v>391</v>
      </c>
      <c r="I70" s="144" t="s">
        <v>632</v>
      </c>
      <c r="J70" s="143" t="s">
        <v>398</v>
      </c>
      <c r="K70" s="143" t="s">
        <v>397</v>
      </c>
      <c r="L70" s="143" t="s">
        <v>392</v>
      </c>
      <c r="M70" s="143" t="s">
        <v>399</v>
      </c>
      <c r="N70" s="143"/>
      <c r="O70" s="145">
        <f>+Z70/70</f>
        <v>45</v>
      </c>
      <c r="P70" s="143" t="s">
        <v>623</v>
      </c>
      <c r="Q70" s="146"/>
      <c r="R70" s="147"/>
      <c r="S70" s="147"/>
      <c r="T70" s="147">
        <f>22*70</f>
        <v>1540</v>
      </c>
      <c r="U70" s="147">
        <f>23*70</f>
        <v>1610</v>
      </c>
      <c r="V70" s="147"/>
      <c r="W70" s="147"/>
      <c r="X70" s="147"/>
      <c r="Y70" s="148"/>
      <c r="Z70" s="147">
        <f>SUM(Q70:X70)</f>
        <v>3150</v>
      </c>
      <c r="AA70" s="149" t="s">
        <v>496</v>
      </c>
      <c r="AB70" s="64"/>
    </row>
    <row r="71" spans="1:28" x14ac:dyDescent="0.3">
      <c r="A71" s="8"/>
      <c r="B71" s="8"/>
      <c r="C71" s="9"/>
      <c r="D71" s="9"/>
      <c r="E71" s="9"/>
      <c r="F71" s="9"/>
      <c r="G71" s="9"/>
      <c r="H71" s="9"/>
      <c r="I71" s="9"/>
      <c r="J71" s="9"/>
      <c r="K71" s="9"/>
      <c r="L71" s="10" t="s">
        <v>413</v>
      </c>
      <c r="M71" s="10"/>
      <c r="N71" s="10"/>
      <c r="O71" s="10"/>
      <c r="P71" s="9">
        <f>SUM(Q71:Y71)</f>
        <v>45</v>
      </c>
      <c r="Q71" s="11">
        <f t="shared" ref="Q71:Y71" si="33">IFERROR(Q70/70,0)</f>
        <v>0</v>
      </c>
      <c r="R71" s="11">
        <f t="shared" si="33"/>
        <v>0</v>
      </c>
      <c r="S71" s="11">
        <f t="shared" si="33"/>
        <v>0</v>
      </c>
      <c r="T71" s="11">
        <f t="shared" si="33"/>
        <v>22</v>
      </c>
      <c r="U71" s="11">
        <f t="shared" si="33"/>
        <v>23</v>
      </c>
      <c r="V71" s="11">
        <f t="shared" si="33"/>
        <v>0</v>
      </c>
      <c r="W71" s="11">
        <f t="shared" si="33"/>
        <v>0</v>
      </c>
      <c r="X71" s="11">
        <f t="shared" si="33"/>
        <v>0</v>
      </c>
      <c r="Y71" s="11">
        <f t="shared" si="33"/>
        <v>0</v>
      </c>
      <c r="Z71" s="11"/>
      <c r="AA71" s="129" t="s">
        <v>639</v>
      </c>
      <c r="AB71" s="8"/>
    </row>
    <row r="72" spans="1:28" x14ac:dyDescent="0.3">
      <c r="A72" s="8"/>
      <c r="B72" s="8"/>
      <c r="C72" s="9"/>
      <c r="D72" s="9"/>
      <c r="E72" s="9"/>
      <c r="F72" s="9"/>
      <c r="G72" s="9"/>
      <c r="H72" s="9"/>
      <c r="I72" s="9"/>
      <c r="J72" s="9"/>
      <c r="K72" s="9"/>
      <c r="L72" s="10" t="s">
        <v>414</v>
      </c>
      <c r="M72" s="10"/>
      <c r="N72" s="10"/>
      <c r="O72" s="10"/>
      <c r="P72" s="9">
        <f>SUM(Q72:Y72)</f>
        <v>0</v>
      </c>
      <c r="Q72" s="11">
        <f t="shared" ref="Q72:Y72" si="34">IFERROR(Q71-(Q73+Q75),0)</f>
        <v>0</v>
      </c>
      <c r="R72" s="11">
        <f t="shared" si="34"/>
        <v>0</v>
      </c>
      <c r="S72" s="11">
        <f t="shared" si="34"/>
        <v>0</v>
      </c>
      <c r="T72" s="11">
        <f t="shared" si="34"/>
        <v>4</v>
      </c>
      <c r="U72" s="11">
        <f t="shared" si="34"/>
        <v>-4</v>
      </c>
      <c r="V72" s="11">
        <f t="shared" si="34"/>
        <v>0</v>
      </c>
      <c r="W72" s="11">
        <f t="shared" si="34"/>
        <v>0</v>
      </c>
      <c r="X72" s="11">
        <f t="shared" si="34"/>
        <v>0</v>
      </c>
      <c r="Y72" s="11">
        <f t="shared" si="34"/>
        <v>0</v>
      </c>
      <c r="Z72" s="11"/>
      <c r="AA72" s="11"/>
      <c r="AB72" s="8"/>
    </row>
    <row r="73" spans="1:28" x14ac:dyDescent="0.3">
      <c r="A73" s="8"/>
      <c r="B73" s="8"/>
      <c r="C73" s="9"/>
      <c r="D73" s="9"/>
      <c r="E73" s="9"/>
      <c r="F73" s="9"/>
      <c r="G73" s="9"/>
      <c r="H73" s="9"/>
      <c r="I73" s="9"/>
      <c r="J73" s="9"/>
      <c r="K73" s="9"/>
      <c r="L73" s="10" t="s">
        <v>415</v>
      </c>
      <c r="M73" s="10"/>
      <c r="N73" s="10"/>
      <c r="O73" s="10"/>
      <c r="P73" s="131">
        <f>SUM(Q73:Y73)</f>
        <v>0</v>
      </c>
      <c r="Q73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IF(NOT(ISBLANK(Q70)),COUNTIFS(Data!$C:$C,$C70,Data!$P:$P,"VAL",Data!$E:$E,$E70,Data!$F:$F,$F70,Data!$I:$I,IF(ISBLANK($I70),"",$I70),Data!$J:$J,$J70,Data!$K:$K,$K70,Data!$R:$R,"",Data!$L:$L,IF(ISBLANK($P70),"",$P70),Data!$G:$G,"ZF",Data!$H:$H,"A15C",Data!$M:$M,36),0)-Q75</f>
        <v>0</v>
      </c>
      <c r="R73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IF(NOT(ISBLANK(R70)),COUNTIFS(Data!$C:$C,$C70,Data!$P:$P,"VAL",Data!$E:$E,$E70,Data!$F:$F,$F70,Data!$I:$I,IF(ISBLANK($I70),"",$I70),Data!$J:$J,$J70,Data!$K:$K,$K70,Data!$R:$R,"",Data!$L:$L,IF(ISBLANK($P70),"",$P70),Data!$G:$G,"ZF",Data!$H:$H,"A15C",Data!$M:$M,40),0)-R75</f>
        <v>0</v>
      </c>
      <c r="S73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IF(NOT(ISBLANK(S70)),COUNTIFS(Data!$C:$C,$C70,Data!$P:$P,"VAL",Data!$E:$E,$E70,Data!$F:$F,$F70,Data!$I:$I,IF(ISBLANK($I70),"",$I70),Data!$J:$J,$J70,Data!$K:$K,$K70,Data!$R:$R,"",Data!$L:$L,IF(ISBLANK($P70),"",$P70),Data!$G:$G,"ZF",Data!$H:$H,"A15C",Data!$M:$M,48),0)-S75</f>
        <v>0</v>
      </c>
      <c r="T73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IF(NOT(ISBLANK(T70)),COUNTIFS(Data!$C:$C,$C70,Data!$P:$P,"VAL",Data!$E:$E,$E70,Data!$F:$F,$F70,Data!$I:$I,IF(ISBLANK($I70),"",$I70),Data!$J:$J,$J70,Data!$K:$K,$K70,Data!$R:$R,"",Data!$L:$L,IF(ISBLANK($P70),"",$P70),Data!$G:$G,"ZF",Data!$H:$H,"A15C",Data!$M:$M,56),0)-T75</f>
        <v>0</v>
      </c>
      <c r="U73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IF(NOT(ISBLANK(U70)),COUNTIFS(Data!$C:$C,$C70,Data!$P:$P,"VAL",Data!$E:$E,$E70,Data!$F:$F,$F70,Data!$I:$I,IF(ISBLANK($I70),"",$I70),Data!$J:$J,$J70,Data!$K:$K,$K70,Data!$R:$R,"",Data!$L:$L,IF(ISBLANK($P70),"",$P70),Data!$G:$G,"ZF",Data!$H:$H,"A15C",Data!$M:$M,64),0)-U75</f>
        <v>0</v>
      </c>
      <c r="V73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IF(NOT(ISBLANK(V70)),COUNTIFS(Data!$C:$C,$C70,Data!$P:$P,"VAL",Data!$E:$E,$E70,Data!$F:$F,$F70,Data!$I:$I,IF(ISBLANK($I70),"",$I70),Data!$J:$J,$J70,Data!$K:$K,$K70,Data!$R:$R,"",Data!$L:$L,IF(ISBLANK($P70),"",$P70),Data!$G:$G,"ZF",Data!$H:$H,"A15C",Data!$M:$M,72),0)-V75</f>
        <v>0</v>
      </c>
      <c r="W73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IF(NOT(ISBLANK(W70)),COUNTIFS(Data!$C:$C,$C70,Data!$P:$P,"VAL",Data!$E:$E,$E70,Data!$F:$F,$F70,Data!$I:$I,IF(ISBLANK($I70),"",$I70),Data!$J:$J,$J70,Data!$K:$K,$K70,Data!$R:$R,"",Data!$L:$L,IF(ISBLANK($P70),"",$P70),Data!$G:$G,"ZF",Data!$H:$H,"A15C",Data!$M:$M,88),0)-W75</f>
        <v>0</v>
      </c>
      <c r="X73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IF(NOT(ISBLANK(X70)),COUNTIFS(Data!$C:$C,$C70,Data!$P:$P,"VAL",Data!$E:$E,$E70,Data!$F:$F,$F70,Data!$I:$I,IF(ISBLANK($I70),"",$I70),Data!$J:$J,$J70,Data!$K:$K,$K70,Data!$R:$R,"",Data!$L:$L,IF(ISBLANK($P70),"",$P70),Data!$G:$G,"ZF",Data!$H:$H,"A15C",Data!$M:$M,105),0)-X75</f>
        <v>0</v>
      </c>
      <c r="Y73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IF(NOT(ISBLANK(Y70)),COUNTIFS(Data!$C:$C,$C70,Data!$P:$P,"VAL",Data!$E:$E,$E70,Data!$F:$F,$F70,Data!$I:$I,IF(ISBLANK($I70),"",$I70),Data!$J:$J,$J70,Data!$K:$K,$K70,Data!$R:$R,"",Data!$L:$L,IF(ISBLANK($P70),"",$P70),Data!$G:$G,"ZF",Data!$H:$H,"A15C",Data!$M:$M,125),0)-Y75</f>
        <v>0</v>
      </c>
      <c r="Z73" s="11"/>
      <c r="AA73" s="11"/>
      <c r="AB73" s="8"/>
    </row>
    <row r="74" spans="1:28" x14ac:dyDescent="0.3">
      <c r="A74" s="8"/>
      <c r="B74" s="8"/>
      <c r="C74" s="9"/>
      <c r="D74" s="9"/>
      <c r="E74" s="9"/>
      <c r="F74" s="9"/>
      <c r="G74" s="9"/>
      <c r="H74" s="9"/>
      <c r="I74" s="9"/>
      <c r="J74" s="9"/>
      <c r="K74" s="9"/>
      <c r="L74" s="10" t="s">
        <v>416</v>
      </c>
      <c r="M74" s="10"/>
      <c r="N74" s="10"/>
      <c r="O74" s="10"/>
      <c r="P74" s="9">
        <f>IF(COUNTIF(AA70:AA75,"*AS ORDERED*")&gt;0,SUM(Q74:Y74),IF(P72&gt;0,0,(-1)*P72))</f>
        <v>0</v>
      </c>
      <c r="Q74" s="11">
        <f t="shared" ref="Q74:Y74" si="35">IF(($P73+$P75)&gt;$P71,IF((Q73+Q75)-Q71&gt;0,(Q73+Q75)-Q71,0),0)</f>
        <v>0</v>
      </c>
      <c r="R74" s="11">
        <f t="shared" si="35"/>
        <v>0</v>
      </c>
      <c r="S74" s="11">
        <f t="shared" si="35"/>
        <v>0</v>
      </c>
      <c r="T74" s="11">
        <f t="shared" si="35"/>
        <v>0</v>
      </c>
      <c r="U74" s="11">
        <f t="shared" si="35"/>
        <v>0</v>
      </c>
      <c r="V74" s="11">
        <f t="shared" si="35"/>
        <v>0</v>
      </c>
      <c r="W74" s="11">
        <f t="shared" si="35"/>
        <v>0</v>
      </c>
      <c r="X74" s="11">
        <f t="shared" si="35"/>
        <v>0</v>
      </c>
      <c r="Y74" s="11">
        <f t="shared" si="35"/>
        <v>0</v>
      </c>
      <c r="Z74" s="11"/>
      <c r="AA74" s="11"/>
      <c r="AB74" s="8"/>
    </row>
    <row r="75" spans="1:28" ht="15" thickBot="1" x14ac:dyDescent="0.35">
      <c r="A75" s="8"/>
      <c r="B75" s="8"/>
      <c r="C75" s="9"/>
      <c r="D75" s="9"/>
      <c r="E75" s="9"/>
      <c r="F75" s="9"/>
      <c r="G75" s="9"/>
      <c r="H75" s="9"/>
      <c r="I75" s="9"/>
      <c r="J75" s="9"/>
      <c r="K75" s="9"/>
      <c r="L75" s="10" t="s">
        <v>417</v>
      </c>
      <c r="M75" s="10"/>
      <c r="N75" s="10"/>
      <c r="O75" s="10"/>
      <c r="P75" s="131">
        <f>SUM(Q75:Y75)</f>
        <v>45</v>
      </c>
      <c r="Q75" s="58">
        <f>IF(NOT(ISBLANK(Q70)),COUNTIFS(Data!$C:$C,$C70,Data!$P:$P,"VAL",Data!$E:$E,$E70,Data!$F:$F,$F70,Data!$I:$I,IF(ISBLANK($I70),"",$I70),Data!$J:$J,$J70,Data!$K:$K,$K70,Data!$R:$R,"",Data!$L:$L,IF(ISBLANK($P70),"",$P70),Data!$G:$G,"ZF",Data!$H:$H,"A15C",Data!$M:$M,36, Data!$Q:$Q,1),0)</f>
        <v>0</v>
      </c>
      <c r="R75" s="58">
        <f>IF(NOT(ISBLANK(R70)),COUNTIFS(Data!$C:$C,$C70,Data!$P:$P,"VAL",Data!$E:$E,$E70,Data!$F:$F,$F70,Data!$I:$I,IF(ISBLANK($I70),"",$I70),Data!$J:$J,$J70,Data!$K:$K,$K70,Data!$R:$R,"",Data!$L:$L,IF(ISBLANK($P70),"",$P70),Data!$G:$G,"ZF",Data!$H:$H,"A15C",Data!$M:$M,40, Data!$Q:$Q,1),0)</f>
        <v>0</v>
      </c>
      <c r="S75" s="58">
        <f>IF(NOT(ISBLANK(S70)),COUNTIFS(Data!$C:$C,$C70,Data!$P:$P,"VAL",Data!$E:$E,$E70,Data!$F:$F,$F70,Data!$I:$I,IF(ISBLANK($I70),"",$I70),Data!$J:$J,$J70,Data!$K:$K,$K70,Data!$R:$R,"",Data!$L:$L,IF(ISBLANK($P70),"",$P70),Data!$G:$G,"ZF",Data!$H:$H,"A15C",Data!$M:$M,48, Data!$Q:$Q,1),0)</f>
        <v>0</v>
      </c>
      <c r="T75" s="58">
        <f>IF(NOT(ISBLANK(T70)),COUNTIFS(Data!$C:$C,$C70,Data!$P:$P,"VAL",Data!$E:$E,$E70,Data!$F:$F,$F70,Data!$I:$I,IF(ISBLANK($I70),"",$I70),Data!$J:$J,$J70,Data!$K:$K,$K70,Data!$R:$R,"",Data!$L:$L,IF(ISBLANK($P70),"",$P70),Data!$G:$G,"ZF",Data!$H:$H,"A15C",Data!$M:$M,56, Data!$Q:$Q,1),0)</f>
        <v>18</v>
      </c>
      <c r="U75" s="58">
        <f>IF(NOT(ISBLANK(U70)),COUNTIFS(Data!$C:$C,$C70,Data!$P:$P,"VAL",Data!$E:$E,$E70,Data!$F:$F,$F70,Data!$I:$I,IF(ISBLANK($I70),"",$I70),Data!$J:$J,$J70,Data!$K:$K,$K70,Data!$R:$R,"",Data!$L:$L,IF(ISBLANK($P70),"",$P70),Data!$G:$G,"ZF",Data!$H:$H,"A15C",Data!$M:$M,64, Data!$Q:$Q,1),0)</f>
        <v>27</v>
      </c>
      <c r="V75" s="58">
        <f>IF(NOT(ISBLANK(V70)),COUNTIFS(Data!$C:$C,$C70,Data!$P:$P,"VAL",Data!$E:$E,$E70,Data!$F:$F,$F70,Data!$I:$I,IF(ISBLANK($I70),"",$I70),Data!$J:$J,$J70,Data!$K:$K,$K70,Data!$R:$R,"",Data!$L:$L,IF(ISBLANK($P70),"",$P70),Data!$G:$G,"ZF",Data!$H:$H,"A15C",Data!$M:$M,72, Data!$Q:$Q,1),0)</f>
        <v>0</v>
      </c>
      <c r="W75" s="58">
        <f>IF(NOT(ISBLANK(W70)),COUNTIFS(Data!$C:$C,$C70,Data!$P:$P,"VAL",Data!$E:$E,$E70,Data!$F:$F,$F70,Data!$I:$I,IF(ISBLANK($I70),"",$I70),Data!$J:$J,$J70,Data!$K:$K,$K70,Data!$R:$R,"",Data!$L:$L,IF(ISBLANK($P70),"",$P70),Data!$G:$G,"ZF",Data!$H:$H,"A15C",Data!$M:$M,88, Data!$Q:$Q,1),0)</f>
        <v>0</v>
      </c>
      <c r="X75" s="58">
        <f>IF(NOT(ISBLANK(X70)),COUNTIFS(Data!$C:$C,$C70,Data!$P:$P,"VAL",Data!$E:$E,$E70,Data!$F:$F,$F70,Data!$I:$I,IF(ISBLANK($I70),"",$I70),Data!$J:$J,$J70,Data!$K:$K,$K70,Data!$R:$R,"",Data!$L:$L,IF(ISBLANK($P70),"",$P70),Data!$G:$G,"ZF",Data!$H:$H,"A15C",Data!$M:$M,105, Data!$Q:$Q,1),0)</f>
        <v>0</v>
      </c>
      <c r="Y75" s="58">
        <f>IF(NOT(ISBLANK(Y70)),COUNTIFS(Data!$C:$C,$C70,Data!$P:$P,"VAL",Data!$E:$E,$E70,Data!$F:$F,$F70,Data!$I:$I,IF(ISBLANK($I70),"",$I70),Data!$J:$J,$J70,Data!$K:$K,$K70,Data!$R:$R,"",Data!$L:$L,IF(ISBLANK($P70),"",$P70),Data!$G:$G,"ZF",Data!$H:$H,"A15C",Data!$M:$M,125, Data!$Q:$Q,1),0)</f>
        <v>0</v>
      </c>
      <c r="Z75" s="11"/>
      <c r="AA75" s="11"/>
      <c r="AB75" s="8">
        <v>70</v>
      </c>
    </row>
    <row r="76" spans="1:28" ht="15.6" x14ac:dyDescent="0.3">
      <c r="A76" s="66"/>
      <c r="B76" s="108"/>
      <c r="C76" s="64" t="s">
        <v>396</v>
      </c>
      <c r="D76" s="64" t="s">
        <v>612</v>
      </c>
      <c r="E76" s="64" t="s">
        <v>397</v>
      </c>
      <c r="F76" s="64">
        <v>1</v>
      </c>
      <c r="G76" s="64" t="s">
        <v>662</v>
      </c>
      <c r="H76" s="110" t="s">
        <v>419</v>
      </c>
      <c r="I76" s="110" t="s">
        <v>761</v>
      </c>
      <c r="J76" s="64" t="s">
        <v>398</v>
      </c>
      <c r="K76" s="64" t="s">
        <v>397</v>
      </c>
      <c r="L76" s="64" t="s">
        <v>392</v>
      </c>
      <c r="M76" s="64" t="s">
        <v>399</v>
      </c>
      <c r="N76" s="64"/>
      <c r="O76" s="142">
        <f>+Z76/55</f>
        <v>6</v>
      </c>
      <c r="P76" s="64" t="s">
        <v>623</v>
      </c>
      <c r="Q76" s="65">
        <f>2*55</f>
        <v>110</v>
      </c>
      <c r="R76" s="65">
        <f t="shared" ref="R76:S76" si="36">2*55</f>
        <v>110</v>
      </c>
      <c r="S76" s="65">
        <f t="shared" si="36"/>
        <v>110</v>
      </c>
      <c r="T76" s="65"/>
      <c r="U76" s="65"/>
      <c r="V76" s="65"/>
      <c r="W76" s="65"/>
      <c r="X76" s="65"/>
      <c r="Y76" s="66"/>
      <c r="Z76" s="65">
        <f>SUM(Q76:X76)</f>
        <v>330</v>
      </c>
      <c r="AA76" s="150" t="s">
        <v>634</v>
      </c>
      <c r="AB76" s="64"/>
    </row>
    <row r="77" spans="1:28" x14ac:dyDescent="0.3">
      <c r="A77" s="8"/>
      <c r="B77" s="8"/>
      <c r="C77" s="9"/>
      <c r="D77" s="9"/>
      <c r="E77" s="9"/>
      <c r="F77" s="9"/>
      <c r="G77" s="9"/>
      <c r="H77" s="9"/>
      <c r="I77" s="9"/>
      <c r="J77" s="9"/>
      <c r="K77" s="9"/>
      <c r="L77" s="10" t="s">
        <v>413</v>
      </c>
      <c r="M77" s="10"/>
      <c r="N77" s="10"/>
      <c r="O77" s="10"/>
      <c r="P77" s="9">
        <f>SUM(Q77:Y77)</f>
        <v>6</v>
      </c>
      <c r="Q77" s="11">
        <f t="shared" ref="Q77:Y77" si="37">IFERROR(Q76/55,0)</f>
        <v>2</v>
      </c>
      <c r="R77" s="11">
        <f t="shared" si="37"/>
        <v>2</v>
      </c>
      <c r="S77" s="11">
        <f t="shared" si="37"/>
        <v>2</v>
      </c>
      <c r="T77" s="11">
        <f t="shared" si="37"/>
        <v>0</v>
      </c>
      <c r="U77" s="11">
        <f t="shared" si="37"/>
        <v>0</v>
      </c>
      <c r="V77" s="11">
        <f t="shared" si="37"/>
        <v>0</v>
      </c>
      <c r="W77" s="11">
        <f t="shared" si="37"/>
        <v>0</v>
      </c>
      <c r="X77" s="11">
        <f t="shared" si="37"/>
        <v>0</v>
      </c>
      <c r="Y77" s="11">
        <f t="shared" si="37"/>
        <v>0</v>
      </c>
      <c r="Z77" s="11"/>
      <c r="AA77" s="129"/>
      <c r="AB77" s="8"/>
    </row>
    <row r="78" spans="1:28" x14ac:dyDescent="0.3">
      <c r="A78" s="8"/>
      <c r="B78" s="8"/>
      <c r="C78" s="9"/>
      <c r="D78" s="9"/>
      <c r="E78" s="9"/>
      <c r="F78" s="9"/>
      <c r="G78" s="9"/>
      <c r="H78" s="9"/>
      <c r="I78" s="9"/>
      <c r="J78" s="9"/>
      <c r="K78" s="9"/>
      <c r="L78" s="10" t="s">
        <v>414</v>
      </c>
      <c r="M78" s="10"/>
      <c r="N78" s="10"/>
      <c r="O78" s="10"/>
      <c r="P78" s="9">
        <f>SUM(Q78:Y78)</f>
        <v>0</v>
      </c>
      <c r="Q78" s="11">
        <f t="shared" ref="Q78:Y78" si="38">IFERROR(Q77-(Q79+Q81),0)</f>
        <v>1</v>
      </c>
      <c r="R78" s="11">
        <f t="shared" si="38"/>
        <v>1</v>
      </c>
      <c r="S78" s="11">
        <f t="shared" si="38"/>
        <v>-2</v>
      </c>
      <c r="T78" s="11">
        <f t="shared" si="38"/>
        <v>0</v>
      </c>
      <c r="U78" s="11">
        <f t="shared" si="38"/>
        <v>0</v>
      </c>
      <c r="V78" s="11">
        <f t="shared" si="38"/>
        <v>0</v>
      </c>
      <c r="W78" s="11">
        <f t="shared" si="38"/>
        <v>0</v>
      </c>
      <c r="X78" s="11">
        <f t="shared" si="38"/>
        <v>0</v>
      </c>
      <c r="Y78" s="11">
        <f t="shared" si="38"/>
        <v>0</v>
      </c>
      <c r="Z78" s="11"/>
      <c r="AA78" s="129"/>
      <c r="AB78" s="8"/>
    </row>
    <row r="79" spans="1:28" x14ac:dyDescent="0.3">
      <c r="A79" s="8"/>
      <c r="B79" s="8"/>
      <c r="C79" s="9"/>
      <c r="D79" s="9"/>
      <c r="E79" s="9"/>
      <c r="F79" s="9"/>
      <c r="G79" s="9"/>
      <c r="H79" s="9"/>
      <c r="I79" s="9"/>
      <c r="J79" s="9"/>
      <c r="K79" s="9"/>
      <c r="L79" s="10" t="s">
        <v>415</v>
      </c>
      <c r="M79" s="10"/>
      <c r="N79" s="10"/>
      <c r="O79" s="10"/>
      <c r="P79" s="131">
        <f>SUM(Q79:Y79)</f>
        <v>0</v>
      </c>
      <c r="Q79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45)+COUNTIFS(Data!$C:$C,$C76,Data!$P:$P,"VAL",Data!$E:$E,$E76,Data!$F:$F,$F76,Data!$I:$I,IF(ISBLANK($I76),"",$I76),Data!$J:$J,$J76,Data!$K:$K,$K76,Data!$R:$R,"",Data!$L:$L,IF(ISBLANK($P76),"",$P76),Data!$G:$G,"MAHEL",Data!$H:$H,"E15D",Data!$M:$M,45),0)-Q81</f>
        <v>0</v>
      </c>
      <c r="R79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50)+COUNTIFS(Data!$C:$C,$C76,Data!$P:$P,"VAL",Data!$E:$E,$E76,Data!$F:$F,$F76,Data!$I:$I,IF(ISBLANK($I76),"",$I76),Data!$J:$J,$J76,Data!$K:$K,$K76,Data!$R:$R,"",Data!$L:$L,IF(ISBLANK($P76),"",$P76),Data!$G:$G,"MAHEL",Data!$H:$H,"E15D",Data!$M:$M,50),0)-R81</f>
        <v>0</v>
      </c>
      <c r="S79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55)+COUNTIFS(Data!$C:$C,$C76,Data!$P:$P,"VAL",Data!$E:$E,$E76,Data!$F:$F,$F76,Data!$I:$I,IF(ISBLANK($I76),"",$I76),Data!$J:$J,$J76,Data!$K:$K,$K76,Data!$R:$R,"",Data!$L:$L,IF(ISBLANK($P76),"",$P76),Data!$G:$G,"MAHEL",Data!$H:$H,"E15D",Data!$M:$M,55),0)-S81</f>
        <v>0</v>
      </c>
      <c r="T79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60)+COUNTIFS(Data!$C:$C,$C76,Data!$P:$P,"VAL",Data!$E:$E,$E76,Data!$F:$F,$F76,Data!$I:$I,IF(ISBLANK($I76),"",$I76),Data!$J:$J,$J76,Data!$K:$K,$K76,Data!$R:$R,"",Data!$L:$L,IF(ISBLANK($P76),"",$P76),Data!$G:$G,"MAHEL",Data!$H:$H,"E15D",Data!$M:$M,60),0)-T81</f>
        <v>0</v>
      </c>
      <c r="U79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65)+COUNTIFS(Data!$C:$C,$C76,Data!$P:$P,"VAL",Data!$E:$E,$E76,Data!$F:$F,$F76,Data!$I:$I,IF(ISBLANK($I76),"",$I76),Data!$J:$J,$J76,Data!$K:$K,$K76,Data!$R:$R,"",Data!$L:$L,IF(ISBLANK($P76),"",$P76),Data!$G:$G,"MAHEL",Data!$H:$H,"E15D",Data!$M:$M,65),0)-U81</f>
        <v>0</v>
      </c>
      <c r="V79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72)+COUNTIFS(Data!$C:$C,$C76,Data!$P:$P,"VAL",Data!$E:$E,$E76,Data!$F:$F,$F76,Data!$I:$I,IF(ISBLANK($I76),"",$I76),Data!$J:$J,$J76,Data!$K:$K,$K76,Data!$R:$R,"",Data!$L:$L,IF(ISBLANK($P76),"",$P76),Data!$G:$G,"MAHEL",Data!$H:$H,"E15D",Data!$M:$M,72),0)-V81</f>
        <v>0</v>
      </c>
      <c r="W79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90)+COUNTIFS(Data!$C:$C,$C76,Data!$P:$P,"VAL",Data!$E:$E,$E76,Data!$F:$F,$F76,Data!$I:$I,IF(ISBLANK($I76),"",$I76),Data!$J:$J,$J76,Data!$K:$K,$K76,Data!$R:$R,"",Data!$L:$L,IF(ISBLANK($P76),"",$P76),Data!$G:$G,"MAHEL",Data!$H:$H,"E15D",Data!$M:$M,90),0)-W81</f>
        <v>0</v>
      </c>
      <c r="X79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96)+COUNTIFS(Data!$C:$C,$C76,Data!$P:$P,"VAL",Data!$E:$E,$E76,Data!$F:$F,$F76,Data!$I:$I,IF(ISBLANK($I76),"",$I76),Data!$J:$J,$J76,Data!$K:$K,$K76,Data!$R:$R,"",Data!$L:$L,IF(ISBLANK($P76),"",$P76),Data!$G:$G,"MAHEL",Data!$H:$H,"E15D",Data!$M:$M,96),0)-X81</f>
        <v>0</v>
      </c>
      <c r="Y79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125)+COUNTIFS(Data!$C:$C,$C76,Data!$P:$P,"VAL",Data!$E:$E,$E76,Data!$F:$F,$F76,Data!$I:$I,IF(ISBLANK($I76),"",$I76),Data!$J:$J,$J76,Data!$K:$K,$K76,Data!$R:$R,"",Data!$L:$L,IF(ISBLANK($P76),"",$P76),Data!$G:$G,"MAHEL",Data!$H:$H,"E15D",Data!$M:$M,125),0)-Y81</f>
        <v>0</v>
      </c>
      <c r="Z79" s="11"/>
      <c r="AA79" s="129"/>
      <c r="AB79" s="8"/>
    </row>
    <row r="80" spans="1:28" x14ac:dyDescent="0.3">
      <c r="A80" s="8"/>
      <c r="B80" s="8"/>
      <c r="C80" s="9"/>
      <c r="D80" s="9"/>
      <c r="E80" s="9"/>
      <c r="F80" s="9"/>
      <c r="G80" s="9"/>
      <c r="H80" s="9"/>
      <c r="I80" s="9"/>
      <c r="J80" s="9"/>
      <c r="K80" s="9"/>
      <c r="L80" s="10" t="s">
        <v>416</v>
      </c>
      <c r="M80" s="10"/>
      <c r="N80" s="10"/>
      <c r="O80" s="10"/>
      <c r="P80" s="9">
        <f>IF(COUNTIF(AA76:AA81,"*AS ORDERED*")&gt;0,SUM(Q80:Y80),IF(P78&gt;0,0,(-1)*P78))</f>
        <v>0</v>
      </c>
      <c r="Q80" s="11">
        <f t="shared" ref="Q80:Y80" si="39">IF(($P79+$P81)&gt;$P77,IF((Q79+Q81)-Q77&gt;0,(Q79+Q81)-Q77,0),0)</f>
        <v>0</v>
      </c>
      <c r="R80" s="11">
        <f t="shared" si="39"/>
        <v>0</v>
      </c>
      <c r="S80" s="11">
        <f t="shared" si="39"/>
        <v>0</v>
      </c>
      <c r="T80" s="11">
        <f t="shared" si="39"/>
        <v>0</v>
      </c>
      <c r="U80" s="11">
        <f t="shared" si="39"/>
        <v>0</v>
      </c>
      <c r="V80" s="11">
        <f t="shared" si="39"/>
        <v>0</v>
      </c>
      <c r="W80" s="11">
        <f t="shared" si="39"/>
        <v>0</v>
      </c>
      <c r="X80" s="11">
        <f t="shared" si="39"/>
        <v>0</v>
      </c>
      <c r="Y80" s="11">
        <f t="shared" si="39"/>
        <v>0</v>
      </c>
      <c r="Z80" s="11"/>
      <c r="AA80" s="129"/>
      <c r="AB80" s="8"/>
    </row>
    <row r="81" spans="1:28" ht="15" thickBot="1" x14ac:dyDescent="0.35">
      <c r="A81" s="8"/>
      <c r="B81" s="8"/>
      <c r="C81" s="9"/>
      <c r="D81" s="9"/>
      <c r="E81" s="9"/>
      <c r="F81" s="9"/>
      <c r="G81" s="9"/>
      <c r="H81" s="9"/>
      <c r="I81" s="9"/>
      <c r="J81" s="9"/>
      <c r="K81" s="9"/>
      <c r="L81" s="10" t="s">
        <v>417</v>
      </c>
      <c r="M81" s="10"/>
      <c r="N81" s="10"/>
      <c r="O81" s="10"/>
      <c r="P81" s="131">
        <f>SUM(Q81:Y81)</f>
        <v>6</v>
      </c>
      <c r="Q81" s="58">
        <f>IF(NOT(ISBLANK(Q76)),COUNTIFS(Data!$C:$C,$C76,Data!$P:$P,"VAL",Data!$E:$E,$E76,Data!$F:$F,$F76,Data!$I:$I,IF(ISBLANK($I76),"",$I76),Data!$J:$J,$J76,Data!$K:$K,$K76,Data!$R:$R,"",Data!$L:$L,IF(ISBLANK($P76),"",$P76),Data!$G:$G,"ZF",Data!$H:$H,"E15D",Data!$M:$M,45, Data!$Q:$Q,1)+COUNTIFS(Data!$C:$C,$C76,Data!$P:$P,"VAL",Data!$E:$E,$E76,Data!$F:$F,$F76,Data!$I:$I,IF(ISBLANK($I76),"",$I76),Data!$J:$J,$J76,Data!$K:$K,$K76,Data!$R:$R,"",Data!$L:$L,IF(ISBLANK($P76),"",$P76),Data!$G:$G,"MAHEL",Data!$H:$H,"E15D",Data!$M:$M,45, Data!$Q:$Q,1),0)</f>
        <v>1</v>
      </c>
      <c r="R81" s="58">
        <f>IF(NOT(ISBLANK(R76)),COUNTIFS(Data!$C:$C,$C76,Data!$P:$P,"VAL",Data!$E:$E,$E76,Data!$F:$F,$F76,Data!$I:$I,IF(ISBLANK($I76),"",$I76),Data!$J:$J,$J76,Data!$K:$K,$K76,Data!$R:$R,"",Data!$L:$L,IF(ISBLANK($P76),"",$P76),Data!$G:$G,"ZF",Data!$H:$H,"E15D",Data!$M:$M,50, Data!$Q:$Q,1)+COUNTIFS(Data!$C:$C,$C76,Data!$P:$P,"VAL",Data!$E:$E,$E76,Data!$F:$F,$F76,Data!$I:$I,IF(ISBLANK($I76),"",$I76),Data!$J:$J,$J76,Data!$K:$K,$K76,Data!$R:$R,"",Data!$L:$L,IF(ISBLANK($P76),"",$P76),Data!$G:$G,"MAHEL",Data!$H:$H,"E15D",Data!$M:$M,50, Data!$Q:$Q,1),0)</f>
        <v>1</v>
      </c>
      <c r="S81" s="58">
        <f>IF(NOT(ISBLANK(S76)),COUNTIFS(Data!$C:$C,$C76,Data!$P:$P,"VAL",Data!$E:$E,$E76,Data!$F:$F,$F76,Data!$I:$I,IF(ISBLANK($I76),"",$I76),Data!$J:$J,$J76,Data!$K:$K,$K76,Data!$R:$R,"",Data!$L:$L,IF(ISBLANK($P76),"",$P76),Data!$G:$G,"ZF",Data!$H:$H,"E15D",Data!$M:$M,55, Data!$Q:$Q,1)+COUNTIFS(Data!$C:$C,$C76,Data!$P:$P,"VAL",Data!$E:$E,$E76,Data!$F:$F,$F76,Data!$I:$I,IF(ISBLANK($I76),"",$I76),Data!$J:$J,$J76,Data!$K:$K,$K76,Data!$R:$R,"",Data!$L:$L,IF(ISBLANK($P76),"",$P76),Data!$G:$G,"MAHEL",Data!$H:$H,"E15D",Data!$M:$M,55, Data!$Q:$Q,1),0)</f>
        <v>4</v>
      </c>
      <c r="T81" s="58">
        <f>IF(NOT(ISBLANK(T76)),COUNTIFS(Data!$C:$C,$C76,Data!$P:$P,"VAL",Data!$E:$E,$E76,Data!$F:$F,$F76,Data!$I:$I,IF(ISBLANK($I76),"",$I76),Data!$J:$J,$J76,Data!$K:$K,$K76,Data!$R:$R,"",Data!$L:$L,IF(ISBLANK($P76),"",$P76),Data!$G:$G,"ZF",Data!$H:$H,"E15D",Data!$M:$M,60, Data!$Q:$Q,1)+COUNTIFS(Data!$C:$C,$C76,Data!$P:$P,"VAL",Data!$E:$E,$E76,Data!$F:$F,$F76,Data!$I:$I,IF(ISBLANK($I76),"",$I76),Data!$J:$J,$J76,Data!$K:$K,$K76,Data!$R:$R,"",Data!$L:$L,IF(ISBLANK($P76),"",$P76),Data!$G:$G,"MAHEL",Data!$H:$H,"E15D",Data!$M:$M,60, Data!$Q:$Q,1),0)</f>
        <v>0</v>
      </c>
      <c r="U81" s="58">
        <f>IF(NOT(ISBLANK(U76)),COUNTIFS(Data!$C:$C,$C76,Data!$P:$P,"VAL",Data!$E:$E,$E76,Data!$F:$F,$F76,Data!$I:$I,IF(ISBLANK($I76),"",$I76),Data!$J:$J,$J76,Data!$K:$K,$K76,Data!$R:$R,"",Data!$L:$L,IF(ISBLANK($P76),"",$P76),Data!$G:$G,"ZF",Data!$H:$H,"E15D",Data!$M:$M,65, Data!$Q:$Q,1)+COUNTIFS(Data!$C:$C,$C76,Data!$P:$P,"VAL",Data!$E:$E,$E76,Data!$F:$F,$F76,Data!$I:$I,IF(ISBLANK($I76),"",$I76),Data!$J:$J,$J76,Data!$K:$K,$K76,Data!$R:$R,"",Data!$L:$L,IF(ISBLANK($P76),"",$P76),Data!$G:$G,"MAHEL",Data!$H:$H,"E15D",Data!$M:$M,65, Data!$Q:$Q,1),0)</f>
        <v>0</v>
      </c>
      <c r="V81" s="58">
        <f>IF(NOT(ISBLANK(V76)),COUNTIFS(Data!$C:$C,$C76,Data!$P:$P,"VAL",Data!$E:$E,$E76,Data!$F:$F,$F76,Data!$I:$I,IF(ISBLANK($I76),"",$I76),Data!$J:$J,$J76,Data!$K:$K,$K76,Data!$R:$R,"",Data!$L:$L,IF(ISBLANK($P76),"",$P76),Data!$G:$G,"ZF",Data!$H:$H,"E15D",Data!$M:$M,72, Data!$Q:$Q,1)+COUNTIFS(Data!$C:$C,$C76,Data!$P:$P,"VAL",Data!$E:$E,$E76,Data!$F:$F,$F76,Data!$I:$I,IF(ISBLANK($I76),"",$I76),Data!$J:$J,$J76,Data!$K:$K,$K76,Data!$R:$R,"",Data!$L:$L,IF(ISBLANK($P76),"",$P76),Data!$G:$G,"MAHEL",Data!$H:$H,"E15D",Data!$M:$M,72, Data!$Q:$Q,1),0)</f>
        <v>0</v>
      </c>
      <c r="W81" s="58">
        <f>IF(NOT(ISBLANK(W76)),COUNTIFS(Data!$C:$C,$C76,Data!$P:$P,"VAL",Data!$E:$E,$E76,Data!$F:$F,$F76,Data!$I:$I,IF(ISBLANK($I76),"",$I76),Data!$J:$J,$J76,Data!$K:$K,$K76,Data!$R:$R,"",Data!$L:$L,IF(ISBLANK($P76),"",$P76),Data!$G:$G,"ZF",Data!$H:$H,"E15D",Data!$M:$M,90, Data!$Q:$Q,1)+COUNTIFS(Data!$C:$C,$C76,Data!$P:$P,"VAL",Data!$E:$E,$E76,Data!$F:$F,$F76,Data!$I:$I,IF(ISBLANK($I76),"",$I76),Data!$J:$J,$J76,Data!$K:$K,$K76,Data!$R:$R,"",Data!$L:$L,IF(ISBLANK($P76),"",$P76),Data!$G:$G,"MAHEL",Data!$H:$H,"E15D",Data!$M:$M,90, Data!$Q:$Q,1),0)</f>
        <v>0</v>
      </c>
      <c r="X81" s="58">
        <f>IF(NOT(ISBLANK(X76)),COUNTIFS(Data!$C:$C,$C76,Data!$P:$P,"VAL",Data!$E:$E,$E76,Data!$F:$F,$F76,Data!$I:$I,IF(ISBLANK($I76),"",$I76),Data!$J:$J,$J76,Data!$K:$K,$K76,Data!$R:$R,"",Data!$L:$L,IF(ISBLANK($P76),"",$P76),Data!$G:$G,"ZF",Data!$H:$H,"E15D",Data!$M:$M,96, Data!$Q:$Q,1)+COUNTIFS(Data!$C:$C,$C76,Data!$P:$P,"VAL",Data!$E:$E,$E76,Data!$F:$F,$F76,Data!$I:$I,IF(ISBLANK($I76),"",$I76),Data!$J:$J,$J76,Data!$K:$K,$K76,Data!$R:$R,"",Data!$L:$L,IF(ISBLANK($P76),"",$P76),Data!$G:$G,"MAHEL",Data!$H:$H,"E15D",Data!$M:$M,96, Data!$Q:$Q,1),0)</f>
        <v>0</v>
      </c>
      <c r="Y81" s="58">
        <f>IF(NOT(ISBLANK(Y76)),COUNTIFS(Data!$C:$C,$C76,Data!$P:$P,"VAL",Data!$E:$E,$E76,Data!$F:$F,$F76,Data!$I:$I,IF(ISBLANK($I76),"",$I76),Data!$J:$J,$J76,Data!$K:$K,$K76,Data!$R:$R,"",Data!$L:$L,IF(ISBLANK($P76),"",$P76),Data!$G:$G,"ZF",Data!$H:$H,"E15D",Data!$M:$M,125, Data!$Q:$Q,1)+COUNTIFS(Data!$C:$C,$C76,Data!$P:$P,"VAL",Data!$E:$E,$E76,Data!$F:$F,$F76,Data!$I:$I,IF(ISBLANK($I76),"",$I76),Data!$J:$J,$J76,Data!$K:$K,$K76,Data!$R:$R,"",Data!$L:$L,IF(ISBLANK($P76),"",$P76),Data!$G:$G,"MAHEL",Data!$H:$H,"E15D",Data!$M:$M,125, Data!$Q:$Q,1),0)</f>
        <v>0</v>
      </c>
      <c r="Z81" s="11"/>
      <c r="AA81" s="11"/>
      <c r="AB81" s="8">
        <v>55</v>
      </c>
    </row>
    <row r="82" spans="1:28" ht="15.6" x14ac:dyDescent="0.3">
      <c r="A82" s="66"/>
      <c r="B82" s="108"/>
      <c r="C82" s="143" t="s">
        <v>396</v>
      </c>
      <c r="D82" s="143" t="s">
        <v>612</v>
      </c>
      <c r="E82" s="143" t="s">
        <v>397</v>
      </c>
      <c r="F82" s="143">
        <v>1</v>
      </c>
      <c r="G82" s="143" t="s">
        <v>390</v>
      </c>
      <c r="H82" s="143" t="s">
        <v>391</v>
      </c>
      <c r="I82" s="144" t="s">
        <v>761</v>
      </c>
      <c r="J82" s="143" t="s">
        <v>398</v>
      </c>
      <c r="K82" s="143" t="s">
        <v>397</v>
      </c>
      <c r="L82" s="143" t="s">
        <v>392</v>
      </c>
      <c r="M82" s="143" t="s">
        <v>399</v>
      </c>
      <c r="N82" s="143"/>
      <c r="O82" s="145">
        <f>+Z82/70</f>
        <v>24</v>
      </c>
      <c r="P82" s="143" t="s">
        <v>623</v>
      </c>
      <c r="Q82" s="146"/>
      <c r="R82" s="147"/>
      <c r="S82" s="147"/>
      <c r="T82" s="147">
        <f>12*70</f>
        <v>840</v>
      </c>
      <c r="U82" s="147">
        <f>12*70</f>
        <v>840</v>
      </c>
      <c r="V82" s="147"/>
      <c r="W82" s="147"/>
      <c r="X82" s="147"/>
      <c r="Y82" s="148"/>
      <c r="Z82" s="147">
        <f>SUM(Q82:X82)</f>
        <v>1680</v>
      </c>
      <c r="AA82" s="67" t="s">
        <v>634</v>
      </c>
      <c r="AB82" s="64"/>
    </row>
    <row r="83" spans="1:28" x14ac:dyDescent="0.3">
      <c r="A83" s="8"/>
      <c r="B83" s="8"/>
      <c r="C83" s="9"/>
      <c r="D83" s="9"/>
      <c r="E83" s="9"/>
      <c r="F83" s="9"/>
      <c r="G83" s="9"/>
      <c r="H83" s="9"/>
      <c r="I83" s="9"/>
      <c r="J83" s="9"/>
      <c r="K83" s="9"/>
      <c r="L83" s="10" t="s">
        <v>413</v>
      </c>
      <c r="M83" s="10"/>
      <c r="N83" s="10"/>
      <c r="O83" s="10"/>
      <c r="P83" s="9">
        <f>SUM(Q83:Y83)</f>
        <v>24</v>
      </c>
      <c r="Q83" s="11">
        <f t="shared" ref="Q83:Y83" si="40">IFERROR(Q82/70,0)</f>
        <v>0</v>
      </c>
      <c r="R83" s="11">
        <f t="shared" si="40"/>
        <v>0</v>
      </c>
      <c r="S83" s="11">
        <f t="shared" si="40"/>
        <v>0</v>
      </c>
      <c r="T83" s="11">
        <f t="shared" si="40"/>
        <v>12</v>
      </c>
      <c r="U83" s="11">
        <f t="shared" si="40"/>
        <v>12</v>
      </c>
      <c r="V83" s="11">
        <f t="shared" si="40"/>
        <v>0</v>
      </c>
      <c r="W83" s="11">
        <f t="shared" si="40"/>
        <v>0</v>
      </c>
      <c r="X83" s="11">
        <f t="shared" si="40"/>
        <v>0</v>
      </c>
      <c r="Y83" s="11">
        <f t="shared" si="40"/>
        <v>0</v>
      </c>
      <c r="Z83" s="11"/>
      <c r="AA83" s="129"/>
      <c r="AB83" s="8"/>
    </row>
    <row r="84" spans="1:28" x14ac:dyDescent="0.3">
      <c r="A84" s="8"/>
      <c r="B84" s="8"/>
      <c r="C84" s="9"/>
      <c r="D84" s="9"/>
      <c r="E84" s="9"/>
      <c r="F84" s="9"/>
      <c r="G84" s="9"/>
      <c r="H84" s="9"/>
      <c r="I84" s="9"/>
      <c r="J84" s="9"/>
      <c r="K84" s="9"/>
      <c r="L84" s="10" t="s">
        <v>414</v>
      </c>
      <c r="M84" s="10"/>
      <c r="N84" s="10"/>
      <c r="O84" s="10"/>
      <c r="P84" s="9">
        <f>SUM(Q84:Y84)</f>
        <v>0</v>
      </c>
      <c r="Q84" s="11">
        <f t="shared" ref="Q84:Y84" si="41">IFERROR(Q83-(Q85+Q87),0)</f>
        <v>0</v>
      </c>
      <c r="R84" s="11">
        <f t="shared" si="41"/>
        <v>0</v>
      </c>
      <c r="S84" s="11">
        <f t="shared" si="41"/>
        <v>0</v>
      </c>
      <c r="T84" s="11">
        <f t="shared" si="41"/>
        <v>2</v>
      </c>
      <c r="U84" s="11">
        <f t="shared" si="41"/>
        <v>-2</v>
      </c>
      <c r="V84" s="11">
        <f t="shared" si="41"/>
        <v>0</v>
      </c>
      <c r="W84" s="11">
        <f t="shared" si="41"/>
        <v>0</v>
      </c>
      <c r="X84" s="11">
        <f t="shared" si="41"/>
        <v>0</v>
      </c>
      <c r="Y84" s="11">
        <f t="shared" si="41"/>
        <v>0</v>
      </c>
      <c r="Z84" s="11"/>
      <c r="AA84" s="129"/>
      <c r="AB84" s="8"/>
    </row>
    <row r="85" spans="1:28" x14ac:dyDescent="0.3">
      <c r="A85" s="8"/>
      <c r="B85" s="8"/>
      <c r="C85" s="9"/>
      <c r="D85" s="9"/>
      <c r="E85" s="9"/>
      <c r="F85" s="9"/>
      <c r="G85" s="9"/>
      <c r="H85" s="9"/>
      <c r="I85" s="9"/>
      <c r="J85" s="9"/>
      <c r="K85" s="9"/>
      <c r="L85" s="10" t="s">
        <v>415</v>
      </c>
      <c r="M85" s="10"/>
      <c r="N85" s="10"/>
      <c r="O85" s="10"/>
      <c r="P85" s="131">
        <f>SUM(Q85:Y85)</f>
        <v>0</v>
      </c>
      <c r="Q85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IF(NOT(ISBLANK(Q82)),COUNTIFS(Data!$C:$C,$C82,Data!$P:$P,"VAL",Data!$E:$E,$E82,Data!$F:$F,$F82,Data!$I:$I,IF(ISBLANK($I82),"",$I82),Data!$J:$J,$J82,Data!$K:$K,$K82,Data!$R:$R,"",Data!$L:$L,IF(ISBLANK($P82),"",$P82),Data!$G:$G,"ZF",Data!$H:$H,"A15C",Data!$M:$M,36),0)-Q87</f>
        <v>0</v>
      </c>
      <c r="R85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IF(NOT(ISBLANK(R82)),COUNTIFS(Data!$C:$C,$C82,Data!$P:$P,"VAL",Data!$E:$E,$E82,Data!$F:$F,$F82,Data!$I:$I,IF(ISBLANK($I82),"",$I82),Data!$J:$J,$J82,Data!$K:$K,$K82,Data!$R:$R,"",Data!$L:$L,IF(ISBLANK($P82),"",$P82),Data!$G:$G,"ZF",Data!$H:$H,"A15C",Data!$M:$M,40),0)-R87</f>
        <v>0</v>
      </c>
      <c r="S85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IF(NOT(ISBLANK(S82)),COUNTIFS(Data!$C:$C,$C82,Data!$P:$P,"VAL",Data!$E:$E,$E82,Data!$F:$F,$F82,Data!$I:$I,IF(ISBLANK($I82),"",$I82),Data!$J:$J,$J82,Data!$K:$K,$K82,Data!$R:$R,"",Data!$L:$L,IF(ISBLANK($P82),"",$P82),Data!$G:$G,"ZF",Data!$H:$H,"A15C",Data!$M:$M,48),0)-S87</f>
        <v>0</v>
      </c>
      <c r="T85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IF(NOT(ISBLANK(T82)),COUNTIFS(Data!$C:$C,$C82,Data!$P:$P,"VAL",Data!$E:$E,$E82,Data!$F:$F,$F82,Data!$I:$I,IF(ISBLANK($I82),"",$I82),Data!$J:$J,$J82,Data!$K:$K,$K82,Data!$R:$R,"",Data!$L:$L,IF(ISBLANK($P82),"",$P82),Data!$G:$G,"ZF",Data!$H:$H,"A15C",Data!$M:$M,56),0)-T87</f>
        <v>0</v>
      </c>
      <c r="U85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IF(NOT(ISBLANK(U82)),COUNTIFS(Data!$C:$C,$C82,Data!$P:$P,"VAL",Data!$E:$E,$E82,Data!$F:$F,$F82,Data!$I:$I,IF(ISBLANK($I82),"",$I82),Data!$J:$J,$J82,Data!$K:$K,$K82,Data!$R:$R,"",Data!$L:$L,IF(ISBLANK($P82),"",$P82),Data!$G:$G,"ZF",Data!$H:$H,"A15C",Data!$M:$M,64),0)-U87</f>
        <v>0</v>
      </c>
      <c r="V85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IF(NOT(ISBLANK(V82)),COUNTIFS(Data!$C:$C,$C82,Data!$P:$P,"VAL",Data!$E:$E,$E82,Data!$F:$F,$F82,Data!$I:$I,IF(ISBLANK($I82),"",$I82),Data!$J:$J,$J82,Data!$K:$K,$K82,Data!$R:$R,"",Data!$L:$L,IF(ISBLANK($P82),"",$P82),Data!$G:$G,"ZF",Data!$H:$H,"A15C",Data!$M:$M,72),0)-V87</f>
        <v>0</v>
      </c>
      <c r="W85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IF(NOT(ISBLANK(W82)),COUNTIFS(Data!$C:$C,$C82,Data!$P:$P,"VAL",Data!$E:$E,$E82,Data!$F:$F,$F82,Data!$I:$I,IF(ISBLANK($I82),"",$I82),Data!$J:$J,$J82,Data!$K:$K,$K82,Data!$R:$R,"",Data!$L:$L,IF(ISBLANK($P82),"",$P82),Data!$G:$G,"ZF",Data!$H:$H,"A15C",Data!$M:$M,88),0)-W87</f>
        <v>0</v>
      </c>
      <c r="X85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IF(NOT(ISBLANK(X82)),COUNTIFS(Data!$C:$C,$C82,Data!$P:$P,"VAL",Data!$E:$E,$E82,Data!$F:$F,$F82,Data!$I:$I,IF(ISBLANK($I82),"",$I82),Data!$J:$J,$J82,Data!$K:$K,$K82,Data!$R:$R,"",Data!$L:$L,IF(ISBLANK($P82),"",$P82),Data!$G:$G,"ZF",Data!$H:$H,"A15C",Data!$M:$M,105),0)-X87</f>
        <v>0</v>
      </c>
      <c r="Y85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IF(NOT(ISBLANK(Y82)),COUNTIFS(Data!$C:$C,$C82,Data!$P:$P,"VAL",Data!$E:$E,$E82,Data!$F:$F,$F82,Data!$I:$I,IF(ISBLANK($I82),"",$I82),Data!$J:$J,$J82,Data!$K:$K,$K82,Data!$R:$R,"",Data!$L:$L,IF(ISBLANK($P82),"",$P82),Data!$G:$G,"ZF",Data!$H:$H,"A15C",Data!$M:$M,125),0)-Y87</f>
        <v>0</v>
      </c>
      <c r="Z85" s="11"/>
      <c r="AA85" s="129"/>
      <c r="AB85" s="8"/>
    </row>
    <row r="86" spans="1:28" x14ac:dyDescent="0.3">
      <c r="A86" s="8"/>
      <c r="B86" s="8"/>
      <c r="C86" s="9"/>
      <c r="D86" s="9"/>
      <c r="E86" s="9"/>
      <c r="F86" s="9"/>
      <c r="G86" s="9"/>
      <c r="H86" s="9"/>
      <c r="I86" s="9"/>
      <c r="J86" s="9"/>
      <c r="K86" s="9"/>
      <c r="L86" s="10" t="s">
        <v>416</v>
      </c>
      <c r="M86" s="10"/>
      <c r="N86" s="10"/>
      <c r="O86" s="10"/>
      <c r="P86" s="9">
        <f>IF(COUNTIF(AA82:AA87,"*AS ORDERED*")&gt;0,SUM(Q86:Y86),IF(P84&gt;0,0,(-1)*P84))</f>
        <v>0</v>
      </c>
      <c r="Q86" s="11">
        <f t="shared" ref="Q86:Y86" si="42">IF(($P85+$P87)&gt;$P83,IF((Q85+Q87)-Q83&gt;0,(Q85+Q87)-Q83,0),0)</f>
        <v>0</v>
      </c>
      <c r="R86" s="11">
        <f t="shared" si="42"/>
        <v>0</v>
      </c>
      <c r="S86" s="11">
        <f t="shared" si="42"/>
        <v>0</v>
      </c>
      <c r="T86" s="11">
        <f t="shared" si="42"/>
        <v>0</v>
      </c>
      <c r="U86" s="11">
        <f t="shared" si="42"/>
        <v>0</v>
      </c>
      <c r="V86" s="11">
        <f t="shared" si="42"/>
        <v>0</v>
      </c>
      <c r="W86" s="11">
        <f t="shared" si="42"/>
        <v>0</v>
      </c>
      <c r="X86" s="11">
        <f t="shared" si="42"/>
        <v>0</v>
      </c>
      <c r="Y86" s="11">
        <f t="shared" si="42"/>
        <v>0</v>
      </c>
      <c r="Z86" s="11"/>
      <c r="AA86" s="129"/>
      <c r="AB86" s="8"/>
    </row>
    <row r="87" spans="1:28" ht="15" thickBot="1" x14ac:dyDescent="0.35">
      <c r="A87" s="8"/>
      <c r="B87" s="8"/>
      <c r="C87" s="9"/>
      <c r="D87" s="9"/>
      <c r="E87" s="9"/>
      <c r="F87" s="9"/>
      <c r="G87" s="9"/>
      <c r="H87" s="9"/>
      <c r="I87" s="9"/>
      <c r="J87" s="9"/>
      <c r="K87" s="9"/>
      <c r="L87" s="10" t="s">
        <v>417</v>
      </c>
      <c r="M87" s="10"/>
      <c r="N87" s="10"/>
      <c r="O87" s="10"/>
      <c r="P87" s="131">
        <f>SUM(Q87:Y87)</f>
        <v>24</v>
      </c>
      <c r="Q87" s="58">
        <f>IF(NOT(ISBLANK(Q82)),COUNTIFS(Data!$C:$C,$C82,Data!$P:$P,"VAL",Data!$E:$E,$E82,Data!$F:$F,$F82,Data!$I:$I,IF(ISBLANK($I82),"",$I82),Data!$J:$J,$J82,Data!$K:$K,$K82,Data!$R:$R,"",Data!$L:$L,IF(ISBLANK($P82),"",$P82),Data!$G:$G,"ZF",Data!$H:$H,"A15C",Data!$M:$M,36, Data!$Q:$Q,1),0)</f>
        <v>0</v>
      </c>
      <c r="R87" s="58">
        <f>IF(NOT(ISBLANK(R82)),COUNTIFS(Data!$C:$C,$C82,Data!$P:$P,"VAL",Data!$E:$E,$E82,Data!$F:$F,$F82,Data!$I:$I,IF(ISBLANK($I82),"",$I82),Data!$J:$J,$J82,Data!$K:$K,$K82,Data!$R:$R,"",Data!$L:$L,IF(ISBLANK($P82),"",$P82),Data!$G:$G,"ZF",Data!$H:$H,"A15C",Data!$M:$M,40, Data!$Q:$Q,1),0)</f>
        <v>0</v>
      </c>
      <c r="S87" s="58">
        <f>IF(NOT(ISBLANK(S82)),COUNTIFS(Data!$C:$C,$C82,Data!$P:$P,"VAL",Data!$E:$E,$E82,Data!$F:$F,$F82,Data!$I:$I,IF(ISBLANK($I82),"",$I82),Data!$J:$J,$J82,Data!$K:$K,$K82,Data!$R:$R,"",Data!$L:$L,IF(ISBLANK($P82),"",$P82),Data!$G:$G,"ZF",Data!$H:$H,"A15C",Data!$M:$M,48, Data!$Q:$Q,1),0)</f>
        <v>0</v>
      </c>
      <c r="T87" s="58">
        <f>IF(NOT(ISBLANK(T82)),COUNTIFS(Data!$C:$C,$C82,Data!$P:$P,"VAL",Data!$E:$E,$E82,Data!$F:$F,$F82,Data!$I:$I,IF(ISBLANK($I82),"",$I82),Data!$J:$J,$J82,Data!$K:$K,$K82,Data!$R:$R,"",Data!$L:$L,IF(ISBLANK($P82),"",$P82),Data!$G:$G,"ZF",Data!$H:$H,"A15C",Data!$M:$M,56, Data!$Q:$Q,1),0)</f>
        <v>10</v>
      </c>
      <c r="U87" s="58">
        <f>IF(NOT(ISBLANK(U82)),COUNTIFS(Data!$C:$C,$C82,Data!$P:$P,"VAL",Data!$E:$E,$E82,Data!$F:$F,$F82,Data!$I:$I,IF(ISBLANK($I82),"",$I82),Data!$J:$J,$J82,Data!$K:$K,$K82,Data!$R:$R,"",Data!$L:$L,IF(ISBLANK($P82),"",$P82),Data!$G:$G,"ZF",Data!$H:$H,"A15C",Data!$M:$M,64, Data!$Q:$Q,1),0)</f>
        <v>14</v>
      </c>
      <c r="V87" s="58">
        <f>IF(NOT(ISBLANK(V82)),COUNTIFS(Data!$C:$C,$C82,Data!$P:$P,"VAL",Data!$E:$E,$E82,Data!$F:$F,$F82,Data!$I:$I,IF(ISBLANK($I82),"",$I82),Data!$J:$J,$J82,Data!$K:$K,$K82,Data!$R:$R,"",Data!$L:$L,IF(ISBLANK($P82),"",$P82),Data!$G:$G,"ZF",Data!$H:$H,"A15C",Data!$M:$M,72, Data!$Q:$Q,1),0)</f>
        <v>0</v>
      </c>
      <c r="W87" s="58">
        <f>IF(NOT(ISBLANK(W82)),COUNTIFS(Data!$C:$C,$C82,Data!$P:$P,"VAL",Data!$E:$E,$E82,Data!$F:$F,$F82,Data!$I:$I,IF(ISBLANK($I82),"",$I82),Data!$J:$J,$J82,Data!$K:$K,$K82,Data!$R:$R,"",Data!$L:$L,IF(ISBLANK($P82),"",$P82),Data!$G:$G,"ZF",Data!$H:$H,"A15C",Data!$M:$M,88, Data!$Q:$Q,1),0)</f>
        <v>0</v>
      </c>
      <c r="X87" s="58">
        <f>IF(NOT(ISBLANK(X82)),COUNTIFS(Data!$C:$C,$C82,Data!$P:$P,"VAL",Data!$E:$E,$E82,Data!$F:$F,$F82,Data!$I:$I,IF(ISBLANK($I82),"",$I82),Data!$J:$J,$J82,Data!$K:$K,$K82,Data!$R:$R,"",Data!$L:$L,IF(ISBLANK($P82),"",$P82),Data!$G:$G,"ZF",Data!$H:$H,"A15C",Data!$M:$M,105, Data!$Q:$Q,1),0)</f>
        <v>0</v>
      </c>
      <c r="Y87" s="58">
        <f>IF(NOT(ISBLANK(Y82)),COUNTIFS(Data!$C:$C,$C82,Data!$P:$P,"VAL",Data!$E:$E,$E82,Data!$F:$F,$F82,Data!$I:$I,IF(ISBLANK($I82),"",$I82),Data!$J:$J,$J82,Data!$K:$K,$K82,Data!$R:$R,"",Data!$L:$L,IF(ISBLANK($P82),"",$P82),Data!$G:$G,"ZF",Data!$H:$H,"A15C",Data!$M:$M,125, Data!$Q:$Q,1),0)</f>
        <v>0</v>
      </c>
      <c r="Z87" s="11"/>
      <c r="AA87" s="11"/>
      <c r="AB87" s="8">
        <v>70</v>
      </c>
    </row>
    <row r="88" spans="1:28" ht="15.6" x14ac:dyDescent="0.3">
      <c r="A88" s="66"/>
      <c r="B88" s="108"/>
      <c r="C88" s="64" t="s">
        <v>396</v>
      </c>
      <c r="D88" s="64" t="s">
        <v>612</v>
      </c>
      <c r="E88" s="64" t="s">
        <v>397</v>
      </c>
      <c r="F88" s="64">
        <v>1</v>
      </c>
      <c r="G88" s="64" t="s">
        <v>991</v>
      </c>
      <c r="H88" s="110" t="s">
        <v>419</v>
      </c>
      <c r="I88" s="110" t="s">
        <v>886</v>
      </c>
      <c r="J88" s="64" t="s">
        <v>398</v>
      </c>
      <c r="K88" s="64" t="s">
        <v>397</v>
      </c>
      <c r="L88" s="64" t="s">
        <v>392</v>
      </c>
      <c r="M88" s="64" t="s">
        <v>399</v>
      </c>
      <c r="N88" s="64"/>
      <c r="O88" s="64">
        <f>+Z88/55</f>
        <v>7</v>
      </c>
      <c r="P88" s="64" t="s">
        <v>623</v>
      </c>
      <c r="Q88" s="65">
        <f>2*55</f>
        <v>110</v>
      </c>
      <c r="R88" s="65">
        <f t="shared" ref="R88" si="43">2*55</f>
        <v>110</v>
      </c>
      <c r="S88" s="65">
        <f>3*55</f>
        <v>165</v>
      </c>
      <c r="T88" s="65"/>
      <c r="U88" s="65"/>
      <c r="V88" s="65"/>
      <c r="W88" s="65"/>
      <c r="X88" s="65"/>
      <c r="Y88" s="66"/>
      <c r="Z88" s="65">
        <f>SUM(Q88:X88)</f>
        <v>385</v>
      </c>
      <c r="AA88" s="150" t="s">
        <v>634</v>
      </c>
      <c r="AB88" s="64"/>
    </row>
    <row r="89" spans="1:28" x14ac:dyDescent="0.3">
      <c r="A89" s="8"/>
      <c r="B89" s="8"/>
      <c r="C89" s="9"/>
      <c r="D89" s="9"/>
      <c r="E89" s="9"/>
      <c r="F89" s="9"/>
      <c r="G89" s="9"/>
      <c r="H89" s="9"/>
      <c r="I89" s="9"/>
      <c r="J89" s="9"/>
      <c r="K89" s="9"/>
      <c r="L89" s="10" t="s">
        <v>413</v>
      </c>
      <c r="M89" s="10"/>
      <c r="N89" s="10"/>
      <c r="O89" s="10"/>
      <c r="P89" s="9">
        <f>SUM(Q89:Y89)</f>
        <v>7</v>
      </c>
      <c r="Q89" s="11">
        <f t="shared" ref="Q89:Y89" si="44">IFERROR(Q88/55,0)</f>
        <v>2</v>
      </c>
      <c r="R89" s="11">
        <f t="shared" si="44"/>
        <v>2</v>
      </c>
      <c r="S89" s="11">
        <f t="shared" si="44"/>
        <v>3</v>
      </c>
      <c r="T89" s="11">
        <f t="shared" si="44"/>
        <v>0</v>
      </c>
      <c r="U89" s="11">
        <f t="shared" si="44"/>
        <v>0</v>
      </c>
      <c r="V89" s="11">
        <f t="shared" si="44"/>
        <v>0</v>
      </c>
      <c r="W89" s="11">
        <f t="shared" si="44"/>
        <v>0</v>
      </c>
      <c r="X89" s="11">
        <f t="shared" si="44"/>
        <v>0</v>
      </c>
      <c r="Y89" s="11">
        <f t="shared" si="44"/>
        <v>0</v>
      </c>
      <c r="Z89" s="11"/>
      <c r="AA89" s="129"/>
      <c r="AB89" s="8"/>
    </row>
    <row r="90" spans="1:28" x14ac:dyDescent="0.3">
      <c r="A90" s="8"/>
      <c r="B90" s="8"/>
      <c r="C90" s="9"/>
      <c r="D90" s="9"/>
      <c r="E90" s="9"/>
      <c r="F90" s="9"/>
      <c r="G90" s="9"/>
      <c r="H90" s="9"/>
      <c r="I90" s="9"/>
      <c r="J90" s="9"/>
      <c r="K90" s="9"/>
      <c r="L90" s="10" t="s">
        <v>414</v>
      </c>
      <c r="M90" s="10"/>
      <c r="N90" s="10"/>
      <c r="O90" s="10"/>
      <c r="P90" s="9">
        <f>SUM(Q90:Y90)</f>
        <v>0</v>
      </c>
      <c r="Q90" s="11">
        <f t="shared" ref="Q90:Y90" si="45">IFERROR(Q89-(Q91+Q93),0)</f>
        <v>2</v>
      </c>
      <c r="R90" s="11">
        <f t="shared" si="45"/>
        <v>1</v>
      </c>
      <c r="S90" s="11">
        <f t="shared" si="45"/>
        <v>-3</v>
      </c>
      <c r="T90" s="11">
        <f t="shared" si="45"/>
        <v>0</v>
      </c>
      <c r="U90" s="11">
        <f t="shared" si="45"/>
        <v>0</v>
      </c>
      <c r="V90" s="11">
        <f t="shared" si="45"/>
        <v>0</v>
      </c>
      <c r="W90" s="11">
        <f t="shared" si="45"/>
        <v>0</v>
      </c>
      <c r="X90" s="11">
        <f t="shared" si="45"/>
        <v>0</v>
      </c>
      <c r="Y90" s="11">
        <f t="shared" si="45"/>
        <v>0</v>
      </c>
      <c r="Z90" s="11"/>
      <c r="AA90" s="129"/>
      <c r="AB90" s="8"/>
    </row>
    <row r="91" spans="1:28" x14ac:dyDescent="0.3">
      <c r="A91" s="8"/>
      <c r="B91" s="8"/>
      <c r="C91" s="9"/>
      <c r="D91" s="9"/>
      <c r="E91" s="9"/>
      <c r="F91" s="9"/>
      <c r="G91" s="9"/>
      <c r="H91" s="9"/>
      <c r="I91" s="9"/>
      <c r="J91" s="9"/>
      <c r="K91" s="9"/>
      <c r="L91" s="10" t="s">
        <v>415</v>
      </c>
      <c r="M91" s="10"/>
      <c r="N91" s="10"/>
      <c r="O91" s="10"/>
      <c r="P91" s="131">
        <f>SUM(Q91:Y91)</f>
        <v>6</v>
      </c>
      <c r="Q91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45)+COUNTIFS(Data!$C:$C,$C88,Data!$P:$P,"VAL",Data!$E:$E,$E88,Data!$F:$F,$F88,Data!$I:$I,IF(ISBLANK($I88),"",$I88),Data!$J:$J,$J88,Data!$K:$K,$K88,Data!$R:$R,"",Data!$L:$L,IF(ISBLANK($P88),"",$P88),Data!$G:$G,"MAHEL",Data!$H:$H,"E15D",Data!$M:$M,45)+COUNTIFS(Data!$C:$C,$C88,Data!$P:$P,"VAL",Data!$E:$E,$E88,Data!$F:$F,$F88,Data!$I:$I,IF(ISBLANK($I88),"",$I88),Data!$J:$J,$J88,Data!$K:$K,$K88,Data!$R:$R,"",Data!$L:$L,IF(ISBLANK($P88),"",$P88),Data!$G:$G,"MAKUL",Data!$H:$H,"E15D",Data!$M:$M,45),0)-Q93</f>
        <v>0</v>
      </c>
      <c r="R91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50)+COUNTIFS(Data!$C:$C,$C88,Data!$P:$P,"VAL",Data!$E:$E,$E88,Data!$F:$F,$F88,Data!$I:$I,IF(ISBLANK($I88),"",$I88),Data!$J:$J,$J88,Data!$K:$K,$K88,Data!$R:$R,"",Data!$L:$L,IF(ISBLANK($P88),"",$P88),Data!$G:$G,"MAHEL",Data!$H:$H,"E15D",Data!$M:$M,50)+COUNTIFS(Data!$C:$C,$C88,Data!$P:$P,"VAL",Data!$E:$E,$E88,Data!$F:$F,$F88,Data!$I:$I,IF(ISBLANK($I88),"",$I88),Data!$J:$J,$J88,Data!$K:$K,$K88,Data!$R:$R,"",Data!$L:$L,IF(ISBLANK($P88),"",$P88),Data!$G:$G,"MAKUL",Data!$H:$H,"E15D",Data!$M:$M,50),0)-R93</f>
        <v>0</v>
      </c>
      <c r="S91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55)+COUNTIFS(Data!$C:$C,$C88,Data!$P:$P,"VAL",Data!$E:$E,$E88,Data!$F:$F,$F88,Data!$I:$I,IF(ISBLANK($I88),"",$I88),Data!$J:$J,$J88,Data!$K:$K,$K88,Data!$R:$R,"",Data!$L:$L,IF(ISBLANK($P88),"",$P88),Data!$G:$G,"MAHEL",Data!$H:$H,"E15D",Data!$M:$M,55)+COUNTIFS(Data!$C:$C,$C88,Data!$P:$P,"VAL",Data!$E:$E,$E88,Data!$F:$F,$F88,Data!$I:$I,IF(ISBLANK($I88),"",$I88),Data!$J:$J,$J88,Data!$K:$K,$K88,Data!$R:$R,"",Data!$L:$L,IF(ISBLANK($P88),"",$P88),Data!$G:$G,"MAKUL",Data!$H:$H,"E15D",Data!$M:$M,55),0)-S93</f>
        <v>6</v>
      </c>
      <c r="T91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60)+COUNTIFS(Data!$C:$C,$C88,Data!$P:$P,"VAL",Data!$E:$E,$E88,Data!$F:$F,$F88,Data!$I:$I,IF(ISBLANK($I88),"",$I88),Data!$J:$J,$J88,Data!$K:$K,$K88,Data!$R:$R,"",Data!$L:$L,IF(ISBLANK($P88),"",$P88),Data!$G:$G,"MAHEL",Data!$H:$H,"E15D",Data!$M:$M,60)+COUNTIFS(Data!$C:$C,$C88,Data!$P:$P,"VAL",Data!$E:$E,$E88,Data!$F:$F,$F88,Data!$I:$I,IF(ISBLANK($I88),"",$I88),Data!$J:$J,$J88,Data!$K:$K,$K88,Data!$R:$R,"",Data!$L:$L,IF(ISBLANK($P88),"",$P88),Data!$G:$G,"MAKUL",Data!$H:$H,"E15D",Data!$M:$M,60),0)-T93</f>
        <v>0</v>
      </c>
      <c r="U91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65)+COUNTIFS(Data!$C:$C,$C88,Data!$P:$P,"VAL",Data!$E:$E,$E88,Data!$F:$F,$F88,Data!$I:$I,IF(ISBLANK($I88),"",$I88),Data!$J:$J,$J88,Data!$K:$K,$K88,Data!$R:$R,"",Data!$L:$L,IF(ISBLANK($P88),"",$P88),Data!$G:$G,"MAHEL",Data!$H:$H,"E15D",Data!$M:$M,65)+COUNTIFS(Data!$C:$C,$C88,Data!$P:$P,"VAL",Data!$E:$E,$E88,Data!$F:$F,$F88,Data!$I:$I,IF(ISBLANK($I88),"",$I88),Data!$J:$J,$J88,Data!$K:$K,$K88,Data!$R:$R,"",Data!$L:$L,IF(ISBLANK($P88),"",$P88),Data!$G:$G,"MAKUL",Data!$H:$H,"E15D",Data!$M:$M,65),0)-U93</f>
        <v>0</v>
      </c>
      <c r="V91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72)+COUNTIFS(Data!$C:$C,$C88,Data!$P:$P,"VAL",Data!$E:$E,$E88,Data!$F:$F,$F88,Data!$I:$I,IF(ISBLANK($I88),"",$I88),Data!$J:$J,$J88,Data!$K:$K,$K88,Data!$R:$R,"",Data!$L:$L,IF(ISBLANK($P88),"",$P88),Data!$G:$G,"MAHEL",Data!$H:$H,"E15D",Data!$M:$M,72)+COUNTIFS(Data!$C:$C,$C88,Data!$P:$P,"VAL",Data!$E:$E,$E88,Data!$F:$F,$F88,Data!$I:$I,IF(ISBLANK($I88),"",$I88),Data!$J:$J,$J88,Data!$K:$K,$K88,Data!$R:$R,"",Data!$L:$L,IF(ISBLANK($P88),"",$P88),Data!$G:$G,"MAKUL",Data!$H:$H,"E15D",Data!$M:$M,72),0)-V93</f>
        <v>0</v>
      </c>
      <c r="W91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90)+COUNTIFS(Data!$C:$C,$C88,Data!$P:$P,"VAL",Data!$E:$E,$E88,Data!$F:$F,$F88,Data!$I:$I,IF(ISBLANK($I88),"",$I88),Data!$J:$J,$J88,Data!$K:$K,$K88,Data!$R:$R,"",Data!$L:$L,IF(ISBLANK($P88),"",$P88),Data!$G:$G,"MAHEL",Data!$H:$H,"E15D",Data!$M:$M,90)+COUNTIFS(Data!$C:$C,$C88,Data!$P:$P,"VAL",Data!$E:$E,$E88,Data!$F:$F,$F88,Data!$I:$I,IF(ISBLANK($I88),"",$I88),Data!$J:$J,$J88,Data!$K:$K,$K88,Data!$R:$R,"",Data!$L:$L,IF(ISBLANK($P88),"",$P88),Data!$G:$G,"MAKUL",Data!$H:$H,"E15D",Data!$M:$M,90),0)-W93</f>
        <v>0</v>
      </c>
      <c r="X91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96)+COUNTIFS(Data!$C:$C,$C88,Data!$P:$P,"VAL",Data!$E:$E,$E88,Data!$F:$F,$F88,Data!$I:$I,IF(ISBLANK($I88),"",$I88),Data!$J:$J,$J88,Data!$K:$K,$K88,Data!$R:$R,"",Data!$L:$L,IF(ISBLANK($P88),"",$P88),Data!$G:$G,"MAHEL",Data!$H:$H,"E15D",Data!$M:$M,96)+COUNTIFS(Data!$C:$C,$C88,Data!$P:$P,"VAL",Data!$E:$E,$E88,Data!$F:$F,$F88,Data!$I:$I,IF(ISBLANK($I88),"",$I88),Data!$J:$J,$J88,Data!$K:$K,$K88,Data!$R:$R,"",Data!$L:$L,IF(ISBLANK($P88),"",$P88),Data!$G:$G,"MAKUL",Data!$H:$H,"E15D",Data!$M:$M,96),0)-X93</f>
        <v>0</v>
      </c>
      <c r="Y91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125)+COUNTIFS(Data!$C:$C,$C88,Data!$P:$P,"VAL",Data!$E:$E,$E88,Data!$F:$F,$F88,Data!$I:$I,IF(ISBLANK($I88),"",$I88),Data!$J:$J,$J88,Data!$K:$K,$K88,Data!$R:$R,"",Data!$L:$L,IF(ISBLANK($P88),"",$P88),Data!$G:$G,"MAHEL",Data!$H:$H,"E15D",Data!$M:$M,125)+COUNTIFS(Data!$C:$C,$C88,Data!$P:$P,"VAL",Data!$E:$E,$E88,Data!$F:$F,$F88,Data!$I:$I,IF(ISBLANK($I88),"",$I88),Data!$J:$J,$J88,Data!$K:$K,$K88,Data!$R:$R,"",Data!$L:$L,IF(ISBLANK($P88),"",$P88),Data!$G:$G,"MAKUL",Data!$H:$H,"E15D",Data!$M:$M,125),0)-Y93</f>
        <v>0</v>
      </c>
      <c r="Z91" s="11"/>
      <c r="AA91" s="129"/>
      <c r="AB91" s="8"/>
    </row>
    <row r="92" spans="1:28" x14ac:dyDescent="0.3">
      <c r="A92" s="8"/>
      <c r="B92" s="8"/>
      <c r="C92" s="9"/>
      <c r="D92" s="9"/>
      <c r="E92" s="9"/>
      <c r="F92" s="9"/>
      <c r="G92" s="9"/>
      <c r="H92" s="9"/>
      <c r="I92" s="9"/>
      <c r="J92" s="9"/>
      <c r="K92" s="9"/>
      <c r="L92" s="10" t="s">
        <v>416</v>
      </c>
      <c r="M92" s="10"/>
      <c r="N92" s="10"/>
      <c r="O92" s="10"/>
      <c r="P92" s="9">
        <f>IF(COUNTIF(AA88:AA93,"*AS ORDERED*")&gt;0,SUM(Q92:Y92),IF(P90&gt;0,0,(-1)*P90))</f>
        <v>0</v>
      </c>
      <c r="Q92" s="11">
        <f t="shared" ref="Q92:Y92" si="46">IF(($P91+$P93)&gt;$P89,IF((Q91+Q93)-Q89&gt;0,(Q91+Q93)-Q89,0),0)</f>
        <v>0</v>
      </c>
      <c r="R92" s="11">
        <f t="shared" si="46"/>
        <v>0</v>
      </c>
      <c r="S92" s="11">
        <f t="shared" si="46"/>
        <v>0</v>
      </c>
      <c r="T92" s="11">
        <f t="shared" si="46"/>
        <v>0</v>
      </c>
      <c r="U92" s="11">
        <f t="shared" si="46"/>
        <v>0</v>
      </c>
      <c r="V92" s="11">
        <f t="shared" si="46"/>
        <v>0</v>
      </c>
      <c r="W92" s="11">
        <f t="shared" si="46"/>
        <v>0</v>
      </c>
      <c r="X92" s="11">
        <f t="shared" si="46"/>
        <v>0</v>
      </c>
      <c r="Y92" s="11">
        <f t="shared" si="46"/>
        <v>0</v>
      </c>
      <c r="Z92" s="11"/>
      <c r="AA92" s="129"/>
      <c r="AB92" s="8"/>
    </row>
    <row r="93" spans="1:28" ht="15" thickBot="1" x14ac:dyDescent="0.35">
      <c r="A93" s="8"/>
      <c r="B93" s="8"/>
      <c r="C93" s="9"/>
      <c r="D93" s="9"/>
      <c r="E93" s="9"/>
      <c r="F93" s="9"/>
      <c r="G93" s="9"/>
      <c r="H93" s="9"/>
      <c r="I93" s="9"/>
      <c r="J93" s="9"/>
      <c r="K93" s="9"/>
      <c r="L93" s="10" t="s">
        <v>417</v>
      </c>
      <c r="M93" s="10"/>
      <c r="N93" s="10"/>
      <c r="O93" s="10"/>
      <c r="P93" s="131">
        <f>SUM(Q93:Y93)</f>
        <v>1</v>
      </c>
      <c r="Q93" s="58">
        <f>IF(NOT(ISBLANK(Q88)),COUNTIFS(Data!$C:$C,$C88,Data!$P:$P,"VAL",Data!$E:$E,$E88,Data!$F:$F,$F88,Data!$I:$I,IF(ISBLANK($I88),"",$I88),Data!$J:$J,$J88,Data!$K:$K,$K88,Data!$R:$R,"",Data!$L:$L,IF(ISBLANK($P88),"",$P88),Data!$G:$G,"ZF",Data!$H:$H,"E15D",Data!$M:$M,45, Data!$Q:$Q,1)+COUNTIFS(Data!$C:$C,$C88,Data!$P:$P,"VAL",Data!$E:$E,$E88,Data!$F:$F,$F88,Data!$I:$I,IF(ISBLANK($I88),"",$I88),Data!$J:$J,$J88,Data!$K:$K,$K88,Data!$R:$R,"",Data!$L:$L,IF(ISBLANK($P88),"",$P88),Data!$G:$G,"MAHEL",Data!$H:$H,"E15D",Data!$M:$M,45, Data!$Q:$Q,1)+COUNTIFS(Data!$C:$C,$C88,Data!$P:$P,"VAL",Data!$E:$E,$E88,Data!$F:$F,$F88,Data!$I:$I,IF(ISBLANK($I88),"",$I88),Data!$J:$J,$J88,Data!$K:$K,$K88,Data!$R:$R,"",Data!$L:$L,IF(ISBLANK($P88),"",$P88),Data!$G:$G,"MAKUL",Data!$H:$H,"E15D",Data!$M:$M,45, Data!$Q:$Q,1),0)</f>
        <v>0</v>
      </c>
      <c r="R93" s="58">
        <f>IF(NOT(ISBLANK(R88)),COUNTIFS(Data!$C:$C,$C88,Data!$P:$P,"VAL",Data!$E:$E,$E88,Data!$F:$F,$F88,Data!$I:$I,IF(ISBLANK($I88),"",$I88),Data!$J:$J,$J88,Data!$K:$K,$K88,Data!$R:$R,"",Data!$L:$L,IF(ISBLANK($P88),"",$P88),Data!$G:$G,"ZF",Data!$H:$H,"E15D",Data!$M:$M,50, Data!$Q:$Q,1)+COUNTIFS(Data!$C:$C,$C88,Data!$P:$P,"VAL",Data!$E:$E,$E88,Data!$F:$F,$F88,Data!$I:$I,IF(ISBLANK($I88),"",$I88),Data!$J:$J,$J88,Data!$K:$K,$K88,Data!$R:$R,"",Data!$L:$L,IF(ISBLANK($P88),"",$P88),Data!$G:$G,"MAHEL",Data!$H:$H,"E15D",Data!$M:$M,50, Data!$Q:$Q,1)+COUNTIFS(Data!$C:$C,$C88,Data!$P:$P,"VAL",Data!$E:$E,$E88,Data!$F:$F,$F88,Data!$I:$I,IF(ISBLANK($I88),"",$I88),Data!$J:$J,$J88,Data!$K:$K,$K88,Data!$R:$R,"",Data!$L:$L,IF(ISBLANK($P88),"",$P88),Data!$G:$G,"MAKUL",Data!$H:$H,"E15D",Data!$M:$M,50, Data!$Q:$Q,1),0)</f>
        <v>1</v>
      </c>
      <c r="S93" s="58">
        <f>IF(NOT(ISBLANK(S88)),COUNTIFS(Data!$C:$C,$C88,Data!$P:$P,"VAL",Data!$E:$E,$E88,Data!$F:$F,$F88,Data!$I:$I,IF(ISBLANK($I88),"",$I88),Data!$J:$J,$J88,Data!$K:$K,$K88,Data!$R:$R,"",Data!$L:$L,IF(ISBLANK($P88),"",$P88),Data!$G:$G,"ZF",Data!$H:$H,"E15D",Data!$M:$M,55, Data!$Q:$Q,1)+COUNTIFS(Data!$C:$C,$C88,Data!$P:$P,"VAL",Data!$E:$E,$E88,Data!$F:$F,$F88,Data!$I:$I,IF(ISBLANK($I88),"",$I88),Data!$J:$J,$J88,Data!$K:$K,$K88,Data!$R:$R,"",Data!$L:$L,IF(ISBLANK($P88),"",$P88),Data!$G:$G,"MAHEL",Data!$H:$H,"E15D",Data!$M:$M,55, Data!$Q:$Q,1)+COUNTIFS(Data!$C:$C,$C88,Data!$P:$P,"VAL",Data!$E:$E,$E88,Data!$F:$F,$F88,Data!$I:$I,IF(ISBLANK($I88),"",$I88),Data!$J:$J,$J88,Data!$K:$K,$K88,Data!$R:$R,"",Data!$L:$L,IF(ISBLANK($P88),"",$P88),Data!$G:$G,"MAKUL",Data!$H:$H,"E15D",Data!$M:$M,55, Data!$Q:$Q,1),0)</f>
        <v>0</v>
      </c>
      <c r="T93" s="58">
        <f>IF(NOT(ISBLANK(T88)),COUNTIFS(Data!$C:$C,$C88,Data!$P:$P,"VAL",Data!$E:$E,$E88,Data!$F:$F,$F88,Data!$I:$I,IF(ISBLANK($I88),"",$I88),Data!$J:$J,$J88,Data!$K:$K,$K88,Data!$R:$R,"",Data!$L:$L,IF(ISBLANK($P88),"",$P88),Data!$G:$G,"ZF",Data!$H:$H,"E15D",Data!$M:$M,60, Data!$Q:$Q,1)+COUNTIFS(Data!$C:$C,$C88,Data!$P:$P,"VAL",Data!$E:$E,$E88,Data!$F:$F,$F88,Data!$I:$I,IF(ISBLANK($I88),"",$I88),Data!$J:$J,$J88,Data!$K:$K,$K88,Data!$R:$R,"",Data!$L:$L,IF(ISBLANK($P88),"",$P88),Data!$G:$G,"MAHEL",Data!$H:$H,"E15D",Data!$M:$M,60, Data!$Q:$Q,1)+COUNTIFS(Data!$C:$C,$C88,Data!$P:$P,"VAL",Data!$E:$E,$E88,Data!$F:$F,$F88,Data!$I:$I,IF(ISBLANK($I88),"",$I88),Data!$J:$J,$J88,Data!$K:$K,$K88,Data!$R:$R,"",Data!$L:$L,IF(ISBLANK($P88),"",$P88),Data!$G:$G,"MAKUL",Data!$H:$H,"E15D",Data!$M:$M,60, Data!$Q:$Q,1),0)</f>
        <v>0</v>
      </c>
      <c r="U93" s="58">
        <f>IF(NOT(ISBLANK(U88)),COUNTIFS(Data!$C:$C,$C88,Data!$P:$P,"VAL",Data!$E:$E,$E88,Data!$F:$F,$F88,Data!$I:$I,IF(ISBLANK($I88),"",$I88),Data!$J:$J,$J88,Data!$K:$K,$K88,Data!$R:$R,"",Data!$L:$L,IF(ISBLANK($P88),"",$P88),Data!$G:$G,"ZF",Data!$H:$H,"E15D",Data!$M:$M,65, Data!$Q:$Q,1)+COUNTIFS(Data!$C:$C,$C88,Data!$P:$P,"VAL",Data!$E:$E,$E88,Data!$F:$F,$F88,Data!$I:$I,IF(ISBLANK($I88),"",$I88),Data!$J:$J,$J88,Data!$K:$K,$K88,Data!$R:$R,"",Data!$L:$L,IF(ISBLANK($P88),"",$P88),Data!$G:$G,"MAHEL",Data!$H:$H,"E15D",Data!$M:$M,65, Data!$Q:$Q,1)+COUNTIFS(Data!$C:$C,$C88,Data!$P:$P,"VAL",Data!$E:$E,$E88,Data!$F:$F,$F88,Data!$I:$I,IF(ISBLANK($I88),"",$I88),Data!$J:$J,$J88,Data!$K:$K,$K88,Data!$R:$R,"",Data!$L:$L,IF(ISBLANK($P88),"",$P88),Data!$G:$G,"MAKUL",Data!$H:$H,"E15D",Data!$M:$M,65, Data!$Q:$Q,1),0)</f>
        <v>0</v>
      </c>
      <c r="V93" s="58">
        <f>IF(NOT(ISBLANK(V88)),COUNTIFS(Data!$C:$C,$C88,Data!$P:$P,"VAL",Data!$E:$E,$E88,Data!$F:$F,$F88,Data!$I:$I,IF(ISBLANK($I88),"",$I88),Data!$J:$J,$J88,Data!$K:$K,$K88,Data!$R:$R,"",Data!$L:$L,IF(ISBLANK($P88),"",$P88),Data!$G:$G,"ZF",Data!$H:$H,"E15D",Data!$M:$M,72, Data!$Q:$Q,1)+COUNTIFS(Data!$C:$C,$C88,Data!$P:$P,"VAL",Data!$E:$E,$E88,Data!$F:$F,$F88,Data!$I:$I,IF(ISBLANK($I88),"",$I88),Data!$J:$J,$J88,Data!$K:$K,$K88,Data!$R:$R,"",Data!$L:$L,IF(ISBLANK($P88),"",$P88),Data!$G:$G,"MAHEL",Data!$H:$H,"E15D",Data!$M:$M,72, Data!$Q:$Q,1)+COUNTIFS(Data!$C:$C,$C88,Data!$P:$P,"VAL",Data!$E:$E,$E88,Data!$F:$F,$F88,Data!$I:$I,IF(ISBLANK($I88),"",$I88),Data!$J:$J,$J88,Data!$K:$K,$K88,Data!$R:$R,"",Data!$L:$L,IF(ISBLANK($P88),"",$P88),Data!$G:$G,"MAKUL",Data!$H:$H,"E15D",Data!$M:$M,72, Data!$Q:$Q,1),0)</f>
        <v>0</v>
      </c>
      <c r="W93" s="58">
        <f>IF(NOT(ISBLANK(W88)),COUNTIFS(Data!$C:$C,$C88,Data!$P:$P,"VAL",Data!$E:$E,$E88,Data!$F:$F,$F88,Data!$I:$I,IF(ISBLANK($I88),"",$I88),Data!$J:$J,$J88,Data!$K:$K,$K88,Data!$R:$R,"",Data!$L:$L,IF(ISBLANK($P88),"",$P88),Data!$G:$G,"ZF",Data!$H:$H,"E15D",Data!$M:$M,90, Data!$Q:$Q,1)+COUNTIFS(Data!$C:$C,$C88,Data!$P:$P,"VAL",Data!$E:$E,$E88,Data!$F:$F,$F88,Data!$I:$I,IF(ISBLANK($I88),"",$I88),Data!$J:$J,$J88,Data!$K:$K,$K88,Data!$R:$R,"",Data!$L:$L,IF(ISBLANK($P88),"",$P88),Data!$G:$G,"MAHEL",Data!$H:$H,"E15D",Data!$M:$M,90, Data!$Q:$Q,1)+COUNTIFS(Data!$C:$C,$C88,Data!$P:$P,"VAL",Data!$E:$E,$E88,Data!$F:$F,$F88,Data!$I:$I,IF(ISBLANK($I88),"",$I88),Data!$J:$J,$J88,Data!$K:$K,$K88,Data!$R:$R,"",Data!$L:$L,IF(ISBLANK($P88),"",$P88),Data!$G:$G,"MAKUL",Data!$H:$H,"E15D",Data!$M:$M,90, Data!$Q:$Q,1),0)</f>
        <v>0</v>
      </c>
      <c r="X93" s="58">
        <f>IF(NOT(ISBLANK(X88)),COUNTIFS(Data!$C:$C,$C88,Data!$P:$P,"VAL",Data!$E:$E,$E88,Data!$F:$F,$F88,Data!$I:$I,IF(ISBLANK($I88),"",$I88),Data!$J:$J,$J88,Data!$K:$K,$K88,Data!$R:$R,"",Data!$L:$L,IF(ISBLANK($P88),"",$P88),Data!$G:$G,"ZF",Data!$H:$H,"E15D",Data!$M:$M,96, Data!$Q:$Q,1)+COUNTIFS(Data!$C:$C,$C88,Data!$P:$P,"VAL",Data!$E:$E,$E88,Data!$F:$F,$F88,Data!$I:$I,IF(ISBLANK($I88),"",$I88),Data!$J:$J,$J88,Data!$K:$K,$K88,Data!$R:$R,"",Data!$L:$L,IF(ISBLANK($P88),"",$P88),Data!$G:$G,"MAHEL",Data!$H:$H,"E15D",Data!$M:$M,96, Data!$Q:$Q,1)+COUNTIFS(Data!$C:$C,$C88,Data!$P:$P,"VAL",Data!$E:$E,$E88,Data!$F:$F,$F88,Data!$I:$I,IF(ISBLANK($I88),"",$I88),Data!$J:$J,$J88,Data!$K:$K,$K88,Data!$R:$R,"",Data!$L:$L,IF(ISBLANK($P88),"",$P88),Data!$G:$G,"MAKUL",Data!$H:$H,"E15D",Data!$M:$M,96, Data!$Q:$Q,1),0)</f>
        <v>0</v>
      </c>
      <c r="Y93" s="58">
        <f>IF(NOT(ISBLANK(Y88)),COUNTIFS(Data!$C:$C,$C88,Data!$P:$P,"VAL",Data!$E:$E,$E88,Data!$F:$F,$F88,Data!$I:$I,IF(ISBLANK($I88),"",$I88),Data!$J:$J,$J88,Data!$K:$K,$K88,Data!$R:$R,"",Data!$L:$L,IF(ISBLANK($P88),"",$P88),Data!$G:$G,"ZF",Data!$H:$H,"E15D",Data!$M:$M,125, Data!$Q:$Q,1)+COUNTIFS(Data!$C:$C,$C88,Data!$P:$P,"VAL",Data!$E:$E,$E88,Data!$F:$F,$F88,Data!$I:$I,IF(ISBLANK($I88),"",$I88),Data!$J:$J,$J88,Data!$K:$K,$K88,Data!$R:$R,"",Data!$L:$L,IF(ISBLANK($P88),"",$P88),Data!$G:$G,"MAHEL",Data!$H:$H,"E15D",Data!$M:$M,125, Data!$Q:$Q,1)+COUNTIFS(Data!$C:$C,$C88,Data!$P:$P,"VAL",Data!$E:$E,$E88,Data!$F:$F,$F88,Data!$I:$I,IF(ISBLANK($I88),"",$I88),Data!$J:$J,$J88,Data!$K:$K,$K88,Data!$R:$R,"",Data!$L:$L,IF(ISBLANK($P88),"",$P88),Data!$G:$G,"MAKUL",Data!$H:$H,"E15D",Data!$M:$M,125, Data!$Q:$Q,1),0)</f>
        <v>0</v>
      </c>
      <c r="Z93" s="11"/>
      <c r="AA93" s="11"/>
      <c r="AB93" s="8">
        <v>55</v>
      </c>
    </row>
    <row r="94" spans="1:28" ht="15.6" x14ac:dyDescent="0.3">
      <c r="A94" s="66"/>
      <c r="B94" s="108"/>
      <c r="C94" s="109" t="s">
        <v>396</v>
      </c>
      <c r="D94" s="64" t="s">
        <v>612</v>
      </c>
      <c r="E94" s="64" t="s">
        <v>397</v>
      </c>
      <c r="F94" s="64">
        <v>1</v>
      </c>
      <c r="G94" s="64" t="s">
        <v>390</v>
      </c>
      <c r="H94" s="64" t="s">
        <v>391</v>
      </c>
      <c r="I94" s="110" t="s">
        <v>886</v>
      </c>
      <c r="J94" s="64" t="s">
        <v>398</v>
      </c>
      <c r="K94" s="64" t="s">
        <v>397</v>
      </c>
      <c r="L94" s="64" t="s">
        <v>392</v>
      </c>
      <c r="M94" s="64" t="s">
        <v>399</v>
      </c>
      <c r="N94" s="64"/>
      <c r="O94" s="64">
        <f>+Z94/70</f>
        <v>33</v>
      </c>
      <c r="P94" s="64" t="s">
        <v>623</v>
      </c>
      <c r="Q94" s="65"/>
      <c r="R94" s="65"/>
      <c r="S94" s="65"/>
      <c r="T94" s="65">
        <f>16*70</f>
        <v>1120</v>
      </c>
      <c r="U94" s="65">
        <f>17*70</f>
        <v>1190</v>
      </c>
      <c r="V94" s="65"/>
      <c r="W94" s="65"/>
      <c r="X94" s="64"/>
      <c r="Y94" s="64"/>
      <c r="Z94" s="65">
        <f>SUM(Q94:X94)</f>
        <v>2310</v>
      </c>
      <c r="AA94" s="67" t="s">
        <v>634</v>
      </c>
      <c r="AB94" s="64"/>
    </row>
    <row r="95" spans="1:28" x14ac:dyDescent="0.3">
      <c r="A95" s="8"/>
      <c r="B95" s="8"/>
      <c r="C95" s="9"/>
      <c r="D95" s="9"/>
      <c r="E95" s="9"/>
      <c r="F95" s="9"/>
      <c r="G95" s="9"/>
      <c r="H95" s="9"/>
      <c r="I95" s="9"/>
      <c r="J95" s="9"/>
      <c r="K95" s="9"/>
      <c r="L95" s="10" t="s">
        <v>413</v>
      </c>
      <c r="M95" s="10"/>
      <c r="N95" s="10"/>
      <c r="O95" s="10"/>
      <c r="P95" s="9">
        <f>SUM(Q95:Y95)</f>
        <v>33</v>
      </c>
      <c r="Q95" s="11">
        <f t="shared" ref="Q95:Y95" si="47">IFERROR(Q94/70,0)</f>
        <v>0</v>
      </c>
      <c r="R95" s="11">
        <f t="shared" si="47"/>
        <v>0</v>
      </c>
      <c r="S95" s="11">
        <f t="shared" si="47"/>
        <v>0</v>
      </c>
      <c r="T95" s="11">
        <f t="shared" si="47"/>
        <v>16</v>
      </c>
      <c r="U95" s="11">
        <f t="shared" si="47"/>
        <v>17</v>
      </c>
      <c r="V95" s="11">
        <f t="shared" si="47"/>
        <v>0</v>
      </c>
      <c r="W95" s="11">
        <f t="shared" si="47"/>
        <v>0</v>
      </c>
      <c r="X95" s="11">
        <f t="shared" si="47"/>
        <v>0</v>
      </c>
      <c r="Y95" s="11">
        <f t="shared" si="47"/>
        <v>0</v>
      </c>
      <c r="Z95" s="11"/>
      <c r="AA95" s="129"/>
      <c r="AB95" s="8"/>
    </row>
    <row r="96" spans="1:28" x14ac:dyDescent="0.3">
      <c r="A96" s="8"/>
      <c r="B96" s="8"/>
      <c r="C96" s="9"/>
      <c r="D96" s="9"/>
      <c r="E96" s="9"/>
      <c r="F96" s="9"/>
      <c r="G96" s="9"/>
      <c r="H96" s="9"/>
      <c r="I96" s="9"/>
      <c r="J96" s="9"/>
      <c r="K96" s="9"/>
      <c r="L96" s="10" t="s">
        <v>414</v>
      </c>
      <c r="M96" s="10"/>
      <c r="N96" s="10"/>
      <c r="O96" s="10"/>
      <c r="P96" s="9">
        <f>SUM(Q96:Y96)</f>
        <v>0</v>
      </c>
      <c r="Q96" s="11">
        <f t="shared" ref="Q96:Y96" si="48">IFERROR(Q95-(Q97+Q99),0)</f>
        <v>0</v>
      </c>
      <c r="R96" s="11">
        <f t="shared" si="48"/>
        <v>0</v>
      </c>
      <c r="S96" s="11">
        <f t="shared" si="48"/>
        <v>0</v>
      </c>
      <c r="T96" s="11">
        <f t="shared" si="48"/>
        <v>1</v>
      </c>
      <c r="U96" s="11">
        <f t="shared" si="48"/>
        <v>-1</v>
      </c>
      <c r="V96" s="11">
        <f t="shared" si="48"/>
        <v>0</v>
      </c>
      <c r="W96" s="11">
        <f t="shared" si="48"/>
        <v>0</v>
      </c>
      <c r="X96" s="11">
        <f t="shared" si="48"/>
        <v>0</v>
      </c>
      <c r="Y96" s="11">
        <f t="shared" si="48"/>
        <v>0</v>
      </c>
      <c r="Z96" s="11"/>
      <c r="AA96" s="129"/>
      <c r="AB96" s="8"/>
    </row>
    <row r="97" spans="1:28" x14ac:dyDescent="0.3">
      <c r="A97" s="8"/>
      <c r="B97" s="8"/>
      <c r="C97" s="9"/>
      <c r="D97" s="9"/>
      <c r="E97" s="9"/>
      <c r="F97" s="9"/>
      <c r="G97" s="9"/>
      <c r="H97" s="9"/>
      <c r="I97" s="9"/>
      <c r="J97" s="9"/>
      <c r="K97" s="9"/>
      <c r="L97" s="10" t="s">
        <v>415</v>
      </c>
      <c r="M97" s="10"/>
      <c r="N97" s="10"/>
      <c r="O97" s="10"/>
      <c r="P97" s="131">
        <f>SUM(Q97:Y97)</f>
        <v>33</v>
      </c>
      <c r="Q97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IF(NOT(ISBLANK(Q94)),COUNTIFS(Data!$C:$C,$C94,Data!$P:$P,"VAL",Data!$E:$E,$E94,Data!$F:$F,$F94,Data!$I:$I,IF(ISBLANK($I94),"",$I94),Data!$J:$J,$J94,Data!$K:$K,$K94,Data!$R:$R,"",Data!$L:$L,IF(ISBLANK($P94),"",$P94),Data!$G:$G,"ZF",Data!$H:$H,"A15C",Data!$M:$M,36),0)-Q99</f>
        <v>0</v>
      </c>
      <c r="R97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IF(NOT(ISBLANK(R94)),COUNTIFS(Data!$C:$C,$C94,Data!$P:$P,"VAL",Data!$E:$E,$E94,Data!$F:$F,$F94,Data!$I:$I,IF(ISBLANK($I94),"",$I94),Data!$J:$J,$J94,Data!$K:$K,$K94,Data!$R:$R,"",Data!$L:$L,IF(ISBLANK($P94),"",$P94),Data!$G:$G,"ZF",Data!$H:$H,"A15C",Data!$M:$M,40),0)-R99</f>
        <v>0</v>
      </c>
      <c r="S97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IF(NOT(ISBLANK(S94)),COUNTIFS(Data!$C:$C,$C94,Data!$P:$P,"VAL",Data!$E:$E,$E94,Data!$F:$F,$F94,Data!$I:$I,IF(ISBLANK($I94),"",$I94),Data!$J:$J,$J94,Data!$K:$K,$K94,Data!$R:$R,"",Data!$L:$L,IF(ISBLANK($P94),"",$P94),Data!$G:$G,"ZF",Data!$H:$H,"A15C",Data!$M:$M,48),0)-S99</f>
        <v>0</v>
      </c>
      <c r="T97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IF(NOT(ISBLANK(T94)),COUNTIFS(Data!$C:$C,$C94,Data!$P:$P,"VAL",Data!$E:$E,$E94,Data!$F:$F,$F94,Data!$I:$I,IF(ISBLANK($I94),"",$I94),Data!$J:$J,$J94,Data!$K:$K,$K94,Data!$R:$R,"",Data!$L:$L,IF(ISBLANK($P94),"",$P94),Data!$G:$G,"ZF",Data!$H:$H,"A15C",Data!$M:$M,56),0)-T99</f>
        <v>15</v>
      </c>
      <c r="U97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IF(NOT(ISBLANK(U94)),COUNTIFS(Data!$C:$C,$C94,Data!$P:$P,"VAL",Data!$E:$E,$E94,Data!$F:$F,$F94,Data!$I:$I,IF(ISBLANK($I94),"",$I94),Data!$J:$J,$J94,Data!$K:$K,$K94,Data!$R:$R,"",Data!$L:$L,IF(ISBLANK($P94),"",$P94),Data!$G:$G,"ZF",Data!$H:$H,"A15C",Data!$M:$M,64),0)-U99</f>
        <v>18</v>
      </c>
      <c r="V97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IF(NOT(ISBLANK(V94)),COUNTIFS(Data!$C:$C,$C94,Data!$P:$P,"VAL",Data!$E:$E,$E94,Data!$F:$F,$F94,Data!$I:$I,IF(ISBLANK($I94),"",$I94),Data!$J:$J,$J94,Data!$K:$K,$K94,Data!$R:$R,"",Data!$L:$L,IF(ISBLANK($P94),"",$P94),Data!$G:$G,"ZF",Data!$H:$H,"A15C",Data!$M:$M,72),0)-V99</f>
        <v>0</v>
      </c>
      <c r="W97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IF(NOT(ISBLANK(W94)),COUNTIFS(Data!$C:$C,$C94,Data!$P:$P,"VAL",Data!$E:$E,$E94,Data!$F:$F,$F94,Data!$I:$I,IF(ISBLANK($I94),"",$I94),Data!$J:$J,$J94,Data!$K:$K,$K94,Data!$R:$R,"",Data!$L:$L,IF(ISBLANK($P94),"",$P94),Data!$G:$G,"ZF",Data!$H:$H,"A15C",Data!$M:$M,88),0)-W99</f>
        <v>0</v>
      </c>
      <c r="X97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IF(NOT(ISBLANK(X94)),COUNTIFS(Data!$C:$C,$C94,Data!$P:$P,"VAL",Data!$E:$E,$E94,Data!$F:$F,$F94,Data!$I:$I,IF(ISBLANK($I94),"",$I94),Data!$J:$J,$J94,Data!$K:$K,$K94,Data!$R:$R,"",Data!$L:$L,IF(ISBLANK($P94),"",$P94),Data!$G:$G,"ZF",Data!$H:$H,"A15C",Data!$M:$M,105),0)-X99</f>
        <v>0</v>
      </c>
      <c r="Y97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IF(NOT(ISBLANK(Y94)),COUNTIFS(Data!$C:$C,$C94,Data!$P:$P,"VAL",Data!$E:$E,$E94,Data!$F:$F,$F94,Data!$I:$I,IF(ISBLANK($I94),"",$I94),Data!$J:$J,$J94,Data!$K:$K,$K94,Data!$R:$R,"",Data!$L:$L,IF(ISBLANK($P94),"",$P94),Data!$G:$G,"ZF",Data!$H:$H,"A15C",Data!$M:$M,125),0)-Y99</f>
        <v>0</v>
      </c>
      <c r="Z97" s="11"/>
      <c r="AA97" s="129"/>
      <c r="AB97" s="8"/>
    </row>
    <row r="98" spans="1:28" x14ac:dyDescent="0.3">
      <c r="A98" s="8"/>
      <c r="B98" s="8"/>
      <c r="C98" s="9"/>
      <c r="D98" s="9"/>
      <c r="E98" s="9"/>
      <c r="F98" s="9"/>
      <c r="G98" s="9"/>
      <c r="H98" s="9"/>
      <c r="I98" s="9"/>
      <c r="J98" s="9"/>
      <c r="K98" s="9"/>
      <c r="L98" s="10" t="s">
        <v>416</v>
      </c>
      <c r="M98" s="10"/>
      <c r="N98" s="10"/>
      <c r="O98" s="10"/>
      <c r="P98" s="9">
        <f>IF(COUNTIF(AA94:AA99,"*AS ORDERED*")&gt;0,SUM(Q98:Y98),IF(P96&gt;0,0,(-1)*P96))</f>
        <v>0</v>
      </c>
      <c r="Q98" s="11">
        <f t="shared" ref="Q98:Y98" si="49">IF(($P97+$P99)&gt;$P95,IF((Q97+Q99)-Q95&gt;0,(Q97+Q99)-Q95,0),0)</f>
        <v>0</v>
      </c>
      <c r="R98" s="11">
        <f t="shared" si="49"/>
        <v>0</v>
      </c>
      <c r="S98" s="11">
        <f t="shared" si="49"/>
        <v>0</v>
      </c>
      <c r="T98" s="11">
        <f t="shared" si="49"/>
        <v>0</v>
      </c>
      <c r="U98" s="11">
        <f t="shared" si="49"/>
        <v>0</v>
      </c>
      <c r="V98" s="11">
        <f t="shared" si="49"/>
        <v>0</v>
      </c>
      <c r="W98" s="11">
        <f t="shared" si="49"/>
        <v>0</v>
      </c>
      <c r="X98" s="11">
        <f t="shared" si="49"/>
        <v>0</v>
      </c>
      <c r="Y98" s="11">
        <f t="shared" si="49"/>
        <v>0</v>
      </c>
      <c r="Z98" s="11"/>
      <c r="AA98" s="129"/>
      <c r="AB98" s="8"/>
    </row>
    <row r="99" spans="1:28" ht="15" thickBot="1" x14ac:dyDescent="0.35">
      <c r="A99" s="8"/>
      <c r="B99" s="8"/>
      <c r="C99" s="9"/>
      <c r="D99" s="9"/>
      <c r="E99" s="9"/>
      <c r="F99" s="9"/>
      <c r="G99" s="9"/>
      <c r="H99" s="9"/>
      <c r="I99" s="9"/>
      <c r="J99" s="9"/>
      <c r="K99" s="9"/>
      <c r="L99" s="10" t="s">
        <v>417</v>
      </c>
      <c r="M99" s="10"/>
      <c r="N99" s="10"/>
      <c r="O99" s="10"/>
      <c r="P99" s="131">
        <f>SUM(Q99:Y99)</f>
        <v>0</v>
      </c>
      <c r="Q99" s="58">
        <f>IF(NOT(ISBLANK(Q94)),COUNTIFS(Data!$C:$C,$C94,Data!$P:$P,"VAL",Data!$E:$E,$E94,Data!$F:$F,$F94,Data!$I:$I,IF(ISBLANK($I94),"",$I94),Data!$J:$J,$J94,Data!$K:$K,$K94,Data!$R:$R,"",Data!$L:$L,IF(ISBLANK($P94),"",$P94),Data!$G:$G,"ZF",Data!$H:$H,"A15C",Data!$M:$M,36, Data!$Q:$Q,1),0)</f>
        <v>0</v>
      </c>
      <c r="R99" s="58">
        <f>IF(NOT(ISBLANK(R94)),COUNTIFS(Data!$C:$C,$C94,Data!$P:$P,"VAL",Data!$E:$E,$E94,Data!$F:$F,$F94,Data!$I:$I,IF(ISBLANK($I94),"",$I94),Data!$J:$J,$J94,Data!$K:$K,$K94,Data!$R:$R,"",Data!$L:$L,IF(ISBLANK($P94),"",$P94),Data!$G:$G,"ZF",Data!$H:$H,"A15C",Data!$M:$M,40, Data!$Q:$Q,1),0)</f>
        <v>0</v>
      </c>
      <c r="S99" s="58">
        <f>IF(NOT(ISBLANK(S94)),COUNTIFS(Data!$C:$C,$C94,Data!$P:$P,"VAL",Data!$E:$E,$E94,Data!$F:$F,$F94,Data!$I:$I,IF(ISBLANK($I94),"",$I94),Data!$J:$J,$J94,Data!$K:$K,$K94,Data!$R:$R,"",Data!$L:$L,IF(ISBLANK($P94),"",$P94),Data!$G:$G,"ZF",Data!$H:$H,"A15C",Data!$M:$M,48, Data!$Q:$Q,1),0)</f>
        <v>0</v>
      </c>
      <c r="T99" s="58">
        <f>IF(NOT(ISBLANK(T94)),COUNTIFS(Data!$C:$C,$C94,Data!$P:$P,"VAL",Data!$E:$E,$E94,Data!$F:$F,$F94,Data!$I:$I,IF(ISBLANK($I94),"",$I94),Data!$J:$J,$J94,Data!$K:$K,$K94,Data!$R:$R,"",Data!$L:$L,IF(ISBLANK($P94),"",$P94),Data!$G:$G,"ZF",Data!$H:$H,"A15C",Data!$M:$M,56, Data!$Q:$Q,1),0)</f>
        <v>0</v>
      </c>
      <c r="U99" s="58">
        <f>IF(NOT(ISBLANK(U94)),COUNTIFS(Data!$C:$C,$C94,Data!$P:$P,"VAL",Data!$E:$E,$E94,Data!$F:$F,$F94,Data!$I:$I,IF(ISBLANK($I94),"",$I94),Data!$J:$J,$J94,Data!$K:$K,$K94,Data!$R:$R,"",Data!$L:$L,IF(ISBLANK($P94),"",$P94),Data!$G:$G,"ZF",Data!$H:$H,"A15C",Data!$M:$M,64, Data!$Q:$Q,1),0)</f>
        <v>0</v>
      </c>
      <c r="V99" s="58">
        <f>IF(NOT(ISBLANK(V94)),COUNTIFS(Data!$C:$C,$C94,Data!$P:$P,"VAL",Data!$E:$E,$E94,Data!$F:$F,$F94,Data!$I:$I,IF(ISBLANK($I94),"",$I94),Data!$J:$J,$J94,Data!$K:$K,$K94,Data!$R:$R,"",Data!$L:$L,IF(ISBLANK($P94),"",$P94),Data!$G:$G,"ZF",Data!$H:$H,"A15C",Data!$M:$M,72, Data!$Q:$Q,1),0)</f>
        <v>0</v>
      </c>
      <c r="W99" s="58">
        <f>IF(NOT(ISBLANK(W94)),COUNTIFS(Data!$C:$C,$C94,Data!$P:$P,"VAL",Data!$E:$E,$E94,Data!$F:$F,$F94,Data!$I:$I,IF(ISBLANK($I94),"",$I94),Data!$J:$J,$J94,Data!$K:$K,$K94,Data!$R:$R,"",Data!$L:$L,IF(ISBLANK($P94),"",$P94),Data!$G:$G,"ZF",Data!$H:$H,"A15C",Data!$M:$M,88, Data!$Q:$Q,1),0)</f>
        <v>0</v>
      </c>
      <c r="X99" s="58">
        <f>IF(NOT(ISBLANK(X94)),COUNTIFS(Data!$C:$C,$C94,Data!$P:$P,"VAL",Data!$E:$E,$E94,Data!$F:$F,$F94,Data!$I:$I,IF(ISBLANK($I94),"",$I94),Data!$J:$J,$J94,Data!$K:$K,$K94,Data!$R:$R,"",Data!$L:$L,IF(ISBLANK($P94),"",$P94),Data!$G:$G,"ZF",Data!$H:$H,"A15C",Data!$M:$M,105, Data!$Q:$Q,1),0)</f>
        <v>0</v>
      </c>
      <c r="Y99" s="58">
        <f>IF(NOT(ISBLANK(Y94)),COUNTIFS(Data!$C:$C,$C94,Data!$P:$P,"VAL",Data!$E:$E,$E94,Data!$F:$F,$F94,Data!$I:$I,IF(ISBLANK($I94),"",$I94),Data!$J:$J,$J94,Data!$K:$K,$K94,Data!$R:$R,"",Data!$L:$L,IF(ISBLANK($P94),"",$P94),Data!$G:$G,"ZF",Data!$H:$H,"A15C",Data!$M:$M,125, Data!$Q:$Q,1),0)</f>
        <v>0</v>
      </c>
      <c r="Z99" s="11"/>
      <c r="AA99" s="11"/>
      <c r="AB99" s="8">
        <v>70</v>
      </c>
    </row>
    <row r="100" spans="1:28" ht="15.6" x14ac:dyDescent="0.3">
      <c r="A100" s="66"/>
      <c r="B100" s="108"/>
      <c r="C100" s="64" t="s">
        <v>396</v>
      </c>
      <c r="D100" s="64" t="s">
        <v>612</v>
      </c>
      <c r="E100" s="64" t="s">
        <v>397</v>
      </c>
      <c r="F100" s="64">
        <v>1</v>
      </c>
      <c r="G100" s="64" t="s">
        <v>390</v>
      </c>
      <c r="H100" s="64" t="s">
        <v>391</v>
      </c>
      <c r="I100" s="110" t="s">
        <v>988</v>
      </c>
      <c r="J100" s="64" t="s">
        <v>398</v>
      </c>
      <c r="K100" s="64" t="s">
        <v>397</v>
      </c>
      <c r="L100" s="64" t="s">
        <v>392</v>
      </c>
      <c r="M100" s="64" t="s">
        <v>399</v>
      </c>
      <c r="N100" s="64"/>
      <c r="O100" s="64">
        <f>+Z100/70</f>
        <v>80</v>
      </c>
      <c r="P100" s="64" t="s">
        <v>990</v>
      </c>
      <c r="Q100" s="68"/>
      <c r="R100" s="65"/>
      <c r="S100" s="65">
        <f>26*70</f>
        <v>1820</v>
      </c>
      <c r="T100" s="65">
        <f t="shared" ref="T100:U100" si="50">27*70</f>
        <v>1890</v>
      </c>
      <c r="U100" s="65">
        <f t="shared" si="50"/>
        <v>1890</v>
      </c>
      <c r="V100" s="65"/>
      <c r="W100" s="65"/>
      <c r="X100" s="65"/>
      <c r="Y100" s="66"/>
      <c r="Z100" s="65">
        <f>SUM(Q100:X100)</f>
        <v>5600</v>
      </c>
      <c r="AA100" s="67" t="s">
        <v>995</v>
      </c>
      <c r="AB100" s="64"/>
    </row>
    <row r="101" spans="1:28" x14ac:dyDescent="0.3">
      <c r="A101" s="8"/>
      <c r="B101" s="8"/>
      <c r="C101" s="9"/>
      <c r="D101" s="9"/>
      <c r="E101" s="9"/>
      <c r="F101" s="9"/>
      <c r="G101" s="9"/>
      <c r="H101" s="9"/>
      <c r="I101" s="9"/>
      <c r="J101" s="9"/>
      <c r="K101" s="9"/>
      <c r="L101" s="10" t="s">
        <v>413</v>
      </c>
      <c r="M101" s="10"/>
      <c r="N101" s="10"/>
      <c r="O101" s="10"/>
      <c r="P101" s="9">
        <f>SUM(Q101:Y101)</f>
        <v>80</v>
      </c>
      <c r="Q101" s="11">
        <f t="shared" ref="Q101:Y101" si="51">IFERROR(Q100/70,0)</f>
        <v>0</v>
      </c>
      <c r="R101" s="11">
        <f t="shared" si="51"/>
        <v>0</v>
      </c>
      <c r="S101" s="11">
        <f t="shared" si="51"/>
        <v>26</v>
      </c>
      <c r="T101" s="11">
        <f t="shared" si="51"/>
        <v>27</v>
      </c>
      <c r="U101" s="11">
        <f t="shared" si="51"/>
        <v>27</v>
      </c>
      <c r="V101" s="11">
        <f t="shared" si="51"/>
        <v>0</v>
      </c>
      <c r="W101" s="11">
        <f t="shared" si="51"/>
        <v>0</v>
      </c>
      <c r="X101" s="11">
        <f t="shared" si="51"/>
        <v>0</v>
      </c>
      <c r="Y101" s="11">
        <f t="shared" si="51"/>
        <v>0</v>
      </c>
      <c r="Z101" s="11"/>
      <c r="AA101" s="129"/>
      <c r="AB101" s="8"/>
    </row>
    <row r="102" spans="1:28" x14ac:dyDescent="0.3">
      <c r="A102" s="8"/>
      <c r="B102" s="8"/>
      <c r="C102" s="9"/>
      <c r="D102" s="9"/>
      <c r="E102" s="9"/>
      <c r="F102" s="9"/>
      <c r="G102" s="9"/>
      <c r="H102" s="9"/>
      <c r="I102" s="9"/>
      <c r="J102" s="9"/>
      <c r="K102" s="9"/>
      <c r="L102" s="10" t="s">
        <v>414</v>
      </c>
      <c r="M102" s="10"/>
      <c r="N102" s="10"/>
      <c r="O102" s="10"/>
      <c r="P102" s="9">
        <f>SUM(Q102:Y102)</f>
        <v>80</v>
      </c>
      <c r="Q102" s="11">
        <f t="shared" ref="Q102:Y102" si="52">IFERROR(Q101-(Q103+Q105),0)</f>
        <v>0</v>
      </c>
      <c r="R102" s="11">
        <f t="shared" si="52"/>
        <v>0</v>
      </c>
      <c r="S102" s="11">
        <f t="shared" si="52"/>
        <v>26</v>
      </c>
      <c r="T102" s="11">
        <f t="shared" si="52"/>
        <v>27</v>
      </c>
      <c r="U102" s="11">
        <f t="shared" si="52"/>
        <v>27</v>
      </c>
      <c r="V102" s="11">
        <f t="shared" si="52"/>
        <v>0</v>
      </c>
      <c r="W102" s="11">
        <f t="shared" si="52"/>
        <v>0</v>
      </c>
      <c r="X102" s="11">
        <f t="shared" si="52"/>
        <v>0</v>
      </c>
      <c r="Y102" s="11">
        <f t="shared" si="52"/>
        <v>0</v>
      </c>
      <c r="Z102" s="11"/>
      <c r="AA102" s="11"/>
      <c r="AB102" s="8"/>
    </row>
    <row r="103" spans="1:28" x14ac:dyDescent="0.3">
      <c r="A103" s="8"/>
      <c r="B103" s="8"/>
      <c r="C103" s="9"/>
      <c r="D103" s="9"/>
      <c r="E103" s="9"/>
      <c r="F103" s="9"/>
      <c r="G103" s="9"/>
      <c r="H103" s="9"/>
      <c r="I103" s="9"/>
      <c r="J103" s="9"/>
      <c r="K103" s="9"/>
      <c r="L103" s="10" t="s">
        <v>415</v>
      </c>
      <c r="M103" s="10"/>
      <c r="N103" s="10"/>
      <c r="O103" s="10"/>
      <c r="P103" s="131">
        <f>SUM(Q103:Y103)</f>
        <v>0</v>
      </c>
      <c r="Q103" s="58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36),0)-Q105</f>
        <v>0</v>
      </c>
      <c r="R103" s="58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40),0)-R105</f>
        <v>0</v>
      </c>
      <c r="S103" s="58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48),0)-S105</f>
        <v>0</v>
      </c>
      <c r="T103" s="58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56),0)-T105</f>
        <v>0</v>
      </c>
      <c r="U103" s="58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64),0)-U105</f>
        <v>0</v>
      </c>
      <c r="V103" s="58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72),0)-V105</f>
        <v>0</v>
      </c>
      <c r="W103" s="58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88),0)-W105</f>
        <v>0</v>
      </c>
      <c r="X103" s="58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105),0)-X105</f>
        <v>0</v>
      </c>
      <c r="Y103" s="58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125),0)-Y105</f>
        <v>0</v>
      </c>
      <c r="Z103" s="11"/>
      <c r="AA103" s="11"/>
      <c r="AB103" s="8"/>
    </row>
    <row r="104" spans="1:28" x14ac:dyDescent="0.3">
      <c r="A104" s="8"/>
      <c r="B104" s="8"/>
      <c r="C104" s="9"/>
      <c r="D104" s="9"/>
      <c r="E104" s="9"/>
      <c r="F104" s="9"/>
      <c r="G104" s="9"/>
      <c r="H104" s="9"/>
      <c r="I104" s="9"/>
      <c r="J104" s="9"/>
      <c r="K104" s="9"/>
      <c r="L104" s="10" t="s">
        <v>416</v>
      </c>
      <c r="M104" s="10"/>
      <c r="N104" s="10"/>
      <c r="O104" s="10"/>
      <c r="P104" s="9">
        <f>IF(COUNTIF(AA100:AA105,"*AS ORDERED*")&gt;0,SUM(Q104:Y104),IF(P102&gt;0,0,(-1)*P102))</f>
        <v>0</v>
      </c>
      <c r="Q104" s="11">
        <f t="shared" ref="Q104:Y104" si="53">IF(($P103+$P105)&gt;$P101,IF((Q103+Q105)-Q101&gt;0,(Q103+Q105)-Q101,0),0)</f>
        <v>0</v>
      </c>
      <c r="R104" s="11">
        <f t="shared" si="53"/>
        <v>0</v>
      </c>
      <c r="S104" s="11">
        <f t="shared" si="53"/>
        <v>0</v>
      </c>
      <c r="T104" s="11">
        <f t="shared" si="53"/>
        <v>0</v>
      </c>
      <c r="U104" s="11">
        <f t="shared" si="53"/>
        <v>0</v>
      </c>
      <c r="V104" s="11">
        <f t="shared" si="53"/>
        <v>0</v>
      </c>
      <c r="W104" s="11">
        <f t="shared" si="53"/>
        <v>0</v>
      </c>
      <c r="X104" s="11">
        <f t="shared" si="53"/>
        <v>0</v>
      </c>
      <c r="Y104" s="11">
        <f t="shared" si="53"/>
        <v>0</v>
      </c>
      <c r="Z104" s="11"/>
      <c r="AA104" s="11"/>
      <c r="AB104" s="8"/>
    </row>
    <row r="105" spans="1:28" ht="15" thickBot="1" x14ac:dyDescent="0.35">
      <c r="A105" s="26"/>
      <c r="B105" s="26"/>
      <c r="C105" s="27"/>
      <c r="D105" s="27"/>
      <c r="E105" s="27"/>
      <c r="F105" s="27"/>
      <c r="G105" s="27"/>
      <c r="H105" s="27"/>
      <c r="I105" s="27"/>
      <c r="J105" s="27"/>
      <c r="K105" s="27"/>
      <c r="L105" s="28" t="s">
        <v>417</v>
      </c>
      <c r="M105" s="28"/>
      <c r="N105" s="28"/>
      <c r="O105" s="28"/>
      <c r="P105" s="132">
        <f>SUM(Q105:Y105)</f>
        <v>0</v>
      </c>
      <c r="Q105" s="59">
        <f>IF(NOT(ISBLANK(Q100)),COUNTIFS(Data!$C:$C,$C100,Data!$P:$P,"VAL",Data!$E:$E,$E100,Data!$F:$F,$F100,Data!$I:$I,IF(ISBLANK($I100),"",$I100),Data!$J:$J,$J100,Data!$K:$K,$K100,Data!$R:$R,"",Data!$L:$L,IF(ISBLANK($P100),"",$P100),Data!$G:$G,"ZF",Data!$H:$H,"A15C",Data!$M:$M,36, Data!$Q:$Q,1),0)</f>
        <v>0</v>
      </c>
      <c r="R105" s="59">
        <f>IF(NOT(ISBLANK(R100)),COUNTIFS(Data!$C:$C,$C100,Data!$P:$P,"VAL",Data!$E:$E,$E100,Data!$F:$F,$F100,Data!$I:$I,IF(ISBLANK($I100),"",$I100),Data!$J:$J,$J100,Data!$K:$K,$K100,Data!$R:$R,"",Data!$L:$L,IF(ISBLANK($P100),"",$P100),Data!$G:$G,"ZF",Data!$H:$H,"A15C",Data!$M:$M,40, Data!$Q:$Q,1),0)</f>
        <v>0</v>
      </c>
      <c r="S105" s="59">
        <f>IF(NOT(ISBLANK(S100)),COUNTIFS(Data!$C:$C,$C100,Data!$P:$P,"VAL",Data!$E:$E,$E100,Data!$F:$F,$F100,Data!$I:$I,IF(ISBLANK($I100),"",$I100),Data!$J:$J,$J100,Data!$K:$K,$K100,Data!$R:$R,"",Data!$L:$L,IF(ISBLANK($P100),"",$P100),Data!$G:$G,"ZF",Data!$H:$H,"A15C",Data!$M:$M,48, Data!$Q:$Q,1),0)</f>
        <v>0</v>
      </c>
      <c r="T105" s="59">
        <f>IF(NOT(ISBLANK(T100)),COUNTIFS(Data!$C:$C,$C100,Data!$P:$P,"VAL",Data!$E:$E,$E100,Data!$F:$F,$F100,Data!$I:$I,IF(ISBLANK($I100),"",$I100),Data!$J:$J,$J100,Data!$K:$K,$K100,Data!$R:$R,"",Data!$L:$L,IF(ISBLANK($P100),"",$P100),Data!$G:$G,"ZF",Data!$H:$H,"A15C",Data!$M:$M,56, Data!$Q:$Q,1),0)</f>
        <v>0</v>
      </c>
      <c r="U105" s="59">
        <f>IF(NOT(ISBLANK(U100)),COUNTIFS(Data!$C:$C,$C100,Data!$P:$P,"VAL",Data!$E:$E,$E100,Data!$F:$F,$F100,Data!$I:$I,IF(ISBLANK($I100),"",$I100),Data!$J:$J,$J100,Data!$K:$K,$K100,Data!$R:$R,"",Data!$L:$L,IF(ISBLANK($P100),"",$P100),Data!$G:$G,"ZF",Data!$H:$H,"A15C",Data!$M:$M,64, Data!$Q:$Q,1),0)</f>
        <v>0</v>
      </c>
      <c r="V105" s="59">
        <f>IF(NOT(ISBLANK(V100)),COUNTIFS(Data!$C:$C,$C100,Data!$P:$P,"VAL",Data!$E:$E,$E100,Data!$F:$F,$F100,Data!$I:$I,IF(ISBLANK($I100),"",$I100),Data!$J:$J,$J100,Data!$K:$K,$K100,Data!$R:$R,"",Data!$L:$L,IF(ISBLANK($P100),"",$P100),Data!$G:$G,"ZF",Data!$H:$H,"A15C",Data!$M:$M,72, Data!$Q:$Q,1),0)</f>
        <v>0</v>
      </c>
      <c r="W105" s="59">
        <f>IF(NOT(ISBLANK(W100)),COUNTIFS(Data!$C:$C,$C100,Data!$P:$P,"VAL",Data!$E:$E,$E100,Data!$F:$F,$F100,Data!$I:$I,IF(ISBLANK($I100),"",$I100),Data!$J:$J,$J100,Data!$K:$K,$K100,Data!$R:$R,"",Data!$L:$L,IF(ISBLANK($P100),"",$P100),Data!$G:$G,"ZF",Data!$H:$H,"A15C",Data!$M:$M,88, Data!$Q:$Q,1),0)</f>
        <v>0</v>
      </c>
      <c r="X105" s="59">
        <f>IF(NOT(ISBLANK(X100)),COUNTIFS(Data!$C:$C,$C100,Data!$P:$P,"VAL",Data!$E:$E,$E100,Data!$F:$F,$F100,Data!$I:$I,IF(ISBLANK($I100),"",$I100),Data!$J:$J,$J100,Data!$K:$K,$K100,Data!$R:$R,"",Data!$L:$L,IF(ISBLANK($P100),"",$P100),Data!$G:$G,"ZF",Data!$H:$H,"A15C",Data!$M:$M,105, Data!$Q:$Q,1),0)</f>
        <v>0</v>
      </c>
      <c r="Y105" s="59">
        <f>IF(NOT(ISBLANK(Y100)),COUNTIFS(Data!$C:$C,$C100,Data!$P:$P,"VAL",Data!$E:$E,$E100,Data!$F:$F,$F100,Data!$I:$I,IF(ISBLANK($I100),"",$I100),Data!$J:$J,$J100,Data!$K:$K,$K100,Data!$R:$R,"",Data!$L:$L,IF(ISBLANK($P100),"",$P100),Data!$G:$G,"ZF",Data!$H:$H,"A15C",Data!$M:$M,125, Data!$Q:$Q,1),0)</f>
        <v>0</v>
      </c>
      <c r="Z105" s="29"/>
      <c r="AA105" s="29"/>
      <c r="AB105" s="26">
        <v>70</v>
      </c>
    </row>
    <row r="106" spans="1:28" x14ac:dyDescent="0.3">
      <c r="A106" s="20" t="s">
        <v>407</v>
      </c>
      <c r="B106" s="20"/>
      <c r="C106" s="21"/>
      <c r="D106" s="21"/>
      <c r="E106" s="21"/>
      <c r="F106" s="21"/>
      <c r="G106" s="21"/>
      <c r="H106" s="21"/>
      <c r="I106" s="21"/>
      <c r="J106" s="21"/>
      <c r="K106" s="21"/>
      <c r="L106" s="22"/>
      <c r="M106" s="22"/>
      <c r="N106" s="22">
        <f>SUMIFS(N$1:N$105,$Z$1:$Z$105,"&gt;0")</f>
        <v>380</v>
      </c>
      <c r="O106" s="22">
        <f>SUMIFS(O$1:O$105,$Z$1:$Z$105,"&gt;0")</f>
        <v>210</v>
      </c>
      <c r="P106" s="21"/>
      <c r="Q106" s="23">
        <f t="shared" ref="Q106:Z106" si="54">SUMIFS(Q$1:Q$105,$Z$1:$Z$105,"&gt;0")</f>
        <v>330</v>
      </c>
      <c r="R106" s="23">
        <f t="shared" si="54"/>
        <v>385</v>
      </c>
      <c r="S106" s="23">
        <f t="shared" si="54"/>
        <v>2645</v>
      </c>
      <c r="T106" s="23">
        <f t="shared" si="54"/>
        <v>5390</v>
      </c>
      <c r="U106" s="23">
        <f t="shared" si="54"/>
        <v>5530</v>
      </c>
      <c r="V106" s="23">
        <f t="shared" si="54"/>
        <v>14480</v>
      </c>
      <c r="W106" s="23">
        <f t="shared" si="54"/>
        <v>12160</v>
      </c>
      <c r="X106" s="23">
        <f t="shared" si="54"/>
        <v>3120</v>
      </c>
      <c r="Y106" s="23">
        <f t="shared" si="54"/>
        <v>640</v>
      </c>
      <c r="Z106" s="23">
        <f t="shared" si="54"/>
        <v>44680</v>
      </c>
      <c r="AA106" s="23"/>
      <c r="AB106" s="20"/>
    </row>
    <row r="107" spans="1:28" x14ac:dyDescent="0.3">
      <c r="A107" s="16"/>
      <c r="B107" s="16"/>
      <c r="C107" s="17"/>
      <c r="D107" s="17"/>
      <c r="E107" s="17"/>
      <c r="F107" s="17"/>
      <c r="G107" s="17"/>
      <c r="H107" s="17"/>
      <c r="I107" s="17"/>
      <c r="J107" s="17"/>
      <c r="K107" s="17"/>
      <c r="L107" s="18" t="s">
        <v>413</v>
      </c>
      <c r="M107" s="18"/>
      <c r="N107" s="18"/>
      <c r="O107" s="18"/>
      <c r="P107" s="17">
        <f>SUM(Q107:Y107)</f>
        <v>590</v>
      </c>
      <c r="Q107" s="19">
        <f t="shared" ref="Q107:Y111" si="55">SUMIFS(Q$1:Q$105,$L$1:$L$105,$L107)</f>
        <v>6</v>
      </c>
      <c r="R107" s="19">
        <f t="shared" si="55"/>
        <v>7</v>
      </c>
      <c r="S107" s="19">
        <f t="shared" si="55"/>
        <v>41</v>
      </c>
      <c r="T107" s="19">
        <f t="shared" si="55"/>
        <v>77</v>
      </c>
      <c r="U107" s="19">
        <f t="shared" si="55"/>
        <v>79</v>
      </c>
      <c r="V107" s="19">
        <f t="shared" si="55"/>
        <v>181</v>
      </c>
      <c r="W107" s="19">
        <f t="shared" si="55"/>
        <v>152</v>
      </c>
      <c r="X107" s="19">
        <f t="shared" si="55"/>
        <v>39</v>
      </c>
      <c r="Y107" s="19">
        <f t="shared" si="55"/>
        <v>8</v>
      </c>
      <c r="Z107" s="19"/>
      <c r="AA107" s="19"/>
      <c r="AB107" s="16"/>
    </row>
    <row r="108" spans="1:28" x14ac:dyDescent="0.3">
      <c r="A108" s="12"/>
      <c r="B108" s="12"/>
      <c r="C108" s="13"/>
      <c r="D108" s="13"/>
      <c r="E108" s="13"/>
      <c r="F108" s="13"/>
      <c r="G108" s="13"/>
      <c r="H108" s="13"/>
      <c r="I108" s="13"/>
      <c r="J108" s="13"/>
      <c r="K108" s="13"/>
      <c r="L108" s="14" t="s">
        <v>414</v>
      </c>
      <c r="M108" s="14"/>
      <c r="N108" s="14"/>
      <c r="O108" s="14"/>
      <c r="P108" s="13">
        <f>SUM(Q108:Y108)</f>
        <v>272</v>
      </c>
      <c r="Q108" s="15">
        <f t="shared" si="55"/>
        <v>5</v>
      </c>
      <c r="R108" s="15">
        <f t="shared" si="55"/>
        <v>4</v>
      </c>
      <c r="S108" s="15">
        <f t="shared" si="55"/>
        <v>17</v>
      </c>
      <c r="T108" s="15">
        <f t="shared" si="55"/>
        <v>34</v>
      </c>
      <c r="U108" s="15">
        <f t="shared" si="55"/>
        <v>20</v>
      </c>
      <c r="V108" s="15">
        <f t="shared" si="55"/>
        <v>62</v>
      </c>
      <c r="W108" s="15">
        <f t="shared" si="55"/>
        <v>107</v>
      </c>
      <c r="X108" s="15">
        <f t="shared" si="55"/>
        <v>18</v>
      </c>
      <c r="Y108" s="15">
        <f t="shared" si="55"/>
        <v>5</v>
      </c>
      <c r="Z108" s="15"/>
      <c r="AA108" s="15"/>
      <c r="AB108" s="12"/>
    </row>
    <row r="109" spans="1:28" x14ac:dyDescent="0.3">
      <c r="A109" s="12"/>
      <c r="B109" s="12"/>
      <c r="C109" s="13"/>
      <c r="D109" s="13"/>
      <c r="E109" s="13"/>
      <c r="F109" s="13"/>
      <c r="G109" s="13"/>
      <c r="H109" s="13"/>
      <c r="I109" s="13"/>
      <c r="J109" s="13"/>
      <c r="K109" s="13"/>
      <c r="L109" s="14" t="s">
        <v>415</v>
      </c>
      <c r="M109" s="14"/>
      <c r="N109" s="14"/>
      <c r="O109" s="14"/>
      <c r="P109" s="130">
        <f>SUM(Q109:Y109)</f>
        <v>110</v>
      </c>
      <c r="Q109" s="57">
        <f t="shared" si="55"/>
        <v>0</v>
      </c>
      <c r="R109" s="57">
        <f t="shared" si="55"/>
        <v>0</v>
      </c>
      <c r="S109" s="57">
        <f t="shared" si="55"/>
        <v>6</v>
      </c>
      <c r="T109" s="57">
        <f t="shared" si="55"/>
        <v>15</v>
      </c>
      <c r="U109" s="57">
        <f t="shared" si="55"/>
        <v>18</v>
      </c>
      <c r="V109" s="57">
        <f t="shared" si="55"/>
        <v>44</v>
      </c>
      <c r="W109" s="57">
        <f t="shared" si="55"/>
        <v>17</v>
      </c>
      <c r="X109" s="57">
        <f t="shared" si="55"/>
        <v>9</v>
      </c>
      <c r="Y109" s="57">
        <f t="shared" si="55"/>
        <v>1</v>
      </c>
      <c r="Z109" s="15"/>
      <c r="AA109" s="15"/>
      <c r="AB109" s="12"/>
    </row>
    <row r="110" spans="1:28" x14ac:dyDescent="0.3">
      <c r="A110" s="12"/>
      <c r="B110" s="12"/>
      <c r="C110" s="13"/>
      <c r="D110" s="13"/>
      <c r="E110" s="13"/>
      <c r="F110" s="13"/>
      <c r="G110" s="13"/>
      <c r="H110" s="13"/>
      <c r="I110" s="13"/>
      <c r="J110" s="13"/>
      <c r="K110" s="13"/>
      <c r="L110" s="14" t="s">
        <v>416</v>
      </c>
      <c r="M110" s="14"/>
      <c r="N110" s="14"/>
      <c r="O110" s="14"/>
      <c r="P110" s="13">
        <f>SUMIFS(P$1:P$105,$L$1:$L$105,$L110,$P$1:$P$105,"&gt;0")</f>
        <v>0</v>
      </c>
      <c r="Q110" s="15">
        <f t="shared" si="55"/>
        <v>0</v>
      </c>
      <c r="R110" s="15">
        <f t="shared" si="55"/>
        <v>0</v>
      </c>
      <c r="S110" s="15">
        <f t="shared" si="55"/>
        <v>0</v>
      </c>
      <c r="T110" s="15">
        <f t="shared" si="55"/>
        <v>0</v>
      </c>
      <c r="U110" s="15">
        <f t="shared" si="55"/>
        <v>0</v>
      </c>
      <c r="V110" s="15">
        <f t="shared" si="55"/>
        <v>0</v>
      </c>
      <c r="W110" s="15">
        <f t="shared" si="55"/>
        <v>0</v>
      </c>
      <c r="X110" s="15">
        <f t="shared" si="55"/>
        <v>0</v>
      </c>
      <c r="Y110" s="15">
        <f t="shared" si="55"/>
        <v>0</v>
      </c>
      <c r="Z110" s="15"/>
      <c r="AA110" s="15"/>
      <c r="AB110" s="12"/>
    </row>
    <row r="111" spans="1:28" x14ac:dyDescent="0.3">
      <c r="A111" s="12"/>
      <c r="B111" s="12"/>
      <c r="C111" s="13"/>
      <c r="D111" s="13"/>
      <c r="E111" s="13"/>
      <c r="F111" s="13"/>
      <c r="G111" s="13"/>
      <c r="H111" s="13"/>
      <c r="I111" s="13"/>
      <c r="J111" s="13"/>
      <c r="K111" s="13"/>
      <c r="L111" s="14" t="s">
        <v>417</v>
      </c>
      <c r="M111" s="14"/>
      <c r="N111" s="14"/>
      <c r="O111" s="14"/>
      <c r="P111" s="130">
        <f>SUM(Q111:Y111)</f>
        <v>208</v>
      </c>
      <c r="Q111" s="57">
        <f t="shared" si="55"/>
        <v>1</v>
      </c>
      <c r="R111" s="57">
        <f t="shared" si="55"/>
        <v>3</v>
      </c>
      <c r="S111" s="57">
        <f t="shared" si="55"/>
        <v>18</v>
      </c>
      <c r="T111" s="57">
        <f t="shared" si="55"/>
        <v>28</v>
      </c>
      <c r="U111" s="57">
        <f t="shared" si="55"/>
        <v>41</v>
      </c>
      <c r="V111" s="57">
        <f t="shared" si="55"/>
        <v>75</v>
      </c>
      <c r="W111" s="57">
        <f t="shared" si="55"/>
        <v>28</v>
      </c>
      <c r="X111" s="57">
        <f t="shared" si="55"/>
        <v>12</v>
      </c>
      <c r="Y111" s="57">
        <f t="shared" si="55"/>
        <v>2</v>
      </c>
      <c r="Z111" s="15"/>
      <c r="AA111" s="15"/>
      <c r="AB111" s="12"/>
    </row>
  </sheetData>
  <conditionalFormatting sqref="P6">
    <cfRule type="cellIs" dxfId="101" priority="1" stopIfTrue="1" operator="equal">
      <formula>0</formula>
    </cfRule>
    <cfRule type="cellIs" dxfId="100" priority="2" stopIfTrue="1" operator="lessThan">
      <formula>0</formula>
    </cfRule>
    <cfRule type="cellIs" dxfId="99" priority="3" stopIfTrue="1" operator="greaterThan">
      <formula>0</formula>
    </cfRule>
  </conditionalFormatting>
  <conditionalFormatting sqref="P8">
    <cfRule type="cellIs" dxfId="98" priority="4" stopIfTrue="1" operator="equal">
      <formula>0</formula>
    </cfRule>
    <cfRule type="cellIs" dxfId="97" priority="5" stopIfTrue="1" operator="lessThan">
      <formula>0</formula>
    </cfRule>
    <cfRule type="cellIs" dxfId="96" priority="6" stopIfTrue="1" operator="greaterThan">
      <formula>0</formula>
    </cfRule>
  </conditionalFormatting>
  <conditionalFormatting sqref="P12">
    <cfRule type="cellIs" dxfId="95" priority="7" stopIfTrue="1" operator="equal">
      <formula>0</formula>
    </cfRule>
    <cfRule type="cellIs" dxfId="94" priority="8" stopIfTrue="1" operator="lessThan">
      <formula>0</formula>
    </cfRule>
    <cfRule type="cellIs" dxfId="93" priority="9" stopIfTrue="1" operator="greaterThan">
      <formula>0</formula>
    </cfRule>
  </conditionalFormatting>
  <conditionalFormatting sqref="P14">
    <cfRule type="cellIs" dxfId="92" priority="10" stopIfTrue="1" operator="equal">
      <formula>0</formula>
    </cfRule>
    <cfRule type="cellIs" dxfId="91" priority="11" stopIfTrue="1" operator="lessThan">
      <formula>0</formula>
    </cfRule>
    <cfRule type="cellIs" dxfId="90" priority="12" stopIfTrue="1" operator="greaterThan">
      <formula>0</formula>
    </cfRule>
  </conditionalFormatting>
  <conditionalFormatting sqref="P18">
    <cfRule type="cellIs" dxfId="89" priority="13" stopIfTrue="1" operator="equal">
      <formula>0</formula>
    </cfRule>
    <cfRule type="cellIs" dxfId="88" priority="14" stopIfTrue="1" operator="lessThan">
      <formula>0</formula>
    </cfRule>
    <cfRule type="cellIs" dxfId="87" priority="15" stopIfTrue="1" operator="greaterThan">
      <formula>0</formula>
    </cfRule>
  </conditionalFormatting>
  <conditionalFormatting sqref="P20">
    <cfRule type="cellIs" dxfId="86" priority="16" stopIfTrue="1" operator="equal">
      <formula>0</formula>
    </cfRule>
    <cfRule type="cellIs" dxfId="85" priority="17" stopIfTrue="1" operator="lessThan">
      <formula>0</formula>
    </cfRule>
    <cfRule type="cellIs" dxfId="84" priority="18" stopIfTrue="1" operator="greaterThan">
      <formula>0</formula>
    </cfRule>
  </conditionalFormatting>
  <conditionalFormatting sqref="P24">
    <cfRule type="cellIs" dxfId="83" priority="19" stopIfTrue="1" operator="equal">
      <formula>0</formula>
    </cfRule>
    <cfRule type="cellIs" dxfId="82" priority="20" stopIfTrue="1" operator="lessThan">
      <formula>0</formula>
    </cfRule>
    <cfRule type="cellIs" dxfId="81" priority="21" stopIfTrue="1" operator="greaterThan">
      <formula>0</formula>
    </cfRule>
  </conditionalFormatting>
  <conditionalFormatting sqref="P26">
    <cfRule type="cellIs" dxfId="80" priority="22" stopIfTrue="1" operator="equal">
      <formula>0</formula>
    </cfRule>
    <cfRule type="cellIs" dxfId="79" priority="23" stopIfTrue="1" operator="lessThan">
      <formula>0</formula>
    </cfRule>
    <cfRule type="cellIs" dxfId="78" priority="24" stopIfTrue="1" operator="greaterThan">
      <formula>0</formula>
    </cfRule>
  </conditionalFormatting>
  <conditionalFormatting sqref="P30">
    <cfRule type="cellIs" dxfId="77" priority="25" stopIfTrue="1" operator="equal">
      <formula>0</formula>
    </cfRule>
    <cfRule type="cellIs" dxfId="76" priority="26" stopIfTrue="1" operator="lessThan">
      <formula>0</formula>
    </cfRule>
    <cfRule type="cellIs" dxfId="75" priority="27" stopIfTrue="1" operator="greaterThan">
      <formula>0</formula>
    </cfRule>
  </conditionalFormatting>
  <conditionalFormatting sqref="P32">
    <cfRule type="cellIs" dxfId="74" priority="28" stopIfTrue="1" operator="equal">
      <formula>0</formula>
    </cfRule>
    <cfRule type="cellIs" dxfId="73" priority="29" stopIfTrue="1" operator="lessThan">
      <formula>0</formula>
    </cfRule>
    <cfRule type="cellIs" dxfId="72" priority="30" stopIfTrue="1" operator="greaterThan">
      <formula>0</formula>
    </cfRule>
  </conditionalFormatting>
  <conditionalFormatting sqref="P36">
    <cfRule type="cellIs" dxfId="71" priority="31" stopIfTrue="1" operator="equal">
      <formula>0</formula>
    </cfRule>
    <cfRule type="cellIs" dxfId="70" priority="32" stopIfTrue="1" operator="lessThan">
      <formula>0</formula>
    </cfRule>
    <cfRule type="cellIs" dxfId="69" priority="33" stopIfTrue="1" operator="greaterThan">
      <formula>0</formula>
    </cfRule>
  </conditionalFormatting>
  <conditionalFormatting sqref="P38">
    <cfRule type="cellIs" dxfId="68" priority="34" stopIfTrue="1" operator="equal">
      <formula>0</formula>
    </cfRule>
    <cfRule type="cellIs" dxfId="67" priority="35" stopIfTrue="1" operator="lessThan">
      <formula>0</formula>
    </cfRule>
    <cfRule type="cellIs" dxfId="66" priority="36" stopIfTrue="1" operator="greaterThan">
      <formula>0</formula>
    </cfRule>
  </conditionalFormatting>
  <conditionalFormatting sqref="P42">
    <cfRule type="cellIs" dxfId="65" priority="37" stopIfTrue="1" operator="equal">
      <formula>0</formula>
    </cfRule>
    <cfRule type="cellIs" dxfId="64" priority="38" stopIfTrue="1" operator="lessThan">
      <formula>0</formula>
    </cfRule>
    <cfRule type="cellIs" dxfId="63" priority="39" stopIfTrue="1" operator="greaterThan">
      <formula>0</formula>
    </cfRule>
  </conditionalFormatting>
  <conditionalFormatting sqref="P44">
    <cfRule type="cellIs" dxfId="62" priority="40" stopIfTrue="1" operator="equal">
      <formula>0</formula>
    </cfRule>
    <cfRule type="cellIs" dxfId="61" priority="41" stopIfTrue="1" operator="lessThan">
      <formula>0</formula>
    </cfRule>
    <cfRule type="cellIs" dxfId="60" priority="42" stopIfTrue="1" operator="greaterThan">
      <formula>0</formula>
    </cfRule>
  </conditionalFormatting>
  <conditionalFormatting sqref="P48">
    <cfRule type="cellIs" dxfId="59" priority="43" stopIfTrue="1" operator="equal">
      <formula>0</formula>
    </cfRule>
    <cfRule type="cellIs" dxfId="58" priority="44" stopIfTrue="1" operator="lessThan">
      <formula>0</formula>
    </cfRule>
    <cfRule type="cellIs" dxfId="57" priority="45" stopIfTrue="1" operator="greaterThan">
      <formula>0</formula>
    </cfRule>
  </conditionalFormatting>
  <conditionalFormatting sqref="P50">
    <cfRule type="cellIs" dxfId="56" priority="46" stopIfTrue="1" operator="equal">
      <formula>0</formula>
    </cfRule>
    <cfRule type="cellIs" dxfId="55" priority="47" stopIfTrue="1" operator="lessThan">
      <formula>0</formula>
    </cfRule>
    <cfRule type="cellIs" dxfId="54" priority="48" stopIfTrue="1" operator="greaterThan">
      <formula>0</formula>
    </cfRule>
  </conditionalFormatting>
  <conditionalFormatting sqref="P54">
    <cfRule type="cellIs" dxfId="53" priority="49" stopIfTrue="1" operator="equal">
      <formula>0</formula>
    </cfRule>
    <cfRule type="cellIs" dxfId="52" priority="50" stopIfTrue="1" operator="lessThan">
      <formula>0</formula>
    </cfRule>
    <cfRule type="cellIs" dxfId="51" priority="51" stopIfTrue="1" operator="greaterThan">
      <formula>0</formula>
    </cfRule>
  </conditionalFormatting>
  <conditionalFormatting sqref="P56">
    <cfRule type="cellIs" dxfId="50" priority="52" stopIfTrue="1" operator="equal">
      <formula>0</formula>
    </cfRule>
    <cfRule type="cellIs" dxfId="49" priority="53" stopIfTrue="1" operator="lessThan">
      <formula>0</formula>
    </cfRule>
    <cfRule type="cellIs" dxfId="48" priority="54" stopIfTrue="1" operator="greaterThan">
      <formula>0</formula>
    </cfRule>
  </conditionalFormatting>
  <conditionalFormatting sqref="P60">
    <cfRule type="cellIs" dxfId="47" priority="55" stopIfTrue="1" operator="equal">
      <formula>0</formula>
    </cfRule>
    <cfRule type="cellIs" dxfId="46" priority="56" stopIfTrue="1" operator="lessThan">
      <formula>0</formula>
    </cfRule>
    <cfRule type="cellIs" dxfId="45" priority="57" stopIfTrue="1" operator="greaterThan">
      <formula>0</formula>
    </cfRule>
  </conditionalFormatting>
  <conditionalFormatting sqref="P62">
    <cfRule type="cellIs" dxfId="44" priority="58" stopIfTrue="1" operator="equal">
      <formula>0</formula>
    </cfRule>
    <cfRule type="cellIs" dxfId="43" priority="59" stopIfTrue="1" operator="lessThan">
      <formula>0</formula>
    </cfRule>
    <cfRule type="cellIs" dxfId="42" priority="60" stopIfTrue="1" operator="greaterThan">
      <formula>0</formula>
    </cfRule>
  </conditionalFormatting>
  <conditionalFormatting sqref="P66">
    <cfRule type="cellIs" dxfId="41" priority="61" stopIfTrue="1" operator="equal">
      <formula>0</formula>
    </cfRule>
  </conditionalFormatting>
  <conditionalFormatting sqref="P66">
    <cfRule type="cellIs" dxfId="40" priority="62" stopIfTrue="1" operator="lessThan">
      <formula>0</formula>
    </cfRule>
  </conditionalFormatting>
  <conditionalFormatting sqref="P66">
    <cfRule type="cellIs" dxfId="39" priority="63" stopIfTrue="1" operator="greaterThan">
      <formula>0</formula>
    </cfRule>
  </conditionalFormatting>
  <conditionalFormatting sqref="P68">
    <cfRule type="cellIs" dxfId="38" priority="64" stopIfTrue="1" operator="equal">
      <formula>0</formula>
    </cfRule>
  </conditionalFormatting>
  <conditionalFormatting sqref="P68">
    <cfRule type="cellIs" dxfId="37" priority="65" stopIfTrue="1" operator="lessThan">
      <formula>0</formula>
    </cfRule>
  </conditionalFormatting>
  <conditionalFormatting sqref="P68">
    <cfRule type="cellIs" dxfId="36" priority="66" stopIfTrue="1" operator="greaterThan">
      <formula>0</formula>
    </cfRule>
  </conditionalFormatting>
  <conditionalFormatting sqref="P72">
    <cfRule type="cellIs" dxfId="35" priority="67" stopIfTrue="1" operator="equal">
      <formula>0</formula>
    </cfRule>
  </conditionalFormatting>
  <conditionalFormatting sqref="P72">
    <cfRule type="cellIs" dxfId="34" priority="68" stopIfTrue="1" operator="lessThan">
      <formula>0</formula>
    </cfRule>
  </conditionalFormatting>
  <conditionalFormatting sqref="P72">
    <cfRule type="cellIs" dxfId="33" priority="69" stopIfTrue="1" operator="greaterThan">
      <formula>0</formula>
    </cfRule>
  </conditionalFormatting>
  <conditionalFormatting sqref="P74">
    <cfRule type="cellIs" dxfId="32" priority="70" stopIfTrue="1" operator="equal">
      <formula>0</formula>
    </cfRule>
  </conditionalFormatting>
  <conditionalFormatting sqref="P74">
    <cfRule type="cellIs" dxfId="31" priority="71" stopIfTrue="1" operator="lessThan">
      <formula>0</formula>
    </cfRule>
  </conditionalFormatting>
  <conditionalFormatting sqref="P74">
    <cfRule type="cellIs" dxfId="30" priority="72" stopIfTrue="1" operator="greaterThan">
      <formula>0</formula>
    </cfRule>
  </conditionalFormatting>
  <conditionalFormatting sqref="P78">
    <cfRule type="cellIs" dxfId="29" priority="73" stopIfTrue="1" operator="equal">
      <formula>0</formula>
    </cfRule>
  </conditionalFormatting>
  <conditionalFormatting sqref="P78">
    <cfRule type="cellIs" dxfId="28" priority="74" stopIfTrue="1" operator="lessThan">
      <formula>0</formula>
    </cfRule>
  </conditionalFormatting>
  <conditionalFormatting sqref="P78">
    <cfRule type="cellIs" dxfId="27" priority="75" stopIfTrue="1" operator="greaterThan">
      <formula>0</formula>
    </cfRule>
  </conditionalFormatting>
  <conditionalFormatting sqref="P80">
    <cfRule type="cellIs" dxfId="26" priority="76" stopIfTrue="1" operator="equal">
      <formula>0</formula>
    </cfRule>
  </conditionalFormatting>
  <conditionalFormatting sqref="P80">
    <cfRule type="cellIs" dxfId="25" priority="77" stopIfTrue="1" operator="lessThan">
      <formula>0</formula>
    </cfRule>
  </conditionalFormatting>
  <conditionalFormatting sqref="P80">
    <cfRule type="cellIs" dxfId="24" priority="78" stopIfTrue="1" operator="greaterThan">
      <formula>0</formula>
    </cfRule>
  </conditionalFormatting>
  <conditionalFormatting sqref="P84">
    <cfRule type="cellIs" dxfId="23" priority="79" stopIfTrue="1" operator="equal">
      <formula>0</formula>
    </cfRule>
  </conditionalFormatting>
  <conditionalFormatting sqref="P84">
    <cfRule type="cellIs" dxfId="22" priority="80" stopIfTrue="1" operator="lessThan">
      <formula>0</formula>
    </cfRule>
  </conditionalFormatting>
  <conditionalFormatting sqref="P84">
    <cfRule type="cellIs" dxfId="21" priority="81" stopIfTrue="1" operator="greaterThan">
      <formula>0</formula>
    </cfRule>
  </conditionalFormatting>
  <conditionalFormatting sqref="P86">
    <cfRule type="cellIs" dxfId="20" priority="82" stopIfTrue="1" operator="equal">
      <formula>0</formula>
    </cfRule>
  </conditionalFormatting>
  <conditionalFormatting sqref="P86">
    <cfRule type="cellIs" dxfId="19" priority="83" stopIfTrue="1" operator="lessThan">
      <formula>0</formula>
    </cfRule>
  </conditionalFormatting>
  <conditionalFormatting sqref="P86">
    <cfRule type="cellIs" dxfId="18" priority="84" stopIfTrue="1" operator="greaterThan">
      <formula>0</formula>
    </cfRule>
  </conditionalFormatting>
  <conditionalFormatting sqref="P90">
    <cfRule type="cellIs" dxfId="17" priority="85" stopIfTrue="1" operator="equal">
      <formula>0</formula>
    </cfRule>
  </conditionalFormatting>
  <conditionalFormatting sqref="P90">
    <cfRule type="cellIs" dxfId="16" priority="86" stopIfTrue="1" operator="lessThan">
      <formula>0</formula>
    </cfRule>
  </conditionalFormatting>
  <conditionalFormatting sqref="P90">
    <cfRule type="cellIs" dxfId="15" priority="87" stopIfTrue="1" operator="greaterThan">
      <formula>0</formula>
    </cfRule>
  </conditionalFormatting>
  <conditionalFormatting sqref="P92">
    <cfRule type="cellIs" dxfId="14" priority="88" stopIfTrue="1" operator="equal">
      <formula>0</formula>
    </cfRule>
  </conditionalFormatting>
  <conditionalFormatting sqref="P92">
    <cfRule type="cellIs" dxfId="13" priority="89" stopIfTrue="1" operator="lessThan">
      <formula>0</formula>
    </cfRule>
  </conditionalFormatting>
  <conditionalFormatting sqref="P92">
    <cfRule type="cellIs" dxfId="12" priority="90" stopIfTrue="1" operator="greaterThan">
      <formula>0</formula>
    </cfRule>
  </conditionalFormatting>
  <conditionalFormatting sqref="P96">
    <cfRule type="cellIs" dxfId="11" priority="91" stopIfTrue="1" operator="equal">
      <formula>0</formula>
    </cfRule>
  </conditionalFormatting>
  <conditionalFormatting sqref="P96">
    <cfRule type="cellIs" dxfId="10" priority="92" stopIfTrue="1" operator="lessThan">
      <formula>0</formula>
    </cfRule>
  </conditionalFormatting>
  <conditionalFormatting sqref="P96">
    <cfRule type="cellIs" dxfId="9" priority="93" stopIfTrue="1" operator="greaterThan">
      <formula>0</formula>
    </cfRule>
  </conditionalFormatting>
  <conditionalFormatting sqref="P98">
    <cfRule type="cellIs" dxfId="8" priority="94" stopIfTrue="1" operator="equal">
      <formula>0</formula>
    </cfRule>
  </conditionalFormatting>
  <conditionalFormatting sqref="P98">
    <cfRule type="cellIs" dxfId="7" priority="95" stopIfTrue="1" operator="lessThan">
      <formula>0</formula>
    </cfRule>
  </conditionalFormatting>
  <conditionalFormatting sqref="P98">
    <cfRule type="cellIs" dxfId="6" priority="96" stopIfTrue="1" operator="greaterThan">
      <formula>0</formula>
    </cfRule>
  </conditionalFormatting>
  <conditionalFormatting sqref="P102">
    <cfRule type="cellIs" dxfId="5" priority="97" stopIfTrue="1" operator="equal">
      <formula>0</formula>
    </cfRule>
  </conditionalFormatting>
  <conditionalFormatting sqref="P102">
    <cfRule type="cellIs" dxfId="4" priority="98" stopIfTrue="1" operator="lessThan">
      <formula>0</formula>
    </cfRule>
  </conditionalFormatting>
  <conditionalFormatting sqref="P102">
    <cfRule type="cellIs" dxfId="3" priority="99" stopIfTrue="1" operator="greaterThan">
      <formula>0</formula>
    </cfRule>
  </conditionalFormatting>
  <conditionalFormatting sqref="P104">
    <cfRule type="cellIs" dxfId="2" priority="100" stopIfTrue="1" operator="equal">
      <formula>0</formula>
    </cfRule>
  </conditionalFormatting>
  <conditionalFormatting sqref="P104">
    <cfRule type="cellIs" dxfId="1" priority="101" stopIfTrue="1" operator="lessThan">
      <formula>0</formula>
    </cfRule>
  </conditionalFormatting>
  <conditionalFormatting sqref="P104">
    <cfRule type="cellIs" dxfId="0" priority="102" stopIfTrue="1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F3579-61A4-40BC-899C-86045FA9C86C}">
  <sheetPr codeName="Sheet3">
    <pageSetUpPr fitToPage="1"/>
  </sheetPr>
  <dimension ref="A1:Z20"/>
  <sheetViews>
    <sheetView zoomScale="85" zoomScaleNormal="85" workbookViewId="0">
      <selection activeCell="L13" sqref="L13"/>
    </sheetView>
  </sheetViews>
  <sheetFormatPr defaultRowHeight="14.4" x14ac:dyDescent="0.3"/>
  <cols>
    <col min="1" max="1" width="13.6640625" customWidth="1"/>
    <col min="2" max="2" width="13.21875" bestFit="1" customWidth="1"/>
    <col min="3" max="3" width="5" bestFit="1" customWidth="1"/>
    <col min="4" max="4" width="6.44140625" customWidth="1"/>
    <col min="5" max="5" width="5" customWidth="1"/>
    <col min="6" max="6" width="4.88671875" customWidth="1"/>
    <col min="7" max="7" width="18.77734375" bestFit="1" customWidth="1"/>
    <col min="8" max="8" width="6.109375" customWidth="1"/>
    <col min="9" max="9" width="5.109375" customWidth="1"/>
    <col min="10" max="10" width="9" customWidth="1"/>
    <col min="11" max="11" width="10.6640625" customWidth="1"/>
    <col min="12" max="12" width="11.44140625" customWidth="1"/>
    <col min="13" max="13" width="6.88671875" bestFit="1" customWidth="1"/>
    <col min="14" max="14" width="6.6640625" bestFit="1" customWidth="1"/>
    <col min="15" max="15" width="6.109375" customWidth="1"/>
    <col min="16" max="16" width="8.5546875" customWidth="1"/>
    <col min="17" max="19" width="7.5546875" customWidth="1"/>
    <col min="20" max="20" width="7.44140625" customWidth="1"/>
    <col min="21" max="21" width="7.77734375" customWidth="1"/>
    <col min="22" max="22" width="7.6640625" customWidth="1"/>
    <col min="23" max="23" width="7.5546875" bestFit="1" customWidth="1"/>
    <col min="24" max="24" width="7.5546875" customWidth="1"/>
    <col min="25" max="25" width="7.77734375" customWidth="1"/>
    <col min="26" max="26" width="8.77734375" bestFit="1" customWidth="1"/>
    <col min="27" max="27" width="8.109375" bestFit="1" customWidth="1"/>
  </cols>
  <sheetData>
    <row r="1" spans="1:26" ht="47.4" thickBot="1" x14ac:dyDescent="0.35">
      <c r="A1" s="113" t="s">
        <v>365</v>
      </c>
      <c r="B1" s="114" t="s">
        <v>374</v>
      </c>
      <c r="C1" s="115" t="s">
        <v>375</v>
      </c>
      <c r="D1" s="115" t="s">
        <v>376</v>
      </c>
      <c r="E1" s="115" t="s">
        <v>377</v>
      </c>
      <c r="F1" s="115" t="s">
        <v>378</v>
      </c>
      <c r="G1" s="115" t="s">
        <v>379</v>
      </c>
      <c r="H1" s="115" t="s">
        <v>360</v>
      </c>
      <c r="I1" s="115" t="s">
        <v>380</v>
      </c>
      <c r="J1" s="116" t="s">
        <v>381</v>
      </c>
      <c r="K1" s="116" t="s">
        <v>382</v>
      </c>
      <c r="L1" s="116" t="s">
        <v>477</v>
      </c>
      <c r="M1" s="115" t="s">
        <v>384</v>
      </c>
      <c r="N1" s="117" t="s">
        <v>385</v>
      </c>
      <c r="O1" s="117" t="s">
        <v>386</v>
      </c>
      <c r="P1" s="116" t="s">
        <v>387</v>
      </c>
      <c r="Q1" s="118" t="s">
        <v>608</v>
      </c>
      <c r="R1" s="118" t="s">
        <v>609</v>
      </c>
      <c r="S1" s="118" t="s">
        <v>610</v>
      </c>
      <c r="T1" s="118" t="s">
        <v>611</v>
      </c>
      <c r="U1" s="118">
        <v>64</v>
      </c>
      <c r="V1" s="119">
        <v>72</v>
      </c>
      <c r="W1" s="119">
        <v>88</v>
      </c>
      <c r="X1" s="119">
        <v>105</v>
      </c>
      <c r="Y1" s="119">
        <v>125</v>
      </c>
      <c r="Z1" s="118" t="s">
        <v>418</v>
      </c>
    </row>
    <row r="2" spans="1:26" x14ac:dyDescent="0.3">
      <c r="A2" s="120" t="s">
        <v>449</v>
      </c>
      <c r="B2" s="120" t="s">
        <v>489</v>
      </c>
      <c r="C2" s="120" t="s">
        <v>478</v>
      </c>
      <c r="D2" s="120" t="s">
        <v>612</v>
      </c>
      <c r="E2" s="120" t="s">
        <v>450</v>
      </c>
      <c r="F2" s="120">
        <v>1</v>
      </c>
      <c r="G2" s="120" t="s">
        <v>394</v>
      </c>
      <c r="H2" s="120" t="s">
        <v>391</v>
      </c>
      <c r="I2" s="120" t="s">
        <v>503</v>
      </c>
      <c r="J2" s="120" t="s">
        <v>439</v>
      </c>
      <c r="K2" s="120" t="s">
        <v>450</v>
      </c>
      <c r="L2" s="120" t="s">
        <v>488</v>
      </c>
      <c r="M2" s="120" t="s">
        <v>393</v>
      </c>
      <c r="N2" s="120">
        <v>20</v>
      </c>
      <c r="O2" s="120"/>
      <c r="P2" s="121" t="s">
        <v>613</v>
      </c>
      <c r="Q2" s="122"/>
      <c r="R2" s="122"/>
      <c r="S2" s="122"/>
      <c r="T2" s="122"/>
      <c r="U2" s="122"/>
      <c r="V2" s="122">
        <v>8</v>
      </c>
      <c r="W2" s="122">
        <v>3</v>
      </c>
      <c r="X2" s="122">
        <v>3</v>
      </c>
      <c r="Y2" s="122"/>
      <c r="Z2" s="123">
        <v>6</v>
      </c>
    </row>
    <row r="3" spans="1:26" x14ac:dyDescent="0.3">
      <c r="A3" s="120" t="s">
        <v>499</v>
      </c>
      <c r="B3" s="120" t="s">
        <v>489</v>
      </c>
      <c r="C3" s="120" t="s">
        <v>478</v>
      </c>
      <c r="D3" s="120" t="s">
        <v>612</v>
      </c>
      <c r="E3" s="120" t="s">
        <v>500</v>
      </c>
      <c r="F3" s="120">
        <v>1</v>
      </c>
      <c r="G3" s="120" t="s">
        <v>394</v>
      </c>
      <c r="H3" s="120" t="s">
        <v>391</v>
      </c>
      <c r="I3" s="120" t="s">
        <v>616</v>
      </c>
      <c r="J3" s="120" t="s">
        <v>494</v>
      </c>
      <c r="K3" s="120" t="s">
        <v>500</v>
      </c>
      <c r="L3" s="120" t="s">
        <v>392</v>
      </c>
      <c r="M3" s="120" t="s">
        <v>393</v>
      </c>
      <c r="N3" s="120">
        <v>20</v>
      </c>
      <c r="O3" s="120"/>
      <c r="P3" s="121" t="s">
        <v>613</v>
      </c>
      <c r="Q3" s="122"/>
      <c r="R3" s="122"/>
      <c r="S3" s="122"/>
      <c r="T3" s="122"/>
      <c r="U3" s="122"/>
      <c r="V3" s="122">
        <v>10</v>
      </c>
      <c r="W3" s="122">
        <v>4</v>
      </c>
      <c r="X3" s="122"/>
      <c r="Y3" s="122"/>
      <c r="Z3" s="123">
        <v>6</v>
      </c>
    </row>
    <row r="4" spans="1:26" x14ac:dyDescent="0.3">
      <c r="A4" s="120"/>
      <c r="B4" s="120"/>
      <c r="C4" s="120" t="s">
        <v>478</v>
      </c>
      <c r="D4" s="120" t="s">
        <v>612</v>
      </c>
      <c r="E4" s="120" t="s">
        <v>500</v>
      </c>
      <c r="F4" s="120">
        <v>1</v>
      </c>
      <c r="G4" s="120" t="s">
        <v>394</v>
      </c>
      <c r="H4" s="120" t="s">
        <v>391</v>
      </c>
      <c r="I4" s="120" t="s">
        <v>618</v>
      </c>
      <c r="J4" s="120" t="s">
        <v>494</v>
      </c>
      <c r="K4" s="120" t="s">
        <v>500</v>
      </c>
      <c r="L4" s="120" t="s">
        <v>392</v>
      </c>
      <c r="M4" s="120" t="s">
        <v>393</v>
      </c>
      <c r="N4" s="120">
        <v>20</v>
      </c>
      <c r="O4" s="120"/>
      <c r="P4" s="121" t="s">
        <v>613</v>
      </c>
      <c r="Q4" s="122"/>
      <c r="R4" s="122"/>
      <c r="S4" s="122"/>
      <c r="T4" s="122"/>
      <c r="U4" s="122"/>
      <c r="V4" s="122">
        <v>8</v>
      </c>
      <c r="W4" s="122">
        <v>4</v>
      </c>
      <c r="X4" s="122"/>
      <c r="Y4" s="122"/>
      <c r="Z4" s="123">
        <v>8</v>
      </c>
    </row>
    <row r="5" spans="1:26" x14ac:dyDescent="0.3">
      <c r="A5" s="120" t="s">
        <v>620</v>
      </c>
      <c r="B5" s="120" t="s">
        <v>389</v>
      </c>
      <c r="C5" s="120" t="s">
        <v>396</v>
      </c>
      <c r="D5" s="120" t="s">
        <v>612</v>
      </c>
      <c r="E5" s="120" t="s">
        <v>621</v>
      </c>
      <c r="F5" s="120">
        <v>1</v>
      </c>
      <c r="G5" s="120" t="s">
        <v>390</v>
      </c>
      <c r="H5" s="120" t="s">
        <v>391</v>
      </c>
      <c r="I5" s="120"/>
      <c r="J5" s="120" t="s">
        <v>622</v>
      </c>
      <c r="K5" s="120" t="s">
        <v>621</v>
      </c>
      <c r="L5" s="120" t="s">
        <v>482</v>
      </c>
      <c r="M5" s="120" t="s">
        <v>393</v>
      </c>
      <c r="N5" s="120">
        <v>20</v>
      </c>
      <c r="O5" s="120"/>
      <c r="P5" s="121" t="s">
        <v>623</v>
      </c>
      <c r="Q5" s="122"/>
      <c r="R5" s="122"/>
      <c r="S5" s="122"/>
      <c r="T5" s="122"/>
      <c r="U5" s="122"/>
      <c r="V5" s="122"/>
      <c r="W5" s="122"/>
      <c r="X5" s="122">
        <v>17</v>
      </c>
      <c r="Y5" s="122">
        <v>3</v>
      </c>
      <c r="Z5" s="133">
        <v>0</v>
      </c>
    </row>
    <row r="6" spans="1:26" x14ac:dyDescent="0.3">
      <c r="A6" s="120" t="s">
        <v>492</v>
      </c>
      <c r="B6" s="120" t="s">
        <v>489</v>
      </c>
      <c r="C6" s="120" t="s">
        <v>478</v>
      </c>
      <c r="D6" s="120" t="s">
        <v>612</v>
      </c>
      <c r="E6" s="120" t="s">
        <v>493</v>
      </c>
      <c r="F6" s="120">
        <v>1</v>
      </c>
      <c r="G6" s="120" t="s">
        <v>394</v>
      </c>
      <c r="H6" s="120" t="s">
        <v>391</v>
      </c>
      <c r="I6" s="120"/>
      <c r="J6" s="120" t="s">
        <v>494</v>
      </c>
      <c r="K6" s="120" t="s">
        <v>493</v>
      </c>
      <c r="L6" s="120" t="s">
        <v>482</v>
      </c>
      <c r="M6" s="120" t="s">
        <v>393</v>
      </c>
      <c r="N6" s="120">
        <v>100</v>
      </c>
      <c r="O6" s="120"/>
      <c r="P6" s="121" t="s">
        <v>626</v>
      </c>
      <c r="Q6" s="122"/>
      <c r="R6" s="122"/>
      <c r="S6" s="122"/>
      <c r="T6" s="122"/>
      <c r="U6" s="122"/>
      <c r="V6" s="122">
        <v>72</v>
      </c>
      <c r="W6" s="122">
        <v>28</v>
      </c>
      <c r="X6" s="122"/>
      <c r="Y6" s="122"/>
      <c r="Z6" s="133">
        <v>0</v>
      </c>
    </row>
    <row r="7" spans="1:26" x14ac:dyDescent="0.3">
      <c r="A7" s="120"/>
      <c r="B7" s="120" t="s">
        <v>389</v>
      </c>
      <c r="C7" s="120" t="s">
        <v>396</v>
      </c>
      <c r="D7" s="120" t="s">
        <v>612</v>
      </c>
      <c r="E7" s="120" t="s">
        <v>493</v>
      </c>
      <c r="F7" s="120">
        <v>1</v>
      </c>
      <c r="G7" s="120" t="s">
        <v>390</v>
      </c>
      <c r="H7" s="120" t="s">
        <v>391</v>
      </c>
      <c r="I7" s="120"/>
      <c r="J7" s="120" t="s">
        <v>494</v>
      </c>
      <c r="K7" s="120" t="s">
        <v>493</v>
      </c>
      <c r="L7" s="120" t="s">
        <v>482</v>
      </c>
      <c r="M7" s="120" t="s">
        <v>393</v>
      </c>
      <c r="N7" s="120">
        <v>40</v>
      </c>
      <c r="O7" s="120"/>
      <c r="P7" s="121" t="s">
        <v>623</v>
      </c>
      <c r="Q7" s="122"/>
      <c r="R7" s="122"/>
      <c r="S7" s="122"/>
      <c r="T7" s="122"/>
      <c r="U7" s="122"/>
      <c r="V7" s="122">
        <v>21</v>
      </c>
      <c r="W7" s="122">
        <v>6</v>
      </c>
      <c r="X7" s="122"/>
      <c r="Y7" s="122"/>
      <c r="Z7" s="123">
        <v>13</v>
      </c>
    </row>
    <row r="8" spans="1:26" x14ac:dyDescent="0.3">
      <c r="A8" s="120"/>
      <c r="B8" s="120" t="s">
        <v>489</v>
      </c>
      <c r="C8" s="120" t="s">
        <v>478</v>
      </c>
      <c r="D8" s="120" t="s">
        <v>612</v>
      </c>
      <c r="E8" s="120" t="s">
        <v>493</v>
      </c>
      <c r="F8" s="120">
        <v>1</v>
      </c>
      <c r="G8" s="120" t="s">
        <v>411</v>
      </c>
      <c r="H8" s="120" t="s">
        <v>391</v>
      </c>
      <c r="I8" s="120"/>
      <c r="J8" s="120" t="s">
        <v>494</v>
      </c>
      <c r="K8" s="120" t="s">
        <v>493</v>
      </c>
      <c r="L8" s="120" t="s">
        <v>482</v>
      </c>
      <c r="M8" s="120" t="s">
        <v>393</v>
      </c>
      <c r="N8" s="120">
        <v>60</v>
      </c>
      <c r="O8" s="120"/>
      <c r="P8" s="121" t="s">
        <v>613</v>
      </c>
      <c r="Q8" s="122"/>
      <c r="R8" s="122"/>
      <c r="S8" s="122"/>
      <c r="T8" s="122"/>
      <c r="U8" s="122"/>
      <c r="V8" s="122"/>
      <c r="W8" s="122"/>
      <c r="X8" s="122">
        <v>1</v>
      </c>
      <c r="Y8" s="122"/>
      <c r="Z8" s="123">
        <v>59</v>
      </c>
    </row>
    <row r="9" spans="1:26" x14ac:dyDescent="0.3">
      <c r="A9" s="120"/>
      <c r="B9" s="120" t="s">
        <v>389</v>
      </c>
      <c r="C9" s="120" t="s">
        <v>396</v>
      </c>
      <c r="D9" s="120" t="s">
        <v>612</v>
      </c>
      <c r="E9" s="120" t="s">
        <v>493</v>
      </c>
      <c r="F9" s="120">
        <v>1</v>
      </c>
      <c r="G9" s="120" t="s">
        <v>390</v>
      </c>
      <c r="H9" s="120" t="s">
        <v>391</v>
      </c>
      <c r="I9" s="120"/>
      <c r="J9" s="120" t="s">
        <v>494</v>
      </c>
      <c r="K9" s="120" t="s">
        <v>493</v>
      </c>
      <c r="L9" s="120" t="s">
        <v>482</v>
      </c>
      <c r="M9" s="120" t="s">
        <v>393</v>
      </c>
      <c r="N9" s="120">
        <v>40</v>
      </c>
      <c r="O9" s="120"/>
      <c r="P9" s="121" t="s">
        <v>623</v>
      </c>
      <c r="Q9" s="122"/>
      <c r="R9" s="122"/>
      <c r="S9" s="122"/>
      <c r="T9" s="122"/>
      <c r="U9" s="122"/>
      <c r="V9" s="122"/>
      <c r="W9" s="122"/>
      <c r="X9" s="122"/>
      <c r="Y9" s="122"/>
      <c r="Z9" s="123">
        <v>40</v>
      </c>
    </row>
    <row r="10" spans="1:26" x14ac:dyDescent="0.3">
      <c r="A10" s="120" t="s">
        <v>629</v>
      </c>
      <c r="B10" s="120" t="s">
        <v>389</v>
      </c>
      <c r="C10" s="120" t="s">
        <v>396</v>
      </c>
      <c r="D10" s="120" t="s">
        <v>612</v>
      </c>
      <c r="E10" s="120" t="s">
        <v>400</v>
      </c>
      <c r="F10" s="120">
        <v>1</v>
      </c>
      <c r="G10" s="120" t="s">
        <v>390</v>
      </c>
      <c r="H10" s="120" t="s">
        <v>391</v>
      </c>
      <c r="I10" s="120"/>
      <c r="J10" s="120" t="s">
        <v>401</v>
      </c>
      <c r="K10" s="120" t="s">
        <v>400</v>
      </c>
      <c r="L10" s="120" t="s">
        <v>482</v>
      </c>
      <c r="M10" s="120" t="s">
        <v>393</v>
      </c>
      <c r="N10" s="120">
        <v>40</v>
      </c>
      <c r="O10" s="120"/>
      <c r="P10" s="121" t="s">
        <v>623</v>
      </c>
      <c r="Q10" s="122"/>
      <c r="R10" s="122"/>
      <c r="S10" s="122"/>
      <c r="T10" s="122"/>
      <c r="U10" s="122"/>
      <c r="V10" s="122"/>
      <c r="W10" s="122"/>
      <c r="X10" s="122"/>
      <c r="Y10" s="122"/>
      <c r="Z10" s="123">
        <v>40</v>
      </c>
    </row>
    <row r="11" spans="1:26" x14ac:dyDescent="0.3">
      <c r="A11" s="120"/>
      <c r="B11" s="120" t="s">
        <v>489</v>
      </c>
      <c r="C11" s="120" t="s">
        <v>478</v>
      </c>
      <c r="D11" s="120" t="s">
        <v>612</v>
      </c>
      <c r="E11" s="120" t="s">
        <v>400</v>
      </c>
      <c r="F11" s="120">
        <v>1</v>
      </c>
      <c r="G11" s="120" t="s">
        <v>411</v>
      </c>
      <c r="H11" s="120" t="s">
        <v>391</v>
      </c>
      <c r="I11" s="120"/>
      <c r="J11" s="120" t="s">
        <v>401</v>
      </c>
      <c r="K11" s="120" t="s">
        <v>400</v>
      </c>
      <c r="L11" s="120" t="s">
        <v>482</v>
      </c>
      <c r="M11" s="120" t="s">
        <v>393</v>
      </c>
      <c r="N11" s="120">
        <v>20</v>
      </c>
      <c r="O11" s="120"/>
      <c r="P11" s="121" t="s">
        <v>613</v>
      </c>
      <c r="Q11" s="122"/>
      <c r="R11" s="122"/>
      <c r="S11" s="122"/>
      <c r="T11" s="122"/>
      <c r="U11" s="122"/>
      <c r="V11" s="122"/>
      <c r="W11" s="122"/>
      <c r="X11" s="122"/>
      <c r="Y11" s="122"/>
      <c r="Z11" s="123">
        <v>20</v>
      </c>
    </row>
    <row r="12" spans="1:26" x14ac:dyDescent="0.3">
      <c r="A12" s="120" t="s">
        <v>395</v>
      </c>
      <c r="B12" s="120" t="s">
        <v>389</v>
      </c>
      <c r="C12" s="120" t="s">
        <v>396</v>
      </c>
      <c r="D12" s="120" t="s">
        <v>612</v>
      </c>
      <c r="E12" s="120" t="s">
        <v>397</v>
      </c>
      <c r="F12" s="120">
        <v>1</v>
      </c>
      <c r="G12" s="120" t="s">
        <v>662</v>
      </c>
      <c r="H12" s="120" t="s">
        <v>419</v>
      </c>
      <c r="I12" s="120" t="s">
        <v>632</v>
      </c>
      <c r="J12" s="120" t="s">
        <v>398</v>
      </c>
      <c r="K12" s="120" t="s">
        <v>397</v>
      </c>
      <c r="L12" s="120" t="s">
        <v>392</v>
      </c>
      <c r="M12" s="120" t="s">
        <v>399</v>
      </c>
      <c r="N12" s="120"/>
      <c r="O12" s="120">
        <v>15</v>
      </c>
      <c r="P12" s="121" t="s">
        <v>623</v>
      </c>
      <c r="Q12" s="122"/>
      <c r="R12" s="122">
        <v>1</v>
      </c>
      <c r="S12" s="122">
        <v>14</v>
      </c>
      <c r="T12" s="122"/>
      <c r="U12" s="122"/>
      <c r="V12" s="122"/>
      <c r="W12" s="122"/>
      <c r="X12" s="122"/>
      <c r="Y12" s="122"/>
      <c r="Z12" s="133">
        <v>0</v>
      </c>
    </row>
    <row r="13" spans="1:26" x14ac:dyDescent="0.3">
      <c r="A13" s="120"/>
      <c r="B13" s="120"/>
      <c r="C13" s="120" t="s">
        <v>396</v>
      </c>
      <c r="D13" s="120" t="s">
        <v>612</v>
      </c>
      <c r="E13" s="120" t="s">
        <v>397</v>
      </c>
      <c r="F13" s="120">
        <v>1</v>
      </c>
      <c r="G13" s="120" t="s">
        <v>390</v>
      </c>
      <c r="H13" s="120" t="s">
        <v>391</v>
      </c>
      <c r="I13" s="120" t="s">
        <v>632</v>
      </c>
      <c r="J13" s="120" t="s">
        <v>398</v>
      </c>
      <c r="K13" s="120" t="s">
        <v>397</v>
      </c>
      <c r="L13" s="120" t="s">
        <v>392</v>
      </c>
      <c r="M13" s="120" t="s">
        <v>399</v>
      </c>
      <c r="N13" s="120"/>
      <c r="O13" s="120">
        <v>45</v>
      </c>
      <c r="P13" s="121" t="s">
        <v>623</v>
      </c>
      <c r="Q13" s="122"/>
      <c r="R13" s="122"/>
      <c r="S13" s="122"/>
      <c r="T13" s="122">
        <v>18</v>
      </c>
      <c r="U13" s="122">
        <v>27</v>
      </c>
      <c r="V13" s="122"/>
      <c r="W13" s="122"/>
      <c r="X13" s="122"/>
      <c r="Y13" s="122"/>
      <c r="Z13" s="133">
        <v>0</v>
      </c>
    </row>
    <row r="14" spans="1:26" x14ac:dyDescent="0.3">
      <c r="A14" s="120"/>
      <c r="B14" s="120"/>
      <c r="C14" s="120" t="s">
        <v>396</v>
      </c>
      <c r="D14" s="120" t="s">
        <v>612</v>
      </c>
      <c r="E14" s="120" t="s">
        <v>397</v>
      </c>
      <c r="F14" s="120">
        <v>1</v>
      </c>
      <c r="G14" s="120" t="s">
        <v>662</v>
      </c>
      <c r="H14" s="120" t="s">
        <v>419</v>
      </c>
      <c r="I14" s="120" t="s">
        <v>761</v>
      </c>
      <c r="J14" s="120" t="s">
        <v>398</v>
      </c>
      <c r="K14" s="120" t="s">
        <v>397</v>
      </c>
      <c r="L14" s="120" t="s">
        <v>392</v>
      </c>
      <c r="M14" s="120" t="s">
        <v>399</v>
      </c>
      <c r="N14" s="120"/>
      <c r="O14" s="120">
        <v>6</v>
      </c>
      <c r="P14" s="121" t="s">
        <v>623</v>
      </c>
      <c r="Q14" s="122">
        <v>1</v>
      </c>
      <c r="R14" s="122">
        <v>1</v>
      </c>
      <c r="S14" s="122">
        <v>4</v>
      </c>
      <c r="T14" s="122"/>
      <c r="U14" s="122"/>
      <c r="V14" s="122"/>
      <c r="W14" s="122"/>
      <c r="X14" s="122"/>
      <c r="Y14" s="122"/>
      <c r="Z14" s="133">
        <v>0</v>
      </c>
    </row>
    <row r="15" spans="1:26" x14ac:dyDescent="0.3">
      <c r="A15" s="120"/>
      <c r="B15" s="120"/>
      <c r="C15" s="120" t="s">
        <v>396</v>
      </c>
      <c r="D15" s="120" t="s">
        <v>612</v>
      </c>
      <c r="E15" s="120" t="s">
        <v>397</v>
      </c>
      <c r="F15" s="120">
        <v>1</v>
      </c>
      <c r="G15" s="120" t="s">
        <v>390</v>
      </c>
      <c r="H15" s="120" t="s">
        <v>391</v>
      </c>
      <c r="I15" s="120" t="s">
        <v>761</v>
      </c>
      <c r="J15" s="120" t="s">
        <v>398</v>
      </c>
      <c r="K15" s="120" t="s">
        <v>397</v>
      </c>
      <c r="L15" s="120" t="s">
        <v>392</v>
      </c>
      <c r="M15" s="120" t="s">
        <v>399</v>
      </c>
      <c r="N15" s="120"/>
      <c r="O15" s="120">
        <v>24</v>
      </c>
      <c r="P15" s="121" t="s">
        <v>623</v>
      </c>
      <c r="Q15" s="122"/>
      <c r="R15" s="122"/>
      <c r="S15" s="122"/>
      <c r="T15" s="122">
        <v>10</v>
      </c>
      <c r="U15" s="122">
        <v>14</v>
      </c>
      <c r="V15" s="122"/>
      <c r="W15" s="122"/>
      <c r="X15" s="122"/>
      <c r="Y15" s="122"/>
      <c r="Z15" s="133">
        <v>0</v>
      </c>
    </row>
    <row r="16" spans="1:26" x14ac:dyDescent="0.3">
      <c r="A16" s="120"/>
      <c r="B16" s="120"/>
      <c r="C16" s="120" t="s">
        <v>396</v>
      </c>
      <c r="D16" s="120" t="s">
        <v>612</v>
      </c>
      <c r="E16" s="120" t="s">
        <v>397</v>
      </c>
      <c r="F16" s="120">
        <v>1</v>
      </c>
      <c r="G16" s="120" t="s">
        <v>991</v>
      </c>
      <c r="H16" s="120" t="s">
        <v>419</v>
      </c>
      <c r="I16" s="120" t="s">
        <v>886</v>
      </c>
      <c r="J16" s="120" t="s">
        <v>398</v>
      </c>
      <c r="K16" s="120" t="s">
        <v>397</v>
      </c>
      <c r="L16" s="120" t="s">
        <v>392</v>
      </c>
      <c r="M16" s="120" t="s">
        <v>399</v>
      </c>
      <c r="N16" s="120"/>
      <c r="O16" s="120">
        <v>7</v>
      </c>
      <c r="P16" s="121" t="s">
        <v>623</v>
      </c>
      <c r="Q16" s="122"/>
      <c r="R16" s="122">
        <v>1</v>
      </c>
      <c r="S16" s="122">
        <v>6</v>
      </c>
      <c r="T16" s="122"/>
      <c r="U16" s="122"/>
      <c r="V16" s="122"/>
      <c r="W16" s="122"/>
      <c r="X16" s="122"/>
      <c r="Y16" s="122"/>
      <c r="Z16" s="133">
        <v>0</v>
      </c>
    </row>
    <row r="17" spans="1:26" x14ac:dyDescent="0.3">
      <c r="A17" s="120"/>
      <c r="B17" s="120"/>
      <c r="C17" s="120" t="s">
        <v>396</v>
      </c>
      <c r="D17" s="120" t="s">
        <v>612</v>
      </c>
      <c r="E17" s="120" t="s">
        <v>397</v>
      </c>
      <c r="F17" s="120">
        <v>1</v>
      </c>
      <c r="G17" s="120" t="s">
        <v>390</v>
      </c>
      <c r="H17" s="120" t="s">
        <v>391</v>
      </c>
      <c r="I17" s="120" t="s">
        <v>886</v>
      </c>
      <c r="J17" s="120" t="s">
        <v>398</v>
      </c>
      <c r="K17" s="120" t="s">
        <v>397</v>
      </c>
      <c r="L17" s="120" t="s">
        <v>392</v>
      </c>
      <c r="M17" s="120" t="s">
        <v>399</v>
      </c>
      <c r="N17" s="120"/>
      <c r="O17" s="120">
        <v>33</v>
      </c>
      <c r="P17" s="121" t="s">
        <v>623</v>
      </c>
      <c r="Q17" s="122"/>
      <c r="R17" s="122"/>
      <c r="S17" s="122"/>
      <c r="T17" s="122">
        <v>15</v>
      </c>
      <c r="U17" s="122">
        <v>18</v>
      </c>
      <c r="V17" s="122"/>
      <c r="W17" s="122"/>
      <c r="X17" s="122"/>
      <c r="Y17" s="122"/>
      <c r="Z17" s="133">
        <v>0</v>
      </c>
    </row>
    <row r="18" spans="1:26" ht="15" thickBot="1" x14ac:dyDescent="0.35">
      <c r="A18" s="120"/>
      <c r="B18" s="120"/>
      <c r="C18" s="120" t="s">
        <v>396</v>
      </c>
      <c r="D18" s="120" t="s">
        <v>612</v>
      </c>
      <c r="E18" s="120" t="s">
        <v>397</v>
      </c>
      <c r="F18" s="120">
        <v>1</v>
      </c>
      <c r="G18" s="120" t="s">
        <v>390</v>
      </c>
      <c r="H18" s="120" t="s">
        <v>391</v>
      </c>
      <c r="I18" s="120" t="s">
        <v>988</v>
      </c>
      <c r="J18" s="120" t="s">
        <v>398</v>
      </c>
      <c r="K18" s="120" t="s">
        <v>397</v>
      </c>
      <c r="L18" s="120" t="s">
        <v>392</v>
      </c>
      <c r="M18" s="120" t="s">
        <v>399</v>
      </c>
      <c r="N18" s="120"/>
      <c r="O18" s="120">
        <v>80</v>
      </c>
      <c r="P18" s="121" t="s">
        <v>990</v>
      </c>
      <c r="Q18" s="122"/>
      <c r="R18" s="122"/>
      <c r="S18" s="122"/>
      <c r="T18" s="122"/>
      <c r="U18" s="122"/>
      <c r="V18" s="122"/>
      <c r="W18" s="122"/>
      <c r="X18" s="122"/>
      <c r="Y18" s="122"/>
      <c r="Z18" s="123">
        <v>80</v>
      </c>
    </row>
    <row r="19" spans="1:26" ht="15" thickBot="1" x14ac:dyDescent="0.35">
      <c r="A19" s="124" t="s">
        <v>407</v>
      </c>
      <c r="B19" s="124"/>
      <c r="C19" s="124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>
        <v>380</v>
      </c>
      <c r="O19" s="124">
        <v>210</v>
      </c>
      <c r="P19" s="125"/>
      <c r="Q19" s="126">
        <v>1</v>
      </c>
      <c r="R19" s="126">
        <v>3</v>
      </c>
      <c r="S19" s="126">
        <v>24</v>
      </c>
      <c r="T19" s="126">
        <v>43</v>
      </c>
      <c r="U19" s="126">
        <v>59</v>
      </c>
      <c r="V19" s="126">
        <v>119</v>
      </c>
      <c r="W19" s="126">
        <v>45</v>
      </c>
      <c r="X19" s="126">
        <v>21</v>
      </c>
      <c r="Y19" s="126">
        <v>3</v>
      </c>
      <c r="Z19" s="127">
        <v>272</v>
      </c>
    </row>
    <row r="20" spans="1:26" x14ac:dyDescent="0.3">
      <c r="A20" s="128"/>
      <c r="B20" s="128"/>
      <c r="C20" s="128"/>
      <c r="D20" s="128"/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28"/>
      <c r="Q20" s="128"/>
      <c r="R20" s="128"/>
      <c r="S20" s="128"/>
      <c r="T20" s="128"/>
      <c r="U20" s="128"/>
      <c r="V20" s="128"/>
      <c r="W20" s="128"/>
      <c r="X20" s="128"/>
      <c r="Y20" s="128"/>
      <c r="Z20" s="128"/>
    </row>
  </sheetData>
  <pageMargins left="0.7" right="0.7" top="0.75" bottom="0.75" header="0.3" footer="0.3"/>
  <pageSetup paperSize="9" scale="68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E436C-9D2B-4584-A088-C5A68CD7F889}">
  <sheetPr codeName="Sheet5"/>
  <dimension ref="A1"/>
  <sheetViews>
    <sheetView workbookViewId="0"/>
  </sheetViews>
  <sheetFormatPr defaultRowHeight="14.4" x14ac:dyDescent="0.3"/>
  <sheetData/>
  <pageMargins left="0.7" right="0.7" top="0.75" bottom="0.75" header="0.3" footer="0.3"/>
  <drawing r:id="rId1"/>
</worksheet>
</file>

<file path=customUI/customUI14.xml><?xml version="1.0" encoding="utf-8"?>
<customUI xmlns="http://schemas.microsoft.com/office/2009/07/customui" onLoad="RibbonOnLoad">
  <ribbon>
    <tabs>
      <tab id="customTab" label="📊 Pakplan Vordering Tools" insertAfterMso="TabHome">
        <group id="grpDevTools" label="Developer Tools">
          <control idMso="VisualBasic" size="large"/>
          <button id="btnCalcAuto" label="Auto Calculate" onAction="SetCalcAuto" imageMso="CalculateNow"/>
          <control idMso="FormatPainter"/>
          <control idMso="CellFillColorPicker"/>
        </group>
        <group id="grpActions" label="Main Actions">
          <button id="btnSetup" label="Setup" onAction="Setup_Stuff_R" imageMso="HeaderSourceEdit" size="large"/>
          <button id="btnUpdate" label="Update Data" onAction="Update_Stuff_R" imageMso="RefreshAll" size="large"/>
          <button id="btnInput" label="Refresh Values" onAction="Input_Stuff_R" imageMso="AdpDiagramRecalculatePageBreaks" size="large"/>
          <button id="btnSummary" label="Update Summary" onAction="Short_Stuff_R" imageMso="GroupMoveData" size="large"/>
          <button id="btnCharts" label="Update Charts" onAction="Chart_Stuff_R" imageMso="Chart3DPieChart" size="large"/>
          <button id="btnSend" label="Save/Send" onAction="Export_Stuff_R" imageMso="SendDefault" size="large"/>
        </group>
        <group id="grpFarmFilter" label="Farm Filter">
          <labelControl id="lblFarm" label="Select Farm Scope:"/>
          <dropDown id="ddFarmFilter" getSelectedItemID="GetDefaultFarmFilter" onAction="SetFarmFilter">
            <item id="Mahela" label="Pure Mahela"/>
            <item id="NonMahela" label="Non Mahela"/>
            <item id="All" label="All Farms"/>
          </dropDown>
        </group>
        <group id="grpToggle" label="Toggle Options">
          <toggleButton id="btnValenciaGroup" label="Group Valencias" getPressed="GetValenciaGroupingState" onAction="ToggleValenciaGrouping" imageMso="OutlineGroupMenu" size="large"/>
          <toggleButton id="btnWeekGroup" label="Current Week" getPressed="GetWeekGroupingState" onAction="ToggleWeekGrouping" imageMso="DateAndTimeInsert" size="large"/>
        </group>
        <group id="grpPickRefs" label="Pick References">
          <editBox id="ebPickRef1" label="Pick Ref 1" onChange="SetPickRef1" getText="GetPickRef1"/>
          <editBox id="ebPickRef2" label="Pick Ref 2" onChange="SetPickRef2" getText="GetPickRef2"/>
          <labelControl id="lblPickRef" label="(Deselect Current Week to use)"/>
        </group>
        <group id="grpStatus" label="Status">
          <labelControl id="lblLastUpdated" getLabel="GetLastUpdatedLabel"/>
          <labelControl id="lblLastSent" getLabel="GetLastSentLabel"/>
        </group>
        <group id="grpVersion" label="Version">
          <button id="btnUpdateVersion" label="Check for Updates" onAction="Git_Update_R" imageMso="DatabaseLinedTableManager" size="larg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4569C0-F3E6-4D51-9661-64E3BA13A8E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Pakplan</vt:lpstr>
      <vt:lpstr>Data</vt:lpstr>
      <vt:lpstr>Agreement Codes</vt:lpstr>
      <vt:lpstr>Vordering</vt:lpstr>
      <vt:lpstr>Opsomming</vt:lpstr>
      <vt:lpstr>Grafieke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Smutsfield Packhouse Ohrigstad</dc:creator>
  <cp:lastModifiedBy>Logistiek Ohrigstad</cp:lastModifiedBy>
  <cp:lastPrinted>2026-09-18T14:09:23Z</cp:lastPrinted>
  <dcterms:created xsi:type="dcterms:W3CDTF">2024-02-27T12:12:19Z</dcterms:created>
  <dcterms:modified xsi:type="dcterms:W3CDTF">2026-09-19T09:22:39Z</dcterms:modified>
</cp:coreProperties>
</file>