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71C073E0-07A1-4094-BE10-F8CC029D5785}" xr6:coauthVersionLast="47" xr6:coauthVersionMax="47" xr10:uidLastSave="{00000000-0000-0000-0000-000000000000}"/>
  <bookViews>
    <workbookView xWindow="-108" yWindow="-108" windowWidth="23256" windowHeight="12456" activeTab="3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0" hidden="1">Pakplan!#REF!</definedName>
    <definedName name="ExternalData_1" localSheetId="1" hidden="1">Data!$A$1:$R$62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51" i="29" l="1"/>
  <c r="X49" i="29" s="1"/>
  <c r="W51" i="29"/>
  <c r="W49" i="29" s="1"/>
  <c r="V51" i="29"/>
  <c r="V49" i="29" s="1"/>
  <c r="U51" i="29"/>
  <c r="U49" i="29" s="1"/>
  <c r="T51" i="29"/>
  <c r="T49" i="29" s="1"/>
  <c r="S51" i="29"/>
  <c r="S49" i="29" s="1"/>
  <c r="R51" i="29"/>
  <c r="R49" i="29" s="1"/>
  <c r="Q51" i="29"/>
  <c r="Q49" i="29" s="1"/>
  <c r="X45" i="29"/>
  <c r="X43" i="29" s="1"/>
  <c r="W45" i="29"/>
  <c r="W43" i="29" s="1"/>
  <c r="V45" i="29"/>
  <c r="V43" i="29" s="1"/>
  <c r="U45" i="29"/>
  <c r="U43" i="29" s="1"/>
  <c r="T45" i="29"/>
  <c r="T43" i="29" s="1"/>
  <c r="S45" i="29"/>
  <c r="S43" i="29" s="1"/>
  <c r="R45" i="29"/>
  <c r="R43" i="29" s="1"/>
  <c r="Q45" i="29"/>
  <c r="Q43" i="29" s="1"/>
  <c r="X39" i="29"/>
  <c r="X37" i="29" s="1"/>
  <c r="W39" i="29"/>
  <c r="W37" i="29" s="1"/>
  <c r="V39" i="29"/>
  <c r="V37" i="29" s="1"/>
  <c r="U39" i="29"/>
  <c r="U37" i="29" s="1"/>
  <c r="T39" i="29"/>
  <c r="S39" i="29"/>
  <c r="S37" i="29" s="1"/>
  <c r="R39" i="29"/>
  <c r="R37" i="29" s="1"/>
  <c r="Q39" i="29"/>
  <c r="Q37" i="29" s="1"/>
  <c r="T37" i="29"/>
  <c r="X33" i="29"/>
  <c r="X31" i="29" s="1"/>
  <c r="W33" i="29"/>
  <c r="W31" i="29" s="1"/>
  <c r="V33" i="29"/>
  <c r="V31" i="29" s="1"/>
  <c r="U33" i="29"/>
  <c r="U31" i="29" s="1"/>
  <c r="T33" i="29"/>
  <c r="T31" i="29" s="1"/>
  <c r="S33" i="29"/>
  <c r="S31" i="29" s="1"/>
  <c r="R33" i="29"/>
  <c r="R31" i="29" s="1"/>
  <c r="Q33" i="29"/>
  <c r="Q31" i="29" s="1"/>
  <c r="X27" i="29"/>
  <c r="X25" i="29" s="1"/>
  <c r="W27" i="29"/>
  <c r="W25" i="29" s="1"/>
  <c r="V27" i="29"/>
  <c r="V25" i="29" s="1"/>
  <c r="U27" i="29"/>
  <c r="U25" i="29" s="1"/>
  <c r="T27" i="29"/>
  <c r="T25" i="29" s="1"/>
  <c r="S27" i="29"/>
  <c r="S25" i="29" s="1"/>
  <c r="R27" i="29"/>
  <c r="R25" i="29" s="1"/>
  <c r="Q27" i="29"/>
  <c r="Q25" i="29" s="1"/>
  <c r="X21" i="29"/>
  <c r="W21" i="29"/>
  <c r="W19" i="29" s="1"/>
  <c r="V21" i="29"/>
  <c r="V19" i="29" s="1"/>
  <c r="U21" i="29"/>
  <c r="U19" i="29" s="1"/>
  <c r="T21" i="29"/>
  <c r="T19" i="29" s="1"/>
  <c r="S21" i="29"/>
  <c r="S19" i="29" s="1"/>
  <c r="R21" i="29"/>
  <c r="R19" i="29" s="1"/>
  <c r="Q21" i="29"/>
  <c r="Q19" i="29" s="1"/>
  <c r="X19" i="29"/>
  <c r="X15" i="29"/>
  <c r="X13" i="29" s="1"/>
  <c r="W15" i="29"/>
  <c r="W13" i="29" s="1"/>
  <c r="V15" i="29"/>
  <c r="U15" i="29"/>
  <c r="U13" i="29" s="1"/>
  <c r="T15" i="29"/>
  <c r="T13" i="29" s="1"/>
  <c r="S15" i="29"/>
  <c r="S13" i="29" s="1"/>
  <c r="R15" i="29"/>
  <c r="R13" i="29" s="1"/>
  <c r="Q15" i="29"/>
  <c r="Q13" i="29" s="1"/>
  <c r="V13" i="29"/>
  <c r="X9" i="29"/>
  <c r="X7" i="29" s="1"/>
  <c r="W9" i="29"/>
  <c r="W7" i="29" s="1"/>
  <c r="V9" i="29"/>
  <c r="V7" i="29" s="1"/>
  <c r="U9" i="29"/>
  <c r="U7" i="29" s="1"/>
  <c r="T9" i="29"/>
  <c r="T7" i="29" s="1"/>
  <c r="S9" i="29"/>
  <c r="S7" i="29" s="1"/>
  <c r="R9" i="29"/>
  <c r="R7" i="29" s="1"/>
  <c r="Q9" i="29"/>
  <c r="Q7" i="29" s="1"/>
  <c r="S46" i="29"/>
  <c r="S40" i="29"/>
  <c r="U48" i="29" l="1"/>
  <c r="Q48" i="29"/>
  <c r="V42" i="29"/>
  <c r="U36" i="29"/>
  <c r="R30" i="29"/>
  <c r="X24" i="29"/>
  <c r="U24" i="29"/>
  <c r="T24" i="29"/>
  <c r="R18" i="29"/>
  <c r="R20" i="29" s="1"/>
  <c r="U12" i="29"/>
  <c r="U14" i="29" s="1"/>
  <c r="S12" i="29"/>
  <c r="S14" i="29" s="1"/>
  <c r="Q12" i="29"/>
  <c r="Q14" i="29" s="1"/>
  <c r="T6" i="29"/>
  <c r="R6" i="29"/>
  <c r="R8" i="29" s="1"/>
  <c r="X48" i="29"/>
  <c r="X47" i="29"/>
  <c r="W47" i="29"/>
  <c r="V47" i="29"/>
  <c r="U47" i="29"/>
  <c r="R47" i="29"/>
  <c r="Q47" i="29"/>
  <c r="U46" i="29"/>
  <c r="T46" i="29"/>
  <c r="T47" i="29" s="1"/>
  <c r="S47" i="29"/>
  <c r="X41" i="29"/>
  <c r="W41" i="29"/>
  <c r="V41" i="29"/>
  <c r="U41" i="29"/>
  <c r="T41" i="29"/>
  <c r="S41" i="29"/>
  <c r="Q41" i="29"/>
  <c r="Y40" i="29"/>
  <c r="O40" i="29" s="1"/>
  <c r="R40" i="29"/>
  <c r="R41" i="29" s="1"/>
  <c r="Q40" i="29"/>
  <c r="X35" i="29"/>
  <c r="W35" i="29"/>
  <c r="V35" i="29"/>
  <c r="U35" i="29"/>
  <c r="T35" i="29"/>
  <c r="T36" i="29" s="1"/>
  <c r="S35" i="29"/>
  <c r="R35" i="29"/>
  <c r="P35" i="29" s="1"/>
  <c r="Q35" i="29"/>
  <c r="X34" i="29"/>
  <c r="Y34" i="29" s="1"/>
  <c r="N34" i="29" s="1"/>
  <c r="X29" i="29"/>
  <c r="U30" i="29"/>
  <c r="U29" i="29"/>
  <c r="T29" i="29"/>
  <c r="S29" i="29"/>
  <c r="R29" i="29"/>
  <c r="Q29" i="29"/>
  <c r="W28" i="29"/>
  <c r="W29" i="29" s="1"/>
  <c r="V28" i="29"/>
  <c r="Y28" i="29" s="1"/>
  <c r="N28" i="29" s="1"/>
  <c r="X23" i="29"/>
  <c r="U23" i="29"/>
  <c r="T23" i="29"/>
  <c r="S23" i="29"/>
  <c r="R23" i="29"/>
  <c r="Q23" i="29"/>
  <c r="X22" i="29"/>
  <c r="W22" i="29"/>
  <c r="W23" i="29" s="1"/>
  <c r="V22" i="29"/>
  <c r="V23" i="29" s="1"/>
  <c r="X17" i="29"/>
  <c r="W17" i="29"/>
  <c r="U17" i="29"/>
  <c r="T17" i="29"/>
  <c r="S17" i="29"/>
  <c r="R17" i="29"/>
  <c r="Q17" i="29"/>
  <c r="Y16" i="29"/>
  <c r="N16" i="29" s="1"/>
  <c r="W16" i="29"/>
  <c r="V16" i="29"/>
  <c r="V17" i="29" s="1"/>
  <c r="X11" i="29"/>
  <c r="V11" i="29"/>
  <c r="U11" i="29"/>
  <c r="T11" i="29"/>
  <c r="S11" i="29"/>
  <c r="R11" i="29"/>
  <c r="P11" i="29" s="1"/>
  <c r="Q11" i="29"/>
  <c r="X10" i="29"/>
  <c r="W10" i="29"/>
  <c r="W11" i="29" s="1"/>
  <c r="X5" i="29"/>
  <c r="X53" i="29" s="1"/>
  <c r="U5" i="29"/>
  <c r="U53" i="29" s="1"/>
  <c r="T5" i="29"/>
  <c r="T53" i="29" s="1"/>
  <c r="S5" i="29"/>
  <c r="R5" i="29"/>
  <c r="R53" i="29" s="1"/>
  <c r="Q5" i="29"/>
  <c r="W4" i="29"/>
  <c r="Y4" i="29" s="1"/>
  <c r="V4" i="29"/>
  <c r="V5" i="29" s="1"/>
  <c r="V26" i="13"/>
  <c r="R26" i="13"/>
  <c r="Q26" i="13"/>
  <c r="U22" i="13"/>
  <c r="U26" i="13" s="1"/>
  <c r="T22" i="13"/>
  <c r="T26" i="13" s="1"/>
  <c r="S22" i="13"/>
  <c r="S26" i="13" s="1"/>
  <c r="Y21" i="13"/>
  <c r="O21" i="13" s="1"/>
  <c r="R21" i="13"/>
  <c r="Q21" i="13"/>
  <c r="X18" i="13"/>
  <c r="Y18" i="13" s="1"/>
  <c r="N18" i="13" s="1"/>
  <c r="W15" i="13"/>
  <c r="Y15" i="13" s="1"/>
  <c r="N15" i="13" s="1"/>
  <c r="V15" i="13"/>
  <c r="X12" i="13"/>
  <c r="Y12" i="13" s="1"/>
  <c r="N12" i="13" s="1"/>
  <c r="W12" i="13"/>
  <c r="V12" i="13"/>
  <c r="W8" i="13"/>
  <c r="Y8" i="13" s="1"/>
  <c r="V8" i="13"/>
  <c r="Y6" i="13"/>
  <c r="N6" i="13" s="1"/>
  <c r="X6" i="13"/>
  <c r="X26" i="13" s="1"/>
  <c r="W6" i="13"/>
  <c r="Y4" i="13"/>
  <c r="N4" i="13" s="1"/>
  <c r="W4" i="13"/>
  <c r="W26" i="13" s="1"/>
  <c r="V4" i="13"/>
  <c r="P39" i="29" l="1"/>
  <c r="S57" i="29"/>
  <c r="Q57" i="29"/>
  <c r="P33" i="29"/>
  <c r="V12" i="29"/>
  <c r="V14" i="29" s="1"/>
  <c r="Q36" i="29"/>
  <c r="W36" i="29"/>
  <c r="S55" i="29"/>
  <c r="X30" i="29"/>
  <c r="T18" i="29"/>
  <c r="T20" i="29" s="1"/>
  <c r="P21" i="29"/>
  <c r="X57" i="29"/>
  <c r="P27" i="29"/>
  <c r="P49" i="29"/>
  <c r="R57" i="29"/>
  <c r="U57" i="29"/>
  <c r="U42" i="29"/>
  <c r="P13" i="29"/>
  <c r="V55" i="29"/>
  <c r="U55" i="29"/>
  <c r="P7" i="29"/>
  <c r="P43" i="29"/>
  <c r="T55" i="29"/>
  <c r="T12" i="29"/>
  <c r="T14" i="29" s="1"/>
  <c r="S18" i="29"/>
  <c r="S20" i="29" s="1"/>
  <c r="R24" i="29"/>
  <c r="T48" i="29"/>
  <c r="V57" i="29"/>
  <c r="W12" i="29"/>
  <c r="W14" i="29" s="1"/>
  <c r="S24" i="29"/>
  <c r="W24" i="29"/>
  <c r="R48" i="29"/>
  <c r="P9" i="29"/>
  <c r="U18" i="29"/>
  <c r="U20" i="29" s="1"/>
  <c r="P45" i="29"/>
  <c r="W57" i="29"/>
  <c r="X12" i="29"/>
  <c r="X14" i="29" s="1"/>
  <c r="S36" i="29"/>
  <c r="Q42" i="29"/>
  <c r="P51" i="29"/>
  <c r="R55" i="29"/>
  <c r="P15" i="29"/>
  <c r="V18" i="29"/>
  <c r="V20" i="29" s="1"/>
  <c r="X18" i="29"/>
  <c r="X20" i="29" s="1"/>
  <c r="S30" i="29"/>
  <c r="S42" i="29"/>
  <c r="V24" i="29"/>
  <c r="T30" i="29"/>
  <c r="T42" i="29"/>
  <c r="P19" i="29"/>
  <c r="V36" i="29"/>
  <c r="T57" i="29"/>
  <c r="Q18" i="29"/>
  <c r="Q20" i="29" s="1"/>
  <c r="W30" i="29"/>
  <c r="X36" i="29"/>
  <c r="W42" i="29"/>
  <c r="V48" i="29"/>
  <c r="X42" i="29"/>
  <c r="W48" i="29"/>
  <c r="R42" i="29"/>
  <c r="S48" i="29"/>
  <c r="P23" i="29"/>
  <c r="V53" i="29"/>
  <c r="V6" i="29"/>
  <c r="N4" i="29"/>
  <c r="P5" i="29"/>
  <c r="P47" i="29"/>
  <c r="Q6" i="29"/>
  <c r="U6" i="29"/>
  <c r="R12" i="29"/>
  <c r="P17" i="29"/>
  <c r="R36" i="29"/>
  <c r="P41" i="29"/>
  <c r="Y10" i="29"/>
  <c r="N10" i="29" s="1"/>
  <c r="V29" i="29"/>
  <c r="V30" i="29" s="1"/>
  <c r="Q53" i="29"/>
  <c r="S53" i="29"/>
  <c r="W5" i="29"/>
  <c r="Y22" i="29"/>
  <c r="N22" i="29" s="1"/>
  <c r="Y46" i="29"/>
  <c r="O46" i="29" s="1"/>
  <c r="T8" i="29"/>
  <c r="N8" i="13"/>
  <c r="N26" i="13" s="1"/>
  <c r="Y22" i="13"/>
  <c r="O22" i="13" s="1"/>
  <c r="O26" i="13" s="1"/>
  <c r="R52" i="29" l="1"/>
  <c r="N52" i="29"/>
  <c r="P48" i="29"/>
  <c r="P50" i="29" s="1"/>
  <c r="S44" i="29"/>
  <c r="P42" i="29"/>
  <c r="P44" i="29" s="1"/>
  <c r="Q55" i="29"/>
  <c r="S6" i="29"/>
  <c r="S8" i="29" s="1"/>
  <c r="P31" i="29"/>
  <c r="Q30" i="29"/>
  <c r="P30" i="29" s="1"/>
  <c r="P32" i="29" s="1"/>
  <c r="P37" i="29"/>
  <c r="W44" i="29"/>
  <c r="P57" i="29"/>
  <c r="Q44" i="29"/>
  <c r="P25" i="29"/>
  <c r="X26" i="29" s="1"/>
  <c r="Q24" i="29"/>
  <c r="P24" i="29" s="1"/>
  <c r="P26" i="29" s="1"/>
  <c r="X55" i="29"/>
  <c r="X6" i="29"/>
  <c r="V44" i="29"/>
  <c r="W18" i="29"/>
  <c r="W55" i="29"/>
  <c r="T44" i="29"/>
  <c r="P36" i="29"/>
  <c r="P38" i="29" s="1"/>
  <c r="X44" i="29"/>
  <c r="T54" i="29"/>
  <c r="V52" i="29"/>
  <c r="X52" i="29"/>
  <c r="P29" i="29"/>
  <c r="U50" i="29"/>
  <c r="Q50" i="29"/>
  <c r="W50" i="29"/>
  <c r="S50" i="29"/>
  <c r="V54" i="29"/>
  <c r="V8" i="29"/>
  <c r="O52" i="29"/>
  <c r="X50" i="29"/>
  <c r="Y52" i="29"/>
  <c r="R50" i="29"/>
  <c r="P12" i="29"/>
  <c r="R14" i="29"/>
  <c r="S52" i="29"/>
  <c r="V50" i="29"/>
  <c r="W6" i="29"/>
  <c r="W53" i="29"/>
  <c r="P53" i="29" s="1"/>
  <c r="U44" i="29"/>
  <c r="T50" i="29"/>
  <c r="Q52" i="29"/>
  <c r="R44" i="29"/>
  <c r="U54" i="29"/>
  <c r="U8" i="29"/>
  <c r="U52" i="29"/>
  <c r="R54" i="29"/>
  <c r="T52" i="29"/>
  <c r="Q8" i="29"/>
  <c r="W52" i="29"/>
  <c r="Y26" i="13"/>
  <c r="AV31" i="25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  <c r="S54" i="29" l="1"/>
  <c r="Q26" i="29"/>
  <c r="R26" i="29"/>
  <c r="S26" i="29"/>
  <c r="P55" i="29"/>
  <c r="U26" i="29"/>
  <c r="W26" i="29"/>
  <c r="U38" i="29"/>
  <c r="T38" i="29"/>
  <c r="X38" i="29"/>
  <c r="R38" i="29"/>
  <c r="W38" i="29"/>
  <c r="V38" i="29"/>
  <c r="Q38" i="29"/>
  <c r="S38" i="29"/>
  <c r="Q54" i="29"/>
  <c r="W20" i="29"/>
  <c r="P20" i="29" s="1"/>
  <c r="P18" i="29"/>
  <c r="X54" i="29"/>
  <c r="X8" i="29"/>
  <c r="P6" i="29"/>
  <c r="V26" i="29"/>
  <c r="T26" i="29"/>
  <c r="P14" i="29"/>
  <c r="X32" i="29"/>
  <c r="Q32" i="29"/>
  <c r="V32" i="29"/>
  <c r="U32" i="29"/>
  <c r="S32" i="29"/>
  <c r="T32" i="29"/>
  <c r="R32" i="29"/>
  <c r="W32" i="29"/>
  <c r="W8" i="29"/>
  <c r="W54" i="29"/>
  <c r="Q56" i="29" l="1"/>
  <c r="V56" i="29"/>
  <c r="U56" i="29"/>
  <c r="P54" i="29"/>
  <c r="R56" i="29"/>
  <c r="S56" i="29"/>
  <c r="W56" i="29"/>
  <c r="T56" i="29"/>
  <c r="X56" i="29"/>
  <c r="P8" i="29"/>
  <c r="P56" i="2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<sst xmlns="http://schemas.openxmlformats.org/spreadsheetml/2006/main" count="2353" uniqueCount="608">
  <si>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</si>
  <si>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</si>
  <si>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</si>
  <si>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</si>
  <si>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</si>
  <si>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</si>
  <si>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</si>
  <si>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</si>
  <si>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</si>
  <si>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</si>
  <si>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</si>
  <si>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</si>
  <si>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</si>
  <si>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</si>
  <si>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</si>
  <si>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</si>
  <si>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</si>
  <si>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</si>
  <si>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</si>
  <si>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</si>
  <si>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</si>
  <si>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</si>
  <si>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</si>
  <si>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</si>
  <si>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</si>
  <si>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</si>
  <si>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</si>
  <si>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</si>
  <si>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</si>
  <si>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</si>
  <si>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</si>
  <si>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</si>
  <si>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</si>
  <si>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</si>
  <si>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</si>
  <si>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</si>
  <si>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</si>
  <si>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</si>
  <si>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</si>
  <si>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</si>
  <si>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</si>
  <si>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</si>
  <si>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</si>
  <si>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</si>
  <si>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</si>
  <si>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</si>
  <si>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</si>
  <si>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</si>
  <si>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</si>
  <si>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</si>
  <si>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</si>
  <si>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</si>
  <si>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</si>
  <si>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</si>
  <si>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</si>
  <si>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</si>
  <si>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</si>
  <si>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</si>
  <si>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</si>
  <si>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</si>
  <si>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</si>
  <si>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</si>
  <si>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</si>
  <si>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</si>
  <si>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</si>
  <si>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</si>
  <si>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</si>
  <si>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</si>
  <si>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</si>
  <si>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</si>
  <si>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</si>
  <si>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</si>
  <si>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</si>
  <si>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</si>
  <si>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</si>
  <si>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</si>
  <si>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</si>
  <si>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</si>
  <si>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</si>
  <si>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</si>
  <si>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</si>
  <si>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</si>
  <si>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</si>
  <si>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</si>
  <si>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</si>
  <si>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</si>
  <si>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</si>
  <si>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</si>
  <si>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</si>
  <si>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</si>
  <si>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</si>
  <si>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</si>
  <si>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</si>
  <si>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</si>
  <si>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</si>
  <si>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</si>
  <si>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</si>
  <si>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</si>
  <si>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</si>
  <si>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</si>
  <si>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</si>
  <si>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</si>
  <si>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</si>
  <si>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</si>
  <si>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</si>
  <si>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</si>
  <si>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</si>
  <si>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</si>
  <si>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</si>
  <si>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</si>
  <si>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</si>
  <si>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</si>
  <si>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</si>
  <si>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</si>
  <si>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</si>
  <si>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</si>
  <si>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</si>
  <si>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</si>
  <si>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</si>
  <si>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</si>
  <si>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</si>
  <si>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</si>
  <si>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</si>
  <si>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</si>
  <si>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</si>
  <si>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</si>
  <si>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</si>
  <si>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</si>
  <si>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</si>
  <si>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</si>
  <si>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</si>
  <si>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</si>
  <si>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</si>
  <si>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</si>
  <si>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</si>
  <si>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</si>
  <si>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</si>
  <si>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</si>
  <si>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</si>
  <si>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</si>
  <si>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</si>
  <si>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</si>
  <si>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</si>
  <si>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</si>
  <si>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</si>
  <si>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</si>
  <si>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</si>
  <si>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</si>
  <si>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</si>
  <si>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</si>
  <si>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</si>
  <si>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</si>
  <si>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</si>
  <si>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</si>
  <si>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</si>
  <si>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</si>
  <si>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</si>
  <si>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</si>
  <si>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</si>
  <si>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</si>
  <si>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</si>
  <si>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</si>
  <si>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</si>
  <si>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</si>
  <si>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</si>
  <si>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</si>
  <si>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</si>
  <si>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</si>
  <si>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</si>
  <si>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</si>
  <si>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</si>
  <si>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</si>
  <si>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</si>
  <si>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</si>
  <si>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</si>
  <si>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</si>
  <si>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</si>
  <si>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</si>
  <si>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</si>
  <si>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</si>
  <si>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</si>
  <si>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</si>
  <si>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</si>
  <si>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</si>
  <si>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</si>
  <si>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</si>
  <si>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</si>
  <si>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</si>
  <si>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</si>
  <si>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</si>
  <si>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</si>
  <si>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</si>
  <si>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</si>
  <si>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</si>
  <si>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</si>
  <si>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</si>
  <si>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</si>
  <si>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</si>
  <si>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</si>
  <si>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</si>
  <si>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</si>
  <si>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</si>
  <si>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</si>
  <si>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</si>
  <si>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</si>
  <si>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</si>
  <si>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</si>
  <si>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</si>
  <si>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</si>
  <si>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</si>
  <si>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</si>
  <si>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</si>
  <si>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</si>
  <si>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</si>
  <si>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</si>
  <si>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</si>
  <si>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</si>
  <si>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</si>
  <si>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</si>
  <si>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</si>
  <si>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</si>
  <si>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</si>
  <si>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</si>
  <si>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</si>
  <si>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</si>
  <si>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</si>
  <si>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</si>
  <si>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</si>
  <si>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</si>
  <si>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</si>
  <si>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</si>
  <si>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</si>
  <si>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</si>
  <si>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</si>
  <si>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</si>
  <si>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</si>
  <si>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</si>
  <si>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</si>
  <si>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</si>
  <si>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</si>
  <si>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</si>
  <si>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</si>
  <si>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</si>
  <si>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</si>
  <si>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</si>
  <si>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</si>
  <si>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</si>
  <si>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</si>
  <si>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</si>
  <si>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</si>
  <si>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</si>
  <si>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</si>
  <si>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</si>
  <si>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</si>
  <si>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</si>
  <si>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</si>
  <si>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</si>
  <si>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</si>
  <si>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</si>
  <si>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</si>
  <si>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</si>
  <si>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</si>
  <si>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</si>
  <si>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</si>
  <si>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</si>
  <si>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</si>
  <si>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</si>
  <si>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</si>
  <si>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</si>
  <si>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</si>
  <si>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</si>
  <si>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</si>
  <si>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</si>
  <si>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</si>
  <si>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</si>
  <si>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</si>
  <si>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</si>
  <si>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</si>
  <si>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</si>
  <si>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</si>
  <si>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</si>
  <si>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</si>
  <si>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</si>
  <si>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</si>
  <si>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</si>
  <si>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</si>
  <si>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</si>
  <si>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</si>
  <si>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</si>
  <si>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</si>
  <si>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</si>
  <si>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</si>
  <si>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</si>
  <si>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</si>
  <si>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</si>
  <si>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</si>
  <si>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</si>
  <si>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</si>
  <si>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</si>
  <si>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</si>
  <si>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</si>
  <si>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</si>
  <si>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</si>
  <si>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</si>
  <si>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</si>
  <si>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</si>
  <si>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</si>
  <si>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</si>
  <si>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</si>
  <si>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</si>
  <si>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</si>
  <si>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</si>
  <si>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</si>
  <si>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</si>
  <si>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</si>
  <si>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</si>
  <si>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</si>
  <si>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</si>
  <si>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</si>
  <si>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</si>
  <si>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</si>
  <si>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</si>
  <si>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</si>
  <si>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</si>
  <si>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</si>
  <si>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</si>
  <si>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</si>
  <si>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</si>
  <si>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</si>
  <si>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</si>
  <si>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</si>
  <si>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</si>
  <si>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</si>
  <si>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</si>
  <si>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</si>
  <si>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</si>
  <si>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</si>
  <si>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</si>
  <si>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</si>
  <si>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</si>
  <si>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</si>
  <si>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</si>
  <si>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</si>
  <si>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</si>
  <si>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</si>
  <si>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</si>
  <si>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</si>
  <si>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</si>
  <si>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</si>
  <si>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</si>
  <si>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</si>
  <si>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</si>
  <si>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</si>
  <si>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</si>
  <si>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</si>
  <si>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</si>
  <si>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</si>
  <si>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</si>
  <si>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</si>
  <si>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</si>
  <si>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</si>
  <si>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</si>
  <si>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</si>
  <si>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</si>
  <si>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</si>
  <si>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</si>
  <si>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</si>
  <si>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</si>
  <si>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</si>
  <si>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</si>
  <si>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</si>
  <si>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</si>
  <si>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</si>
  <si>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</si>
  <si>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</si>
  <si>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</si>
  <si>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</si>
  <si>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</si>
  <si>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</si>
  <si>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</si>
  <si>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</si>
  <si>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</si>
  <si>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</si>
  <si>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</si>
  <si>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</si>
  <si>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</si>
  <si>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</si>
  <si>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</si>
  <si>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</si>
  <si>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</si>
  <si>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</si>
  <si>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</si>
  <si>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</si>
  <si>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</si>
  <si>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</si>
  <si>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</si>
  <si>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</si>
  <si>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</si>
  <si>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</si>
  <si>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</si>
  <si>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</si>
  <si>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</si>
  <si>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</si>
  <si>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</si>
  <si>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</si>
  <si>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</si>
  <si>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</si>
  <si>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</si>
  <si>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</si>
  <si>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</si>
  <si>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</si>
  <si>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</si>
  <si>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</si>
  <si>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</si>
  <si>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</si>
  <si>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</si>
  <si>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</si>
  <si>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</si>
  <si>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</si>
  <si>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</si>
  <si>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</si>
  <si>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</si>
  <si>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</si>
  <si>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</si>
  <si>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</si>
  <si>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</si>
  <si>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</si>
  <si>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</si>
  <si>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</si>
  <si>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</si>
  <si>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</si>
  <si>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</si>
  <si>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</si>
  <si>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</si>
  <si>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</si>
  <si>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</si>
  <si>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</si>
  <si>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</si>
  <si>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</si>
  <si>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</si>
  <si>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</si>
  <si>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</si>
  <si>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</si>
  <si>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</si>
  <si>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</si>
  <si>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</si>
  <si>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</si>
  <si>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</si>
  <si>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</si>
  <si>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</si>
  <si>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</si>
  <si>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</si>
  <si>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</si>
  <si>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</si>
  <si>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</si>
  <si>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</si>
  <si>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</si>
  <si>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</si>
  <si>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</si>
  <si>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</si>
  <si>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</si>
  <si>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</si>
  <si>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</si>
  <si>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</si>
  <si>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</si>
  <si>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</si>
  <si>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</si>
  <si>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</si>
  <si>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</si>
  <si>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</si>
  <si>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</si>
  <si>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</si>
  <si>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</si>
  <si>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</si>
  <si>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</si>
  <si>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</si>
  <si>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</si>
  <si>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</si>
  <si>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</si>
  <si>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</si>
  <si>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</si>
  <si>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</si>
  <si>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</si>
  <si>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</si>
  <si>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</si>
  <si>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</si>
  <si>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</si>
  <si>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</si>
  <si>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</si>
  <si>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</si>
  <si>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</si>
  <si>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</si>
  <si>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</si>
  <si>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</si>
  <si>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</si>
  <si>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</si>
  <si>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</si>
  <si>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</si>
  <si>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</si>
  <si>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</si>
  <si>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</si>
  <si>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</si>
  <si>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</si>
  <si>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</si>
  <si>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</si>
  <si>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</si>
  <si>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</si>
  <si>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</si>
  <si>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</si>
  <si>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</si>
  <si>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</si>
  <si>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</si>
  <si>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</si>
  <si>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LAYER ONLY, INDIA STICKER, PACK AS ORDERED</t>
  </si>
  <si>
    <t>LAYER ONLY,  PACK ORCHARD RUN</t>
  </si>
  <si>
    <t>LAYER ONLY, RUSSIA CARTON LABEL</t>
  </si>
  <si>
    <t>ON</t>
  </si>
  <si>
    <t>56</t>
  </si>
  <si>
    <t>64</t>
  </si>
  <si>
    <t>72</t>
  </si>
  <si>
    <t>88</t>
  </si>
  <si>
    <t>105</t>
  </si>
  <si>
    <t>50</t>
  </si>
  <si>
    <t>45</t>
  </si>
  <si>
    <t>ZLW39</t>
  </si>
  <si>
    <t>Last Updated: 18/09/2026 17:22:46</t>
  </si>
  <si>
    <t>Last Sent: 18/09/2026 17:22:53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</si>
  <si>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</si>
  <si>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</si>
  <si>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DB</t>
  </si>
  <si>
    <t>LAYER ONLY, PACK AS ORDERED</t>
  </si>
  <si>
    <t>D6631</t>
  </si>
  <si>
    <t>48</t>
  </si>
  <si>
    <t>RH</t>
  </si>
  <si>
    <t>55</t>
  </si>
  <si>
    <t>MAHELA OHRIGSTAD ORANGE PACKING PLAN WEEK 40_2026</t>
  </si>
  <si>
    <t>AR</t>
  </si>
  <si>
    <t>TFCW40</t>
  </si>
  <si>
    <t>ZLW40</t>
  </si>
  <si>
    <t>PACK 120 PLTS CNT 36-64 ORCHARD RUN</t>
  </si>
  <si>
    <t>0204</t>
  </si>
  <si>
    <t>060099004626846293</t>
  </si>
  <si>
    <t>060099004626846309</t>
  </si>
  <si>
    <t>060099004626846316</t>
  </si>
  <si>
    <t>060099004626846323</t>
  </si>
  <si>
    <t>060099004626846330</t>
  </si>
  <si>
    <t>060099004626846347</t>
  </si>
  <si>
    <t>060099004626846354</t>
  </si>
  <si>
    <t>060099004626846361</t>
  </si>
  <si>
    <t>060099004626846385</t>
  </si>
  <si>
    <t>060099004626846392</t>
  </si>
  <si>
    <t>060099004626846408</t>
  </si>
  <si>
    <t>060099004626846415</t>
  </si>
  <si>
    <t>060099004626846422</t>
  </si>
  <si>
    <t>060099004626846439</t>
  </si>
  <si>
    <t>060099004626846446</t>
  </si>
  <si>
    <t>060099004626846453</t>
  </si>
  <si>
    <t>060099004626846460</t>
  </si>
  <si>
    <t>060099004626846477</t>
  </si>
  <si>
    <t>060099004626846484</t>
  </si>
  <si>
    <t>060099004626846491</t>
  </si>
  <si>
    <t>ZF/MAHEL/MAKUL</t>
  </si>
  <si>
    <t>060099004626846514</t>
  </si>
  <si>
    <t>060099004626846521</t>
  </si>
  <si>
    <t>060099004626846538</t>
  </si>
  <si>
    <t>060099004626846545</t>
  </si>
  <si>
    <t>060099004626846552</t>
  </si>
  <si>
    <t>060099004626846569</t>
  </si>
  <si>
    <t>060099004626846576</t>
  </si>
  <si>
    <t>060099004626846583</t>
  </si>
  <si>
    <t>060099004626846590</t>
  </si>
  <si>
    <t>060099004626846606</t>
  </si>
  <si>
    <t>060099004626846613</t>
  </si>
  <si>
    <t>060099004626846620</t>
  </si>
  <si>
    <t>060099004626846637</t>
  </si>
  <si>
    <t>IC63601438</t>
  </si>
  <si>
    <t>IC63601436</t>
  </si>
  <si>
    <t>IC63601437</t>
  </si>
  <si>
    <t>IC63601440</t>
  </si>
  <si>
    <t>060099004626846644</t>
  </si>
  <si>
    <t>060099004626846651</t>
  </si>
  <si>
    <t>060099004626846668</t>
  </si>
  <si>
    <t>060099004626846675</t>
  </si>
  <si>
    <t>060099004626846682</t>
  </si>
  <si>
    <t>060099004626846699</t>
  </si>
  <si>
    <t>060099004626846705</t>
  </si>
  <si>
    <t>060099004626846712</t>
  </si>
  <si>
    <t>060099004626846729</t>
  </si>
  <si>
    <t>060099004626846736</t>
  </si>
  <si>
    <t>060099004626846743</t>
  </si>
  <si>
    <t>060099004626846750</t>
  </si>
  <si>
    <t>060099004626846767</t>
  </si>
  <si>
    <t>060099004626846774</t>
  </si>
  <si>
    <t>IC63601439</t>
  </si>
  <si>
    <t>060099004626846781</t>
  </si>
  <si>
    <t>060099004626846798</t>
  </si>
  <si>
    <t>060099004626846804</t>
  </si>
  <si>
    <t>060099004626846811</t>
  </si>
  <si>
    <t>060099004626846828</t>
  </si>
  <si>
    <t>060099004626846842</t>
  </si>
  <si>
    <t>060099004626846859</t>
  </si>
  <si>
    <t>060099004626846866</t>
  </si>
  <si>
    <t>060099004626846873</t>
  </si>
  <si>
    <t>060099004626846880</t>
  </si>
  <si>
    <t>060099004626846897</t>
  </si>
  <si>
    <t>060099004626846903</t>
  </si>
  <si>
    <t>060099004626846910</t>
  </si>
  <si>
    <t>060099004626846927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</si>
</sst>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35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11" fillId="6" borderId="3" xfId="0" applyFont="1" applyFill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9" fillId="0" borderId="3" xfId="0" applyFont="1" applyBorder="1" applyAlignment="1">
      <alignment horizontal="center"/>
    </xf>
    <xf numFmtId="0" fontId="18" fillId="0" borderId="5" xfId="0" applyFont="1" applyBorder="1" applyAlignment="1">
      <alignment horizontal="left"/>
    </xf>
    <xf numFmtId="0" fontId="0" fillId="0" borderId="5" xfId="0" applyBorder="1"/>
    <xf numFmtId="0" fontId="0" fillId="0" borderId="14" xfId="0" applyBorder="1"/>
    <xf numFmtId="0" fontId="11" fillId="10" borderId="3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9" fillId="0" borderId="5" xfId="0" applyFont="1" applyBorder="1"/>
    <xf numFmtId="0" fontId="11" fillId="10" borderId="4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left"/>
    </xf>
    <xf numFmtId="0" fontId="11" fillId="10" borderId="6" xfId="0" applyFont="1" applyFill="1" applyBorder="1" applyAlignment="1">
      <alignment horizontal="center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48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TFCW40 - 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50F-4A89-8649-B98FE10090D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50F-4A89-8649-B98FE10090D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50F-4A89-8649-B98FE10090D6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50F-4A89-8649-B98FE10090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16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50F-4A89-8649-B98FE1009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A31-4CDB-8AD7-CE3122C43EA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A31-4CDB-8AD7-CE3122C43EA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A31-4CDB-8AD7-CE3122C43EA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A31-4CDB-8AD7-CE3122C43EA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A31-4CDB-8AD7-CE3122C43E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12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A31-4CDB-8AD7-CE3122C43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TFCW40 -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B13-4FBA-BEE5-FF8E5D9D283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B13-4FBA-BEE5-FF8E5D9D283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B13-4FBA-BEE5-FF8E5D9D283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B13-4FBA-BEE5-FF8E5D9D283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13-4FBA-BEE5-FF8E5D9D283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B13-4FBA-BEE5-FF8E5D9D2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0D6-4D0B-984B-42329714AE7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0D6-4D0B-984B-42329714AE7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0D6-4D0B-984B-42329714AE7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0D6-4D0B-984B-42329714AE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13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0D6-4D0B-984B-42329714A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TFCW40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56A-48FA-9D60-12E8B495BB1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56A-48FA-9D60-12E8B495BB1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56A-48FA-9D60-12E8B495BB18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56A-48FA-9D60-12E8B495BB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</c:v>
              </c:pt>
              <c:pt idx="1">
                <c:v>115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56A-48FA-9D60-12E8B495BB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ZLW40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83E-4112-BFCD-8A41B4DFCA1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83E-4112-BFCD-8A41B4DFCA1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83E-4112-BFCD-8A41B4DFCA14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3E-4112-BFCD-8A41B4DFCA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19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83E-4112-BFCD-8A41B4DFCA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9A5-4833-B904-99B4010FEEA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9A5-4833-B904-99B4010FEEA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9A5-4833-B904-99B4010FEEA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9A5-4833-B904-99B4010FEE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9A5-4833-B904-99B4010FEE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RH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C4F-46DD-A93B-A0A3CFB45AA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C4F-46DD-A93B-A0A3CFB45AA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C4F-46DD-A93B-A0A3CFB45AA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4F-46DD-A93B-A0A3CFB45A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26</c:v>
              </c:pt>
              <c:pt idx="1">
                <c:v>10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C4F-46DD-A93B-A0A3CFB45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D0EF029-AE1C-8CA8-3DEC-E1BEA74228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32FE99-7679-7967-4A95-7128536F34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6F461F3-582A-32EC-2512-2DEE5D98C7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471A87C-444B-89D1-CF3A-EB1D1B367A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D3C474D-5074-22C1-8109-B54DBA8B52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E6AE163-B2A6-605C-E82A-11C471BA13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6677976-012B-CF7B-FF34-54D106FBA4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CD54D6E-C393-6CB4-E556-07D2A86BF2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62" tableType="queryTable" totalsRowShown="0">
  <autoFilter ref="A1:R62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A33"/>
  <sheetViews>
    <sheetView zoomScale="55" zoomScaleNormal="55" workbookViewId="0">
      <selection activeCell="Y1" sqref="Y1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1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27" ht="18" x14ac:dyDescent="0.35">
      <c r="A1" s="30" t="s">
        <v>535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6"/>
      <c r="O1" s="32"/>
      <c r="P1" s="1"/>
      <c r="Q1" s="32"/>
      <c r="R1" s="32"/>
      <c r="S1" s="67"/>
      <c r="T1" s="32"/>
      <c r="U1" s="32"/>
      <c r="V1" s="32"/>
      <c r="W1" s="32"/>
      <c r="X1" s="32"/>
      <c r="Y1" s="32"/>
    </row>
    <row r="2" spans="1:27" ht="18" x14ac:dyDescent="0.35">
      <c r="A2" s="30"/>
      <c r="C2" s="31"/>
      <c r="D2" s="68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69" t="s">
        <v>501</v>
      </c>
      <c r="Q2" s="70">
        <v>24</v>
      </c>
      <c r="R2" s="70">
        <v>28</v>
      </c>
      <c r="S2" s="70">
        <v>32</v>
      </c>
      <c r="T2" s="70">
        <v>36</v>
      </c>
      <c r="U2" s="70">
        <v>40</v>
      </c>
      <c r="V2" s="32"/>
      <c r="W2" s="32"/>
      <c r="X2" s="32"/>
      <c r="Y2" s="32"/>
    </row>
    <row r="3" spans="1:27" ht="46.8" x14ac:dyDescent="0.3">
      <c r="A3" s="71" t="s">
        <v>365</v>
      </c>
      <c r="B3" s="72" t="s">
        <v>374</v>
      </c>
      <c r="C3" s="73" t="s">
        <v>375</v>
      </c>
      <c r="D3" s="73" t="s">
        <v>376</v>
      </c>
      <c r="E3" s="73" t="s">
        <v>377</v>
      </c>
      <c r="F3" s="73" t="s">
        <v>378</v>
      </c>
      <c r="G3" s="73" t="s">
        <v>379</v>
      </c>
      <c r="H3" s="73" t="s">
        <v>360</v>
      </c>
      <c r="I3" s="73" t="s">
        <v>380</v>
      </c>
      <c r="J3" s="74" t="s">
        <v>381</v>
      </c>
      <c r="K3" s="74" t="s">
        <v>382</v>
      </c>
      <c r="L3" s="74" t="s">
        <v>477</v>
      </c>
      <c r="M3" s="73" t="s">
        <v>384</v>
      </c>
      <c r="N3" s="75" t="s">
        <v>385</v>
      </c>
      <c r="O3" s="75" t="s">
        <v>386</v>
      </c>
      <c r="P3" s="74" t="s">
        <v>387</v>
      </c>
      <c r="Q3" s="76" t="s">
        <v>502</v>
      </c>
      <c r="R3" s="76" t="s">
        <v>503</v>
      </c>
      <c r="S3" s="76" t="s">
        <v>504</v>
      </c>
      <c r="T3" s="76" t="s">
        <v>505</v>
      </c>
      <c r="U3" s="76">
        <v>64</v>
      </c>
      <c r="V3" s="75">
        <v>72</v>
      </c>
      <c r="W3" s="75">
        <v>88</v>
      </c>
      <c r="X3" s="75">
        <v>105</v>
      </c>
      <c r="Y3" s="75" t="s">
        <v>388</v>
      </c>
      <c r="Z3" s="72" t="s">
        <v>404</v>
      </c>
      <c r="AA3" s="73" t="s">
        <v>405</v>
      </c>
    </row>
    <row r="4" spans="1:27" ht="15.6" x14ac:dyDescent="0.3">
      <c r="A4" s="34" t="s">
        <v>490</v>
      </c>
      <c r="B4" s="43" t="s">
        <v>484</v>
      </c>
      <c r="C4" s="44" t="s">
        <v>478</v>
      </c>
      <c r="D4" s="45" t="s">
        <v>506</v>
      </c>
      <c r="E4" s="45" t="s">
        <v>491</v>
      </c>
      <c r="F4" s="45">
        <v>1</v>
      </c>
      <c r="G4" s="45" t="s">
        <v>394</v>
      </c>
      <c r="H4" s="45" t="s">
        <v>391</v>
      </c>
      <c r="I4" s="55" t="s">
        <v>536</v>
      </c>
      <c r="J4" s="44" t="s">
        <v>487</v>
      </c>
      <c r="K4" s="44" t="s">
        <v>491</v>
      </c>
      <c r="L4" s="44" t="s">
        <v>392</v>
      </c>
      <c r="M4" s="44" t="s">
        <v>393</v>
      </c>
      <c r="N4" s="45">
        <f>+Y4/80</f>
        <v>20</v>
      </c>
      <c r="O4" s="45"/>
      <c r="P4" s="45" t="s">
        <v>537</v>
      </c>
      <c r="Q4" s="46"/>
      <c r="R4" s="46"/>
      <c r="S4" s="46"/>
      <c r="T4" s="46"/>
      <c r="U4" s="46"/>
      <c r="V4" s="46">
        <f>15*80</f>
        <v>1200</v>
      </c>
      <c r="W4" s="46">
        <f>5*80</f>
        <v>400</v>
      </c>
      <c r="X4" s="45"/>
      <c r="Y4" s="46">
        <f>SUM(Q4:X4)</f>
        <v>1600</v>
      </c>
      <c r="Z4" s="34" t="s">
        <v>507</v>
      </c>
      <c r="AA4" s="45" t="s">
        <v>482</v>
      </c>
    </row>
    <row r="5" spans="1:27" ht="15.6" x14ac:dyDescent="0.3">
      <c r="A5" s="42"/>
      <c r="B5" s="42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82"/>
      <c r="O5" s="40"/>
      <c r="P5" s="40"/>
      <c r="Q5" s="42"/>
      <c r="R5" s="42"/>
      <c r="S5" s="42"/>
      <c r="T5" s="41"/>
      <c r="U5" s="53"/>
      <c r="V5" s="40"/>
      <c r="W5" s="40"/>
      <c r="X5" s="41"/>
      <c r="Y5" s="41"/>
      <c r="Z5" s="42" t="s">
        <v>509</v>
      </c>
      <c r="AA5" s="40"/>
    </row>
    <row r="6" spans="1:27" ht="15.6" x14ac:dyDescent="0.3">
      <c r="A6" s="42"/>
      <c r="B6" s="78"/>
      <c r="C6" s="80" t="s">
        <v>478</v>
      </c>
      <c r="D6" s="35" t="s">
        <v>506</v>
      </c>
      <c r="E6" s="35" t="s">
        <v>491</v>
      </c>
      <c r="F6" s="35">
        <v>1</v>
      </c>
      <c r="G6" s="35" t="s">
        <v>394</v>
      </c>
      <c r="H6" s="35" t="s">
        <v>391</v>
      </c>
      <c r="I6" s="107" t="s">
        <v>529</v>
      </c>
      <c r="J6" s="35" t="s">
        <v>487</v>
      </c>
      <c r="K6" s="35" t="s">
        <v>491</v>
      </c>
      <c r="L6" s="35" t="s">
        <v>392</v>
      </c>
      <c r="M6" s="35" t="s">
        <v>393</v>
      </c>
      <c r="N6" s="111">
        <f>+Y6/80</f>
        <v>12</v>
      </c>
      <c r="O6" s="35"/>
      <c r="P6" s="35" t="s">
        <v>527</v>
      </c>
      <c r="Q6" s="47"/>
      <c r="R6" s="47"/>
      <c r="S6" s="47"/>
      <c r="T6" s="36"/>
      <c r="U6" s="36"/>
      <c r="V6" s="35"/>
      <c r="W6" s="35">
        <f>7*80</f>
        <v>560</v>
      </c>
      <c r="X6" s="36">
        <f>5*80</f>
        <v>400</v>
      </c>
      <c r="Y6" s="36">
        <f>SUM(Q6:X6)</f>
        <v>960</v>
      </c>
      <c r="Z6" s="48"/>
      <c r="AA6" s="40"/>
    </row>
    <row r="7" spans="1:27" ht="15.6" x14ac:dyDescent="0.3">
      <c r="A7" s="60"/>
      <c r="B7" s="60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12"/>
    </row>
    <row r="8" spans="1:27" ht="15.6" x14ac:dyDescent="0.3">
      <c r="A8" s="34" t="s">
        <v>449</v>
      </c>
      <c r="B8" s="43" t="s">
        <v>484</v>
      </c>
      <c r="C8" s="44" t="s">
        <v>478</v>
      </c>
      <c r="D8" s="45" t="s">
        <v>506</v>
      </c>
      <c r="E8" s="45" t="s">
        <v>450</v>
      </c>
      <c r="F8" s="45">
        <v>1</v>
      </c>
      <c r="G8" s="45" t="s">
        <v>394</v>
      </c>
      <c r="H8" s="45" t="s">
        <v>391</v>
      </c>
      <c r="I8" s="77" t="s">
        <v>493</v>
      </c>
      <c r="J8" s="45" t="s">
        <v>439</v>
      </c>
      <c r="K8" s="45" t="s">
        <v>450</v>
      </c>
      <c r="L8" s="45" t="s">
        <v>392</v>
      </c>
      <c r="M8" s="45" t="s">
        <v>393</v>
      </c>
      <c r="N8" s="45">
        <f>+Y8/80</f>
        <v>20</v>
      </c>
      <c r="O8" s="45"/>
      <c r="P8" s="45" t="s">
        <v>537</v>
      </c>
      <c r="Q8" s="46"/>
      <c r="R8" s="46"/>
      <c r="S8" s="46"/>
      <c r="T8" s="46"/>
      <c r="U8" s="59"/>
      <c r="V8" s="46">
        <f>15*80</f>
        <v>1200</v>
      </c>
      <c r="W8" s="46">
        <f>5*80</f>
        <v>400</v>
      </c>
      <c r="X8" s="46"/>
      <c r="Y8" s="46">
        <f>SUM(Q8:X8)</f>
        <v>1600</v>
      </c>
      <c r="Z8" s="34" t="s">
        <v>507</v>
      </c>
      <c r="AA8" s="45" t="s">
        <v>482</v>
      </c>
    </row>
    <row r="9" spans="1:27" ht="15.6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53"/>
      <c r="V9" s="42"/>
      <c r="W9" s="42"/>
      <c r="X9" s="42"/>
      <c r="Y9" s="42"/>
      <c r="Z9" s="54" t="s">
        <v>528</v>
      </c>
      <c r="AA9" s="40"/>
    </row>
    <row r="10" spans="1:27" ht="15.6" x14ac:dyDescent="0.3">
      <c r="A10" s="42"/>
      <c r="B10" s="78"/>
      <c r="C10" s="39"/>
      <c r="D10" s="40"/>
      <c r="E10" s="40"/>
      <c r="F10" s="40"/>
      <c r="G10" s="42"/>
      <c r="H10" s="40"/>
      <c r="I10" s="40"/>
      <c r="J10" s="40"/>
      <c r="K10" s="40"/>
      <c r="L10" s="40"/>
      <c r="M10" s="40"/>
      <c r="N10" s="79"/>
      <c r="O10" s="40"/>
      <c r="P10" s="40"/>
      <c r="Q10" s="41"/>
      <c r="R10" s="41"/>
      <c r="S10" s="41"/>
      <c r="T10" s="41"/>
      <c r="U10" s="53"/>
      <c r="V10" s="41"/>
      <c r="W10" s="41"/>
      <c r="X10" s="41"/>
      <c r="Y10" s="41"/>
      <c r="Z10" s="48" t="s">
        <v>508</v>
      </c>
      <c r="AA10" s="40"/>
    </row>
    <row r="11" spans="1:27" ht="15.6" x14ac:dyDescent="0.3">
      <c r="A11" s="60"/>
      <c r="B11" s="89"/>
      <c r="C11" s="90"/>
      <c r="D11" s="49"/>
      <c r="E11" s="49"/>
      <c r="F11" s="49"/>
      <c r="G11" s="60"/>
      <c r="H11" s="49"/>
      <c r="I11" s="49"/>
      <c r="J11" s="49"/>
      <c r="K11" s="49"/>
      <c r="L11" s="49"/>
      <c r="M11" s="49"/>
      <c r="N11" s="108"/>
      <c r="O11" s="49"/>
      <c r="P11" s="49"/>
      <c r="Q11" s="50"/>
      <c r="R11" s="50"/>
      <c r="S11" s="50"/>
      <c r="T11" s="50"/>
      <c r="U11" s="109"/>
      <c r="V11" s="50"/>
      <c r="W11" s="50"/>
      <c r="X11" s="50"/>
      <c r="Y11" s="50"/>
      <c r="Z11" s="113"/>
      <c r="AA11" s="49"/>
    </row>
    <row r="12" spans="1:27" ht="15.6" x14ac:dyDescent="0.3">
      <c r="A12" s="42" t="s">
        <v>485</v>
      </c>
      <c r="B12" s="42" t="s">
        <v>389</v>
      </c>
      <c r="C12" s="40" t="s">
        <v>396</v>
      </c>
      <c r="D12" s="40" t="s">
        <v>506</v>
      </c>
      <c r="E12" s="40" t="s">
        <v>486</v>
      </c>
      <c r="F12" s="40">
        <v>1</v>
      </c>
      <c r="G12" s="40" t="s">
        <v>390</v>
      </c>
      <c r="H12" s="40" t="s">
        <v>391</v>
      </c>
      <c r="I12" s="40"/>
      <c r="J12" s="40" t="s">
        <v>487</v>
      </c>
      <c r="K12" s="40" t="s">
        <v>486</v>
      </c>
      <c r="L12" s="40" t="s">
        <v>481</v>
      </c>
      <c r="M12" s="40" t="s">
        <v>393</v>
      </c>
      <c r="N12" s="114">
        <f>+Y12/80</f>
        <v>14</v>
      </c>
      <c r="O12" s="40"/>
      <c r="P12" s="40" t="s">
        <v>524</v>
      </c>
      <c r="Q12" s="42"/>
      <c r="R12" s="42"/>
      <c r="S12" s="42"/>
      <c r="T12" s="41"/>
      <c r="U12" s="53"/>
      <c r="V12" s="41">
        <f>5*80</f>
        <v>400</v>
      </c>
      <c r="W12" s="41">
        <f>5*80</f>
        <v>400</v>
      </c>
      <c r="X12" s="41">
        <f>4*80</f>
        <v>320</v>
      </c>
      <c r="Y12" s="41">
        <f>SUM(Q12:X12)</f>
        <v>1120</v>
      </c>
      <c r="Z12" s="42" t="s">
        <v>510</v>
      </c>
      <c r="AA12" s="40" t="s">
        <v>406</v>
      </c>
    </row>
    <row r="13" spans="1:27" ht="15.6" x14ac:dyDescent="0.3">
      <c r="A13" s="42"/>
      <c r="B13" s="38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2"/>
      <c r="R13" s="42"/>
      <c r="S13" s="42"/>
      <c r="T13" s="41"/>
      <c r="U13" s="53"/>
      <c r="V13" s="41"/>
      <c r="W13" s="41"/>
      <c r="X13" s="41"/>
      <c r="Y13" s="41"/>
      <c r="Z13" s="54" t="s">
        <v>511</v>
      </c>
      <c r="AA13" s="40"/>
    </row>
    <row r="14" spans="1:27" ht="15.6" x14ac:dyDescent="0.3">
      <c r="A14" s="42"/>
      <c r="B14" s="42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82"/>
      <c r="O14" s="40"/>
      <c r="P14" s="40"/>
      <c r="Q14" s="42"/>
      <c r="R14" s="42"/>
      <c r="S14" s="42"/>
      <c r="T14" s="41"/>
      <c r="U14" s="53"/>
      <c r="V14" s="41"/>
      <c r="W14" s="41"/>
      <c r="X14" s="41"/>
      <c r="Y14" s="41"/>
      <c r="Z14" s="54"/>
      <c r="AA14" s="40"/>
    </row>
    <row r="15" spans="1:27" ht="15.6" x14ac:dyDescent="0.3">
      <c r="B15" s="84" t="s">
        <v>484</v>
      </c>
      <c r="C15" s="80" t="s">
        <v>478</v>
      </c>
      <c r="D15" s="35" t="s">
        <v>506</v>
      </c>
      <c r="E15" s="35" t="s">
        <v>486</v>
      </c>
      <c r="F15" s="35">
        <v>1</v>
      </c>
      <c r="G15" s="35" t="s">
        <v>411</v>
      </c>
      <c r="H15" s="35" t="s">
        <v>391</v>
      </c>
      <c r="I15" s="35"/>
      <c r="J15" s="35" t="s">
        <v>487</v>
      </c>
      <c r="K15" s="35" t="s">
        <v>486</v>
      </c>
      <c r="L15" s="35" t="s">
        <v>481</v>
      </c>
      <c r="M15" s="35" t="s">
        <v>393</v>
      </c>
      <c r="N15" s="35">
        <f>+Y15/80</f>
        <v>120</v>
      </c>
      <c r="O15" s="35"/>
      <c r="P15" s="35" t="s">
        <v>537</v>
      </c>
      <c r="Q15" s="47"/>
      <c r="R15" s="47"/>
      <c r="S15" s="47"/>
      <c r="T15" s="36"/>
      <c r="U15" s="36"/>
      <c r="V15" s="36">
        <f>80*80</f>
        <v>6400</v>
      </c>
      <c r="W15" s="36">
        <f>40*80</f>
        <v>3200</v>
      </c>
      <c r="X15" s="36"/>
      <c r="Y15" s="36">
        <f>SUM(Q15:X15)</f>
        <v>9600</v>
      </c>
      <c r="Z15" s="84" t="s">
        <v>507</v>
      </c>
      <c r="AA15" s="80" t="s">
        <v>482</v>
      </c>
    </row>
    <row r="16" spans="1:27" ht="15.6" x14ac:dyDescent="0.3">
      <c r="A16" s="42"/>
      <c r="B16" s="78"/>
      <c r="C16" s="39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82"/>
      <c r="O16" s="40"/>
      <c r="P16" s="40"/>
      <c r="Q16" s="42"/>
      <c r="R16" s="42"/>
      <c r="S16" s="42"/>
      <c r="T16" s="41"/>
      <c r="U16" s="53"/>
      <c r="V16" s="41"/>
      <c r="W16" s="41"/>
      <c r="X16" s="41"/>
      <c r="Y16" s="41"/>
      <c r="Z16" s="83" t="s">
        <v>511</v>
      </c>
      <c r="AA16" s="39"/>
    </row>
    <row r="17" spans="1:27" ht="15.6" x14ac:dyDescent="0.3">
      <c r="A17" s="42"/>
      <c r="B17" s="78"/>
      <c r="C17" s="39"/>
      <c r="D17" s="40"/>
      <c r="E17" s="40"/>
      <c r="F17" s="40"/>
      <c r="G17" s="42"/>
      <c r="H17" s="40"/>
      <c r="I17" s="40"/>
      <c r="J17" s="40"/>
      <c r="K17" s="40"/>
      <c r="L17" s="40"/>
      <c r="M17" s="40"/>
      <c r="N17" s="79"/>
      <c r="O17" s="40"/>
      <c r="P17" s="40"/>
      <c r="Q17" s="41"/>
      <c r="R17" s="41"/>
      <c r="S17" s="41"/>
      <c r="T17" s="41"/>
      <c r="U17" s="53"/>
      <c r="V17" s="41"/>
      <c r="W17" s="41"/>
      <c r="X17" s="41"/>
      <c r="Y17" s="41"/>
      <c r="Z17" s="48"/>
      <c r="AA17" s="40"/>
    </row>
    <row r="18" spans="1:27" ht="15.6" x14ac:dyDescent="0.3">
      <c r="B18" s="84" t="s">
        <v>389</v>
      </c>
      <c r="C18" s="80" t="s">
        <v>396</v>
      </c>
      <c r="D18" s="35" t="s">
        <v>506</v>
      </c>
      <c r="E18" s="35" t="s">
        <v>486</v>
      </c>
      <c r="F18" s="35">
        <v>1</v>
      </c>
      <c r="G18" s="35" t="s">
        <v>390</v>
      </c>
      <c r="H18" s="35" t="s">
        <v>391</v>
      </c>
      <c r="I18" s="35"/>
      <c r="J18" s="35" t="s">
        <v>487</v>
      </c>
      <c r="K18" s="35" t="s">
        <v>486</v>
      </c>
      <c r="L18" s="35" t="s">
        <v>481</v>
      </c>
      <c r="M18" s="35" t="s">
        <v>393</v>
      </c>
      <c r="N18" s="35">
        <f>+Y18/80</f>
        <v>20</v>
      </c>
      <c r="O18" s="35"/>
      <c r="P18" s="35" t="s">
        <v>538</v>
      </c>
      <c r="Q18" s="47"/>
      <c r="R18" s="47"/>
      <c r="S18" s="47"/>
      <c r="T18" s="36"/>
      <c r="U18" s="85"/>
      <c r="V18" s="36"/>
      <c r="W18" s="36"/>
      <c r="X18" s="36">
        <f>20*80</f>
        <v>1600</v>
      </c>
      <c r="Y18" s="36">
        <f>SUM(Q18:X18)</f>
        <v>1600</v>
      </c>
      <c r="Z18" s="84" t="s">
        <v>510</v>
      </c>
      <c r="AA18" s="80" t="s">
        <v>406</v>
      </c>
    </row>
    <row r="19" spans="1:27" ht="15.6" x14ac:dyDescent="0.3">
      <c r="A19" s="42"/>
      <c r="B19" s="38"/>
      <c r="C19" s="39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2"/>
      <c r="R19" s="42"/>
      <c r="S19" s="42"/>
      <c r="T19" s="41"/>
      <c r="U19" s="53"/>
      <c r="V19" s="41"/>
      <c r="W19" s="41"/>
      <c r="X19" s="41"/>
      <c r="Y19" s="41"/>
      <c r="Z19" s="83" t="s">
        <v>511</v>
      </c>
      <c r="AA19" s="39"/>
    </row>
    <row r="20" spans="1:27" ht="15.6" x14ac:dyDescent="0.3">
      <c r="A20" s="42"/>
      <c r="B20" s="78"/>
      <c r="C20" s="39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82"/>
      <c r="O20" s="40"/>
      <c r="P20" s="40"/>
      <c r="Q20" s="42"/>
      <c r="R20" s="42"/>
      <c r="S20" s="42"/>
      <c r="T20" s="41"/>
      <c r="U20" s="53"/>
      <c r="V20" s="41"/>
      <c r="W20" s="41"/>
      <c r="X20" s="41"/>
      <c r="Y20" s="41"/>
      <c r="Z20" s="83"/>
      <c r="AA20" s="39"/>
    </row>
    <row r="21" spans="1:27" ht="15.6" x14ac:dyDescent="0.3">
      <c r="A21" s="34" t="s">
        <v>395</v>
      </c>
      <c r="B21" s="43" t="s">
        <v>389</v>
      </c>
      <c r="C21" s="44" t="s">
        <v>396</v>
      </c>
      <c r="D21" s="45" t="s">
        <v>506</v>
      </c>
      <c r="E21" s="45" t="s">
        <v>397</v>
      </c>
      <c r="F21" s="45">
        <v>1</v>
      </c>
      <c r="G21" s="45" t="s">
        <v>561</v>
      </c>
      <c r="H21" s="77" t="s">
        <v>419</v>
      </c>
      <c r="I21" s="77" t="s">
        <v>533</v>
      </c>
      <c r="J21" s="45" t="s">
        <v>398</v>
      </c>
      <c r="K21" s="45" t="s">
        <v>397</v>
      </c>
      <c r="L21" s="45" t="s">
        <v>392</v>
      </c>
      <c r="M21" s="45" t="s">
        <v>399</v>
      </c>
      <c r="N21" s="45"/>
      <c r="O21" s="45">
        <f>+Y21/55</f>
        <v>15</v>
      </c>
      <c r="P21" s="45" t="s">
        <v>524</v>
      </c>
      <c r="Q21" s="46">
        <f>5*55</f>
        <v>275</v>
      </c>
      <c r="R21" s="46">
        <f>10*55</f>
        <v>550</v>
      </c>
      <c r="S21" s="46"/>
      <c r="T21" s="46"/>
      <c r="U21" s="46"/>
      <c r="V21" s="46"/>
      <c r="W21" s="46"/>
      <c r="X21" s="59"/>
      <c r="Y21" s="46">
        <f>SUM(Q21:X21)</f>
        <v>825</v>
      </c>
      <c r="Z21" s="34" t="s">
        <v>510</v>
      </c>
      <c r="AA21" s="45" t="s">
        <v>406</v>
      </c>
    </row>
    <row r="22" spans="1:27" ht="15.6" x14ac:dyDescent="0.3">
      <c r="A22" s="42"/>
      <c r="B22" s="78"/>
      <c r="C22" s="42" t="s">
        <v>396</v>
      </c>
      <c r="D22" s="40" t="s">
        <v>506</v>
      </c>
      <c r="E22" s="40" t="s">
        <v>397</v>
      </c>
      <c r="F22" s="40">
        <v>1</v>
      </c>
      <c r="G22" s="40" t="s">
        <v>390</v>
      </c>
      <c r="H22" s="40" t="s">
        <v>391</v>
      </c>
      <c r="I22" s="81" t="s">
        <v>533</v>
      </c>
      <c r="J22" s="40" t="s">
        <v>398</v>
      </c>
      <c r="K22" s="40" t="s">
        <v>397</v>
      </c>
      <c r="L22" s="40" t="s">
        <v>392</v>
      </c>
      <c r="M22" s="40" t="s">
        <v>399</v>
      </c>
      <c r="N22" s="40"/>
      <c r="O22" s="40">
        <f>+Y22/70</f>
        <v>40</v>
      </c>
      <c r="P22" s="40" t="s">
        <v>524</v>
      </c>
      <c r="Q22" s="41"/>
      <c r="R22" s="41"/>
      <c r="S22" s="41">
        <f>11*70</f>
        <v>770</v>
      </c>
      <c r="T22" s="41">
        <f>13*70</f>
        <v>910</v>
      </c>
      <c r="U22" s="41">
        <f>16*70</f>
        <v>1120</v>
      </c>
      <c r="V22" s="41"/>
      <c r="W22" s="41"/>
      <c r="Y22" s="41">
        <f>SUM(Q22:X22)</f>
        <v>2800</v>
      </c>
      <c r="Z22" s="37" t="s">
        <v>512</v>
      </c>
      <c r="AA22" s="39"/>
    </row>
    <row r="23" spans="1:27" ht="15.6" x14ac:dyDescent="0.3">
      <c r="A23" s="42"/>
      <c r="B23" s="78"/>
      <c r="C23" s="42"/>
      <c r="D23" s="40"/>
      <c r="E23" s="40"/>
      <c r="F23" s="40"/>
      <c r="G23" s="40"/>
      <c r="H23" s="40"/>
      <c r="I23" s="81"/>
      <c r="J23" s="40"/>
      <c r="K23" s="40"/>
      <c r="L23" s="40"/>
      <c r="M23" s="40"/>
      <c r="N23" s="40"/>
      <c r="O23" s="40"/>
      <c r="P23" s="82"/>
      <c r="Q23" s="41"/>
      <c r="R23" s="41"/>
      <c r="S23" s="41"/>
      <c r="T23" s="41"/>
      <c r="U23" s="41"/>
      <c r="V23" s="41"/>
      <c r="W23" s="41"/>
      <c r="Y23" s="41"/>
      <c r="Z23" s="88" t="s">
        <v>539</v>
      </c>
      <c r="AA23" s="40"/>
    </row>
    <row r="24" spans="1:27" ht="15.6" x14ac:dyDescent="0.3">
      <c r="A24" s="42"/>
      <c r="B24" s="78"/>
      <c r="C24" s="39"/>
      <c r="D24" s="42"/>
      <c r="E24" s="42"/>
      <c r="F24" s="42"/>
      <c r="G24" s="42"/>
      <c r="H24" s="42"/>
      <c r="I24" s="42"/>
      <c r="J24" s="42"/>
      <c r="K24" s="5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53"/>
      <c r="W24" s="86"/>
      <c r="X24" s="86"/>
      <c r="Y24" s="42"/>
      <c r="Z24" s="87"/>
      <c r="AA24" s="40"/>
    </row>
    <row r="25" spans="1:27" ht="15.6" x14ac:dyDescent="0.3">
      <c r="A25" s="60"/>
      <c r="B25" s="60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50"/>
      <c r="R25" s="50"/>
      <c r="S25" s="50"/>
      <c r="T25" s="60"/>
      <c r="U25" s="60"/>
      <c r="V25" s="50"/>
      <c r="W25" s="50"/>
      <c r="X25" s="50"/>
      <c r="Y25" s="50"/>
      <c r="Z25" s="89"/>
      <c r="AA25" s="90"/>
    </row>
    <row r="26" spans="1:27" ht="15.6" x14ac:dyDescent="0.3">
      <c r="A26" s="33" t="s">
        <v>407</v>
      </c>
      <c r="B26" s="33"/>
      <c r="C26" s="52"/>
      <c r="D26" s="52"/>
      <c r="E26" s="33"/>
      <c r="F26" s="33"/>
      <c r="G26" s="52"/>
      <c r="H26" s="33"/>
      <c r="I26" s="52"/>
      <c r="J26" s="52"/>
      <c r="K26" s="52"/>
      <c r="L26" s="33"/>
      <c r="M26" s="33"/>
      <c r="N26" s="51">
        <f>SUM(N4:N25)</f>
        <v>206</v>
      </c>
      <c r="O26" s="51">
        <f>SUM(O4:O25)</f>
        <v>55</v>
      </c>
      <c r="P26" s="51"/>
      <c r="Q26" s="51">
        <f t="shared" ref="Q26:Y26" si="0">SUM(Q4:Q25)</f>
        <v>275</v>
      </c>
      <c r="R26" s="51">
        <f t="shared" si="0"/>
        <v>550</v>
      </c>
      <c r="S26" s="51">
        <f t="shared" si="0"/>
        <v>770</v>
      </c>
      <c r="T26" s="51">
        <f t="shared" si="0"/>
        <v>910</v>
      </c>
      <c r="U26" s="51">
        <f t="shared" si="0"/>
        <v>1120</v>
      </c>
      <c r="V26" s="51">
        <f t="shared" si="0"/>
        <v>9200</v>
      </c>
      <c r="W26" s="51">
        <f t="shared" si="0"/>
        <v>4960</v>
      </c>
      <c r="X26" s="51">
        <f t="shared" si="0"/>
        <v>2320</v>
      </c>
      <c r="Y26" s="51">
        <f t="shared" si="0"/>
        <v>20105</v>
      </c>
      <c r="Z26" s="51"/>
      <c r="AA26" s="51"/>
    </row>
    <row r="27" spans="1:27" ht="15.6" x14ac:dyDescent="0.3">
      <c r="A27" s="91" t="s">
        <v>494</v>
      </c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3"/>
    </row>
    <row r="28" spans="1:27" ht="15.6" x14ac:dyDescent="0.3">
      <c r="A28" s="94" t="s">
        <v>495</v>
      </c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5"/>
      <c r="R28" s="95"/>
      <c r="S28" s="95"/>
      <c r="T28" s="95"/>
      <c r="U28" s="95"/>
      <c r="V28" s="95"/>
      <c r="W28" s="95"/>
      <c r="X28" s="95"/>
      <c r="Y28" s="95"/>
      <c r="Z28" s="92"/>
      <c r="AA28" s="93"/>
    </row>
    <row r="29" spans="1:27" ht="15.6" x14ac:dyDescent="0.3">
      <c r="A29" s="96" t="s">
        <v>496</v>
      </c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3"/>
    </row>
    <row r="30" spans="1:27" ht="15.6" x14ac:dyDescent="0.3">
      <c r="A30" s="97" t="s">
        <v>497</v>
      </c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3"/>
    </row>
    <row r="31" spans="1:27" ht="15.6" x14ac:dyDescent="0.3">
      <c r="A31" s="97" t="s">
        <v>498</v>
      </c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3"/>
    </row>
    <row r="32" spans="1:27" ht="15.6" x14ac:dyDescent="0.3">
      <c r="A32" s="97" t="s">
        <v>499</v>
      </c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3"/>
    </row>
    <row r="33" spans="1:27" ht="15.6" x14ac:dyDescent="0.3">
      <c r="A33" s="97" t="s">
        <v>500</v>
      </c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3"/>
    </row>
  </sheetData>
  <phoneticPr fontId="7" type="noConversion"/>
  <pageMargins left="0.31496062992126" right="0.118110236220472" top="5.1181101999999999E-2" bottom="0.25" header="0.31496062992126" footer="0.31496062992126"/>
  <pageSetup paperSize="9" scale="5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62"/>
  <sheetViews>
    <sheetView zoomScale="70" zoomScaleNormal="70" workbookViewId="0">
      <selection activeCell="J57" sqref="J57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516</v>
      </c>
      <c r="W1" t="s">
        <v>525</v>
      </c>
      <c r="X1" t="s">
        <v>526</v>
      </c>
      <c r="Y1" t="s">
        <v>516</v>
      </c>
      <c r="Z1">
        <v>9103</v>
      </c>
      <c r="AA1">
        <v>9203</v>
      </c>
    </row>
    <row r="2" spans="1:50" x14ac:dyDescent="0.3">
      <c r="A2" t="s">
        <v>540</v>
      </c>
      <c r="B2" t="s">
        <v>575</v>
      </c>
      <c r="C2" t="s">
        <v>396</v>
      </c>
      <c r="D2" t="s">
        <v>506</v>
      </c>
      <c r="E2" t="s">
        <v>486</v>
      </c>
      <c r="F2" t="s">
        <v>479</v>
      </c>
      <c r="G2" t="s">
        <v>390</v>
      </c>
      <c r="H2" t="s">
        <v>391</v>
      </c>
      <c r="I2" t="s">
        <v>480</v>
      </c>
      <c r="J2" t="s">
        <v>487</v>
      </c>
      <c r="K2" t="s">
        <v>486</v>
      </c>
      <c r="L2" t="s">
        <v>524</v>
      </c>
      <c r="M2" t="s">
        <v>519</v>
      </c>
      <c r="N2" t="s">
        <v>531</v>
      </c>
      <c r="O2" t="s">
        <v>541</v>
      </c>
      <c r="P2" t="s">
        <v>506</v>
      </c>
      <c r="Q2">
        <v>1</v>
      </c>
      <c r="R2" t="s">
        <v>480</v>
      </c>
    </row>
    <row r="3" spans="1:50" x14ac:dyDescent="0.3">
      <c r="A3" t="s">
        <v>540</v>
      </c>
      <c r="B3" t="s">
        <v>575</v>
      </c>
      <c r="C3" t="s">
        <v>396</v>
      </c>
      <c r="D3" t="s">
        <v>506</v>
      </c>
      <c r="E3" t="s">
        <v>486</v>
      </c>
      <c r="F3" t="s">
        <v>479</v>
      </c>
      <c r="G3" t="s">
        <v>390</v>
      </c>
      <c r="H3" t="s">
        <v>391</v>
      </c>
      <c r="I3" t="s">
        <v>480</v>
      </c>
      <c r="J3" t="s">
        <v>487</v>
      </c>
      <c r="K3" t="s">
        <v>486</v>
      </c>
      <c r="L3" t="s">
        <v>524</v>
      </c>
      <c r="M3" t="s">
        <v>519</v>
      </c>
      <c r="N3" t="s">
        <v>531</v>
      </c>
      <c r="O3" t="s">
        <v>542</v>
      </c>
      <c r="P3" t="s">
        <v>506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540</v>
      </c>
      <c r="B4" t="s">
        <v>576</v>
      </c>
      <c r="C4" t="s">
        <v>396</v>
      </c>
      <c r="D4" t="s">
        <v>506</v>
      </c>
      <c r="E4" t="s">
        <v>397</v>
      </c>
      <c r="F4" t="s">
        <v>479</v>
      </c>
      <c r="G4" t="s">
        <v>390</v>
      </c>
      <c r="H4" t="s">
        <v>391</v>
      </c>
      <c r="I4" t="s">
        <v>533</v>
      </c>
      <c r="J4" t="s">
        <v>398</v>
      </c>
      <c r="K4" t="s">
        <v>397</v>
      </c>
      <c r="L4" t="s">
        <v>524</v>
      </c>
      <c r="M4" t="s">
        <v>517</v>
      </c>
      <c r="N4" t="s">
        <v>531</v>
      </c>
      <c r="O4" t="s">
        <v>543</v>
      </c>
      <c r="P4" t="s">
        <v>506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540</v>
      </c>
      <c r="B5" t="s">
        <v>577</v>
      </c>
      <c r="C5" t="s">
        <v>396</v>
      </c>
      <c r="D5" t="s">
        <v>506</v>
      </c>
      <c r="E5" t="s">
        <v>397</v>
      </c>
      <c r="F5" t="s">
        <v>479</v>
      </c>
      <c r="G5" t="s">
        <v>390</v>
      </c>
      <c r="H5" t="s">
        <v>391</v>
      </c>
      <c r="I5" t="s">
        <v>533</v>
      </c>
      <c r="J5" t="s">
        <v>398</v>
      </c>
      <c r="K5" t="s">
        <v>397</v>
      </c>
      <c r="L5" t="s">
        <v>524</v>
      </c>
      <c r="M5" t="s">
        <v>518</v>
      </c>
      <c r="N5" t="s">
        <v>531</v>
      </c>
      <c r="O5" t="s">
        <v>544</v>
      </c>
      <c r="P5" t="s">
        <v>506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540</v>
      </c>
      <c r="B6" t="s">
        <v>577</v>
      </c>
      <c r="C6" t="s">
        <v>396</v>
      </c>
      <c r="D6" t="s">
        <v>506</v>
      </c>
      <c r="E6" t="s">
        <v>397</v>
      </c>
      <c r="F6" t="s">
        <v>479</v>
      </c>
      <c r="G6" t="s">
        <v>390</v>
      </c>
      <c r="H6" t="s">
        <v>391</v>
      </c>
      <c r="I6" t="s">
        <v>533</v>
      </c>
      <c r="J6" t="s">
        <v>398</v>
      </c>
      <c r="K6" t="s">
        <v>397</v>
      </c>
      <c r="L6" t="s">
        <v>524</v>
      </c>
      <c r="M6" t="s">
        <v>517</v>
      </c>
      <c r="N6" t="s">
        <v>531</v>
      </c>
      <c r="O6" t="s">
        <v>545</v>
      </c>
      <c r="P6" t="s">
        <v>506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540</v>
      </c>
      <c r="B7" t="s">
        <v>577</v>
      </c>
      <c r="C7" t="s">
        <v>396</v>
      </c>
      <c r="D7" t="s">
        <v>506</v>
      </c>
      <c r="E7" t="s">
        <v>397</v>
      </c>
      <c r="F7" t="s">
        <v>479</v>
      </c>
      <c r="G7" t="s">
        <v>492</v>
      </c>
      <c r="H7" t="s">
        <v>419</v>
      </c>
      <c r="I7" t="s">
        <v>533</v>
      </c>
      <c r="J7" t="s">
        <v>398</v>
      </c>
      <c r="K7" t="s">
        <v>397</v>
      </c>
      <c r="L7" t="s">
        <v>524</v>
      </c>
      <c r="M7" t="s">
        <v>522</v>
      </c>
      <c r="N7" t="s">
        <v>531</v>
      </c>
      <c r="O7" t="s">
        <v>546</v>
      </c>
      <c r="P7" t="s">
        <v>506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540</v>
      </c>
      <c r="B8" t="s">
        <v>577</v>
      </c>
      <c r="C8" t="s">
        <v>396</v>
      </c>
      <c r="D8" t="s">
        <v>506</v>
      </c>
      <c r="E8" t="s">
        <v>397</v>
      </c>
      <c r="F8" t="s">
        <v>479</v>
      </c>
      <c r="G8" t="s">
        <v>492</v>
      </c>
      <c r="H8" t="s">
        <v>419</v>
      </c>
      <c r="I8" t="s">
        <v>533</v>
      </c>
      <c r="J8" t="s">
        <v>398</v>
      </c>
      <c r="K8" t="s">
        <v>397</v>
      </c>
      <c r="L8" t="s">
        <v>524</v>
      </c>
      <c r="M8" t="s">
        <v>534</v>
      </c>
      <c r="N8" t="s">
        <v>531</v>
      </c>
      <c r="O8" t="s">
        <v>547</v>
      </c>
      <c r="P8" t="s">
        <v>506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540</v>
      </c>
      <c r="B9" t="s">
        <v>575</v>
      </c>
      <c r="C9" t="s">
        <v>396</v>
      </c>
      <c r="D9" t="s">
        <v>506</v>
      </c>
      <c r="E9" t="s">
        <v>486</v>
      </c>
      <c r="F9" t="s">
        <v>479</v>
      </c>
      <c r="G9" t="s">
        <v>390</v>
      </c>
      <c r="H9" t="s">
        <v>391</v>
      </c>
      <c r="I9" t="s">
        <v>480</v>
      </c>
      <c r="J9" t="s">
        <v>487</v>
      </c>
      <c r="K9" t="s">
        <v>486</v>
      </c>
      <c r="L9" t="s">
        <v>524</v>
      </c>
      <c r="M9" t="s">
        <v>519</v>
      </c>
      <c r="N9" t="s">
        <v>531</v>
      </c>
      <c r="O9" t="s">
        <v>548</v>
      </c>
      <c r="P9" t="s">
        <v>506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540</v>
      </c>
      <c r="B10" t="s">
        <v>578</v>
      </c>
      <c r="C10" t="s">
        <v>478</v>
      </c>
      <c r="D10" t="s">
        <v>506</v>
      </c>
      <c r="E10" t="s">
        <v>491</v>
      </c>
      <c r="F10" t="s">
        <v>479</v>
      </c>
      <c r="G10" t="s">
        <v>394</v>
      </c>
      <c r="H10" t="s">
        <v>391</v>
      </c>
      <c r="I10" t="s">
        <v>536</v>
      </c>
      <c r="J10" t="s">
        <v>487</v>
      </c>
      <c r="K10" t="s">
        <v>491</v>
      </c>
      <c r="L10" t="s">
        <v>537</v>
      </c>
      <c r="M10" t="s">
        <v>519</v>
      </c>
      <c r="N10" t="s">
        <v>531</v>
      </c>
      <c r="O10" t="s">
        <v>549</v>
      </c>
      <c r="P10" t="s">
        <v>506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540</v>
      </c>
      <c r="B11" t="s">
        <v>577</v>
      </c>
      <c r="C11" t="s">
        <v>396</v>
      </c>
      <c r="D11" t="s">
        <v>506</v>
      </c>
      <c r="E11" t="s">
        <v>397</v>
      </c>
      <c r="F11" t="s">
        <v>479</v>
      </c>
      <c r="G11" t="s">
        <v>390</v>
      </c>
      <c r="H11" t="s">
        <v>391</v>
      </c>
      <c r="I11" t="s">
        <v>533</v>
      </c>
      <c r="J11" t="s">
        <v>398</v>
      </c>
      <c r="K11" t="s">
        <v>397</v>
      </c>
      <c r="L11" t="s">
        <v>524</v>
      </c>
      <c r="M11" t="s">
        <v>518</v>
      </c>
      <c r="N11" t="s">
        <v>531</v>
      </c>
      <c r="O11" t="s">
        <v>550</v>
      </c>
      <c r="P11" t="s">
        <v>506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540</v>
      </c>
      <c r="B12" t="s">
        <v>577</v>
      </c>
      <c r="C12" t="s">
        <v>396</v>
      </c>
      <c r="D12" t="s">
        <v>506</v>
      </c>
      <c r="E12" t="s">
        <v>397</v>
      </c>
      <c r="F12" t="s">
        <v>479</v>
      </c>
      <c r="G12" t="s">
        <v>390</v>
      </c>
      <c r="H12" t="s">
        <v>391</v>
      </c>
      <c r="I12" t="s">
        <v>533</v>
      </c>
      <c r="J12" t="s">
        <v>398</v>
      </c>
      <c r="K12" t="s">
        <v>397</v>
      </c>
      <c r="L12" t="s">
        <v>524</v>
      </c>
      <c r="M12" t="s">
        <v>518</v>
      </c>
      <c r="N12" t="s">
        <v>531</v>
      </c>
      <c r="O12" t="s">
        <v>551</v>
      </c>
      <c r="P12" t="s">
        <v>506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540</v>
      </c>
      <c r="B13" t="s">
        <v>577</v>
      </c>
      <c r="C13" t="s">
        <v>396</v>
      </c>
      <c r="D13" t="s">
        <v>506</v>
      </c>
      <c r="E13" t="s">
        <v>397</v>
      </c>
      <c r="F13" t="s">
        <v>479</v>
      </c>
      <c r="G13" t="s">
        <v>492</v>
      </c>
      <c r="H13" t="s">
        <v>419</v>
      </c>
      <c r="I13" t="s">
        <v>533</v>
      </c>
      <c r="J13" t="s">
        <v>398</v>
      </c>
      <c r="K13" t="s">
        <v>397</v>
      </c>
      <c r="L13" t="s">
        <v>524</v>
      </c>
      <c r="M13" t="s">
        <v>522</v>
      </c>
      <c r="N13" t="s">
        <v>531</v>
      </c>
      <c r="O13" t="s">
        <v>552</v>
      </c>
      <c r="P13" t="s">
        <v>506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540</v>
      </c>
      <c r="B14" t="s">
        <v>577</v>
      </c>
      <c r="C14" t="s">
        <v>396</v>
      </c>
      <c r="D14" t="s">
        <v>506</v>
      </c>
      <c r="E14" t="s">
        <v>397</v>
      </c>
      <c r="F14" t="s">
        <v>479</v>
      </c>
      <c r="G14" t="s">
        <v>492</v>
      </c>
      <c r="H14" t="s">
        <v>419</v>
      </c>
      <c r="I14" t="s">
        <v>533</v>
      </c>
      <c r="J14" t="s">
        <v>398</v>
      </c>
      <c r="K14" t="s">
        <v>397</v>
      </c>
      <c r="L14" t="s">
        <v>524</v>
      </c>
      <c r="M14" t="s">
        <v>534</v>
      </c>
      <c r="N14" t="s">
        <v>531</v>
      </c>
      <c r="O14" t="s">
        <v>553</v>
      </c>
      <c r="P14" t="s">
        <v>506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540</v>
      </c>
      <c r="B15" t="s">
        <v>575</v>
      </c>
      <c r="C15" t="s">
        <v>396</v>
      </c>
      <c r="D15" t="s">
        <v>506</v>
      </c>
      <c r="E15" t="s">
        <v>486</v>
      </c>
      <c r="F15" t="s">
        <v>479</v>
      </c>
      <c r="G15" t="s">
        <v>390</v>
      </c>
      <c r="H15" t="s">
        <v>391</v>
      </c>
      <c r="I15" t="s">
        <v>480</v>
      </c>
      <c r="J15" t="s">
        <v>487</v>
      </c>
      <c r="K15" t="s">
        <v>486</v>
      </c>
      <c r="L15" t="s">
        <v>524</v>
      </c>
      <c r="M15" t="s">
        <v>519</v>
      </c>
      <c r="N15" t="s">
        <v>531</v>
      </c>
      <c r="O15" t="s">
        <v>554</v>
      </c>
      <c r="P15" t="s">
        <v>506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540</v>
      </c>
      <c r="B16" t="s">
        <v>575</v>
      </c>
      <c r="C16" t="s">
        <v>396</v>
      </c>
      <c r="D16" t="s">
        <v>506</v>
      </c>
      <c r="E16" t="s">
        <v>486</v>
      </c>
      <c r="F16" t="s">
        <v>479</v>
      </c>
      <c r="G16" t="s">
        <v>390</v>
      </c>
      <c r="H16" t="s">
        <v>391</v>
      </c>
      <c r="I16" t="s">
        <v>480</v>
      </c>
      <c r="J16" t="s">
        <v>487</v>
      </c>
      <c r="K16" t="s">
        <v>486</v>
      </c>
      <c r="L16" t="s">
        <v>524</v>
      </c>
      <c r="M16" t="s">
        <v>519</v>
      </c>
      <c r="N16" t="s">
        <v>531</v>
      </c>
      <c r="O16" t="s">
        <v>555</v>
      </c>
      <c r="P16" t="s">
        <v>506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540</v>
      </c>
      <c r="B17" t="s">
        <v>576</v>
      </c>
      <c r="C17" t="s">
        <v>396</v>
      </c>
      <c r="D17" t="s">
        <v>506</v>
      </c>
      <c r="E17" t="s">
        <v>397</v>
      </c>
      <c r="F17" t="s">
        <v>479</v>
      </c>
      <c r="G17" t="s">
        <v>492</v>
      </c>
      <c r="H17" t="s">
        <v>419</v>
      </c>
      <c r="I17" t="s">
        <v>533</v>
      </c>
      <c r="J17" t="s">
        <v>398</v>
      </c>
      <c r="K17" t="s">
        <v>397</v>
      </c>
      <c r="L17" t="s">
        <v>524</v>
      </c>
      <c r="M17" t="s">
        <v>522</v>
      </c>
      <c r="N17" t="s">
        <v>531</v>
      </c>
      <c r="O17" t="s">
        <v>556</v>
      </c>
      <c r="P17" t="s">
        <v>506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540</v>
      </c>
      <c r="B18" t="s">
        <v>576</v>
      </c>
      <c r="C18" t="s">
        <v>396</v>
      </c>
      <c r="D18" t="s">
        <v>506</v>
      </c>
      <c r="E18" t="s">
        <v>397</v>
      </c>
      <c r="F18" t="s">
        <v>479</v>
      </c>
      <c r="G18" t="s">
        <v>390</v>
      </c>
      <c r="H18" t="s">
        <v>391</v>
      </c>
      <c r="I18" t="s">
        <v>533</v>
      </c>
      <c r="J18" t="s">
        <v>398</v>
      </c>
      <c r="K18" t="s">
        <v>397</v>
      </c>
      <c r="L18" t="s">
        <v>524</v>
      </c>
      <c r="M18" t="s">
        <v>517</v>
      </c>
      <c r="N18" t="s">
        <v>531</v>
      </c>
      <c r="O18" t="s">
        <v>557</v>
      </c>
      <c r="P18" t="s">
        <v>506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540</v>
      </c>
      <c r="B19" t="s">
        <v>576</v>
      </c>
      <c r="C19" t="s">
        <v>396</v>
      </c>
      <c r="D19" t="s">
        <v>506</v>
      </c>
      <c r="E19" t="s">
        <v>397</v>
      </c>
      <c r="F19" t="s">
        <v>479</v>
      </c>
      <c r="G19" t="s">
        <v>390</v>
      </c>
      <c r="H19" t="s">
        <v>391</v>
      </c>
      <c r="I19" t="s">
        <v>533</v>
      </c>
      <c r="J19" t="s">
        <v>398</v>
      </c>
      <c r="K19" t="s">
        <v>397</v>
      </c>
      <c r="L19" t="s">
        <v>524</v>
      </c>
      <c r="M19" t="s">
        <v>518</v>
      </c>
      <c r="N19" t="s">
        <v>531</v>
      </c>
      <c r="O19" t="s">
        <v>558</v>
      </c>
      <c r="P19" t="s">
        <v>506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540</v>
      </c>
      <c r="B20" t="s">
        <v>577</v>
      </c>
      <c r="C20" t="s">
        <v>396</v>
      </c>
      <c r="D20" t="s">
        <v>506</v>
      </c>
      <c r="E20" t="s">
        <v>397</v>
      </c>
      <c r="F20" t="s">
        <v>479</v>
      </c>
      <c r="G20" t="s">
        <v>390</v>
      </c>
      <c r="H20" t="s">
        <v>391</v>
      </c>
      <c r="I20" t="s">
        <v>533</v>
      </c>
      <c r="J20" t="s">
        <v>398</v>
      </c>
      <c r="K20" t="s">
        <v>397</v>
      </c>
      <c r="L20" t="s">
        <v>524</v>
      </c>
      <c r="M20" t="s">
        <v>517</v>
      </c>
      <c r="N20" t="s">
        <v>531</v>
      </c>
      <c r="O20" t="s">
        <v>559</v>
      </c>
      <c r="P20" t="s">
        <v>506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540</v>
      </c>
      <c r="B21" t="s">
        <v>577</v>
      </c>
      <c r="C21" t="s">
        <v>396</v>
      </c>
      <c r="D21" t="s">
        <v>506</v>
      </c>
      <c r="E21" t="s">
        <v>397</v>
      </c>
      <c r="F21" t="s">
        <v>479</v>
      </c>
      <c r="G21" t="s">
        <v>390</v>
      </c>
      <c r="H21" t="s">
        <v>391</v>
      </c>
      <c r="I21" t="s">
        <v>533</v>
      </c>
      <c r="J21" t="s">
        <v>398</v>
      </c>
      <c r="K21" t="s">
        <v>397</v>
      </c>
      <c r="L21" t="s">
        <v>524</v>
      </c>
      <c r="M21" t="s">
        <v>517</v>
      </c>
      <c r="N21" t="s">
        <v>531</v>
      </c>
      <c r="O21" t="s">
        <v>560</v>
      </c>
      <c r="P21" t="s">
        <v>506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540</v>
      </c>
      <c r="B22" t="s">
        <v>575</v>
      </c>
      <c r="C22" t="s">
        <v>396</v>
      </c>
      <c r="D22" t="s">
        <v>506</v>
      </c>
      <c r="E22" t="s">
        <v>486</v>
      </c>
      <c r="F22" t="s">
        <v>479</v>
      </c>
      <c r="G22" t="s">
        <v>390</v>
      </c>
      <c r="H22" t="s">
        <v>391</v>
      </c>
      <c r="I22" t="s">
        <v>480</v>
      </c>
      <c r="J22" t="s">
        <v>487</v>
      </c>
      <c r="K22" t="s">
        <v>486</v>
      </c>
      <c r="L22" t="s">
        <v>524</v>
      </c>
      <c r="M22" t="s">
        <v>519</v>
      </c>
      <c r="N22" t="s">
        <v>531</v>
      </c>
      <c r="O22" t="s">
        <v>562</v>
      </c>
      <c r="P22" t="s">
        <v>506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540</v>
      </c>
      <c r="B23" t="s">
        <v>575</v>
      </c>
      <c r="C23" t="s">
        <v>396</v>
      </c>
      <c r="D23" t="s">
        <v>506</v>
      </c>
      <c r="E23" t="s">
        <v>486</v>
      </c>
      <c r="F23" t="s">
        <v>479</v>
      </c>
      <c r="G23" t="s">
        <v>390</v>
      </c>
      <c r="H23" t="s">
        <v>391</v>
      </c>
      <c r="I23" t="s">
        <v>480</v>
      </c>
      <c r="J23" t="s">
        <v>487</v>
      </c>
      <c r="K23" t="s">
        <v>486</v>
      </c>
      <c r="L23" t="s">
        <v>524</v>
      </c>
      <c r="M23" t="s">
        <v>521</v>
      </c>
      <c r="N23" t="s">
        <v>531</v>
      </c>
      <c r="O23" t="s">
        <v>563</v>
      </c>
      <c r="P23" t="s">
        <v>506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540</v>
      </c>
      <c r="B24" t="s">
        <v>575</v>
      </c>
      <c r="C24" t="s">
        <v>396</v>
      </c>
      <c r="D24" t="s">
        <v>506</v>
      </c>
      <c r="E24" t="s">
        <v>486</v>
      </c>
      <c r="F24" t="s">
        <v>479</v>
      </c>
      <c r="G24" t="s">
        <v>390</v>
      </c>
      <c r="H24" t="s">
        <v>391</v>
      </c>
      <c r="I24" t="s">
        <v>480</v>
      </c>
      <c r="J24" t="s">
        <v>487</v>
      </c>
      <c r="K24" t="s">
        <v>486</v>
      </c>
      <c r="L24" t="s">
        <v>524</v>
      </c>
      <c r="M24" t="s">
        <v>519</v>
      </c>
      <c r="N24" t="s">
        <v>531</v>
      </c>
      <c r="O24" t="s">
        <v>564</v>
      </c>
      <c r="P24" t="s">
        <v>506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540</v>
      </c>
      <c r="B25" t="s">
        <v>575</v>
      </c>
      <c r="C25" t="s">
        <v>396</v>
      </c>
      <c r="D25" t="s">
        <v>506</v>
      </c>
      <c r="E25" t="s">
        <v>486</v>
      </c>
      <c r="F25" t="s">
        <v>479</v>
      </c>
      <c r="G25" t="s">
        <v>390</v>
      </c>
      <c r="H25" t="s">
        <v>391</v>
      </c>
      <c r="I25" t="s">
        <v>480</v>
      </c>
      <c r="J25" t="s">
        <v>487</v>
      </c>
      <c r="K25" t="s">
        <v>486</v>
      </c>
      <c r="L25" t="s">
        <v>524</v>
      </c>
      <c r="M25" t="s">
        <v>520</v>
      </c>
      <c r="N25" t="s">
        <v>531</v>
      </c>
      <c r="O25" t="s">
        <v>565</v>
      </c>
      <c r="P25" t="s">
        <v>506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540</v>
      </c>
      <c r="B26" t="s">
        <v>576</v>
      </c>
      <c r="C26" t="s">
        <v>396</v>
      </c>
      <c r="D26" t="s">
        <v>506</v>
      </c>
      <c r="E26" t="s">
        <v>397</v>
      </c>
      <c r="F26" t="s">
        <v>479</v>
      </c>
      <c r="G26" t="s">
        <v>390</v>
      </c>
      <c r="H26" t="s">
        <v>391</v>
      </c>
      <c r="I26" t="s">
        <v>533</v>
      </c>
      <c r="J26" t="s">
        <v>398</v>
      </c>
      <c r="K26" t="s">
        <v>397</v>
      </c>
      <c r="L26" t="s">
        <v>524</v>
      </c>
      <c r="M26" t="s">
        <v>518</v>
      </c>
      <c r="N26" t="s">
        <v>531</v>
      </c>
      <c r="O26" t="s">
        <v>566</v>
      </c>
      <c r="P26" t="s">
        <v>506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540</v>
      </c>
      <c r="B27" t="s">
        <v>576</v>
      </c>
      <c r="C27" t="s">
        <v>396</v>
      </c>
      <c r="D27" t="s">
        <v>506</v>
      </c>
      <c r="E27" t="s">
        <v>397</v>
      </c>
      <c r="F27" t="s">
        <v>479</v>
      </c>
      <c r="G27" t="s">
        <v>390</v>
      </c>
      <c r="H27" t="s">
        <v>391</v>
      </c>
      <c r="I27" t="s">
        <v>533</v>
      </c>
      <c r="J27" t="s">
        <v>398</v>
      </c>
      <c r="K27" t="s">
        <v>397</v>
      </c>
      <c r="L27" t="s">
        <v>524</v>
      </c>
      <c r="M27" t="s">
        <v>518</v>
      </c>
      <c r="N27" t="s">
        <v>531</v>
      </c>
      <c r="O27" t="s">
        <v>567</v>
      </c>
      <c r="P27" t="s">
        <v>506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540</v>
      </c>
      <c r="B28" t="s">
        <v>576</v>
      </c>
      <c r="C28" t="s">
        <v>396</v>
      </c>
      <c r="D28" t="s">
        <v>506</v>
      </c>
      <c r="E28" t="s">
        <v>397</v>
      </c>
      <c r="F28" t="s">
        <v>479</v>
      </c>
      <c r="G28" t="s">
        <v>390</v>
      </c>
      <c r="H28" t="s">
        <v>391</v>
      </c>
      <c r="I28" t="s">
        <v>533</v>
      </c>
      <c r="J28" t="s">
        <v>398</v>
      </c>
      <c r="K28" t="s">
        <v>397</v>
      </c>
      <c r="L28" t="s">
        <v>524</v>
      </c>
      <c r="M28" t="s">
        <v>517</v>
      </c>
      <c r="N28" t="s">
        <v>531</v>
      </c>
      <c r="O28" t="s">
        <v>568</v>
      </c>
      <c r="P28" t="s">
        <v>506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540</v>
      </c>
      <c r="B29" t="s">
        <v>576</v>
      </c>
      <c r="C29" t="s">
        <v>396</v>
      </c>
      <c r="D29" t="s">
        <v>506</v>
      </c>
      <c r="E29" t="s">
        <v>397</v>
      </c>
      <c r="F29" t="s">
        <v>479</v>
      </c>
      <c r="G29" t="s">
        <v>390</v>
      </c>
      <c r="H29" t="s">
        <v>391</v>
      </c>
      <c r="I29" t="s">
        <v>533</v>
      </c>
      <c r="J29" t="s">
        <v>398</v>
      </c>
      <c r="K29" t="s">
        <v>397</v>
      </c>
      <c r="L29" t="s">
        <v>524</v>
      </c>
      <c r="M29" t="s">
        <v>518</v>
      </c>
      <c r="N29" t="s">
        <v>531</v>
      </c>
      <c r="O29" t="s">
        <v>569</v>
      </c>
      <c r="P29" t="s">
        <v>506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540</v>
      </c>
      <c r="B30" t="s">
        <v>576</v>
      </c>
      <c r="C30" t="s">
        <v>396</v>
      </c>
      <c r="D30" t="s">
        <v>506</v>
      </c>
      <c r="E30" t="s">
        <v>397</v>
      </c>
      <c r="F30" t="s">
        <v>479</v>
      </c>
      <c r="G30" t="s">
        <v>492</v>
      </c>
      <c r="H30" t="s">
        <v>419</v>
      </c>
      <c r="I30" t="s">
        <v>533</v>
      </c>
      <c r="J30" t="s">
        <v>398</v>
      </c>
      <c r="K30" t="s">
        <v>397</v>
      </c>
      <c r="L30" t="s">
        <v>524</v>
      </c>
      <c r="M30" t="s">
        <v>523</v>
      </c>
      <c r="N30" t="s">
        <v>531</v>
      </c>
      <c r="O30" t="s">
        <v>570</v>
      </c>
      <c r="P30" t="s">
        <v>506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540</v>
      </c>
      <c r="B31" t="s">
        <v>576</v>
      </c>
      <c r="C31" t="s">
        <v>396</v>
      </c>
      <c r="D31" t="s">
        <v>506</v>
      </c>
      <c r="E31" t="s">
        <v>397</v>
      </c>
      <c r="F31" t="s">
        <v>479</v>
      </c>
      <c r="G31" t="s">
        <v>492</v>
      </c>
      <c r="H31" t="s">
        <v>419</v>
      </c>
      <c r="I31" t="s">
        <v>533</v>
      </c>
      <c r="J31" t="s">
        <v>398</v>
      </c>
      <c r="K31" t="s">
        <v>397</v>
      </c>
      <c r="L31" t="s">
        <v>524</v>
      </c>
      <c r="M31" t="s">
        <v>534</v>
      </c>
      <c r="N31" t="s">
        <v>531</v>
      </c>
      <c r="O31" t="s">
        <v>571</v>
      </c>
      <c r="P31" t="s">
        <v>506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540</v>
      </c>
      <c r="B32" t="s">
        <v>576</v>
      </c>
      <c r="C32" t="s">
        <v>396</v>
      </c>
      <c r="D32" t="s">
        <v>506</v>
      </c>
      <c r="E32" t="s">
        <v>397</v>
      </c>
      <c r="F32" t="s">
        <v>479</v>
      </c>
      <c r="G32" t="s">
        <v>492</v>
      </c>
      <c r="H32" t="s">
        <v>419</v>
      </c>
      <c r="I32" t="s">
        <v>533</v>
      </c>
      <c r="J32" t="s">
        <v>398</v>
      </c>
      <c r="K32" t="s">
        <v>397</v>
      </c>
      <c r="L32" t="s">
        <v>524</v>
      </c>
      <c r="M32" t="s">
        <v>534</v>
      </c>
      <c r="N32" t="s">
        <v>531</v>
      </c>
      <c r="O32" t="s">
        <v>572</v>
      </c>
      <c r="P32" t="s">
        <v>506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540</v>
      </c>
      <c r="B33" t="s">
        <v>576</v>
      </c>
      <c r="C33" t="s">
        <v>396</v>
      </c>
      <c r="D33" t="s">
        <v>506</v>
      </c>
      <c r="E33" t="s">
        <v>397</v>
      </c>
      <c r="F33" t="s">
        <v>479</v>
      </c>
      <c r="G33" t="s">
        <v>492</v>
      </c>
      <c r="H33" t="s">
        <v>419</v>
      </c>
      <c r="I33" t="s">
        <v>533</v>
      </c>
      <c r="J33" t="s">
        <v>398</v>
      </c>
      <c r="K33" t="s">
        <v>397</v>
      </c>
      <c r="L33" t="s">
        <v>524</v>
      </c>
      <c r="M33" t="s">
        <v>522</v>
      </c>
      <c r="N33" t="s">
        <v>531</v>
      </c>
      <c r="O33" t="s">
        <v>573</v>
      </c>
      <c r="P33" t="s">
        <v>506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540</v>
      </c>
      <c r="B34" t="s">
        <v>575</v>
      </c>
      <c r="C34" t="s">
        <v>396</v>
      </c>
      <c r="D34" t="s">
        <v>506</v>
      </c>
      <c r="E34" t="s">
        <v>486</v>
      </c>
      <c r="F34" t="s">
        <v>479</v>
      </c>
      <c r="G34" t="s">
        <v>390</v>
      </c>
      <c r="H34" t="s">
        <v>391</v>
      </c>
      <c r="I34" t="s">
        <v>480</v>
      </c>
      <c r="J34" t="s">
        <v>487</v>
      </c>
      <c r="K34" t="s">
        <v>486</v>
      </c>
      <c r="L34" t="s">
        <v>524</v>
      </c>
      <c r="M34" t="s">
        <v>519</v>
      </c>
      <c r="N34" t="s">
        <v>531</v>
      </c>
      <c r="O34" t="s">
        <v>574</v>
      </c>
      <c r="P34" t="s">
        <v>506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540</v>
      </c>
      <c r="B35" t="s">
        <v>578</v>
      </c>
      <c r="C35" t="s">
        <v>478</v>
      </c>
      <c r="D35" t="s">
        <v>506</v>
      </c>
      <c r="E35" t="s">
        <v>491</v>
      </c>
      <c r="F35" t="s">
        <v>479</v>
      </c>
      <c r="G35" t="s">
        <v>394</v>
      </c>
      <c r="H35" t="s">
        <v>391</v>
      </c>
      <c r="I35" t="s">
        <v>536</v>
      </c>
      <c r="J35" t="s">
        <v>487</v>
      </c>
      <c r="K35" t="s">
        <v>491</v>
      </c>
      <c r="L35" t="s">
        <v>537</v>
      </c>
      <c r="M35" t="s">
        <v>519</v>
      </c>
      <c r="N35" t="s">
        <v>531</v>
      </c>
      <c r="O35" t="s">
        <v>579</v>
      </c>
      <c r="P35" t="s">
        <v>506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540</v>
      </c>
      <c r="B36" t="s">
        <v>576</v>
      </c>
      <c r="C36" t="s">
        <v>396</v>
      </c>
      <c r="D36" t="s">
        <v>506</v>
      </c>
      <c r="E36" t="s">
        <v>397</v>
      </c>
      <c r="F36" t="s">
        <v>479</v>
      </c>
      <c r="G36" t="s">
        <v>390</v>
      </c>
      <c r="H36" t="s">
        <v>391</v>
      </c>
      <c r="I36" t="s">
        <v>533</v>
      </c>
      <c r="J36" t="s">
        <v>398</v>
      </c>
      <c r="K36" t="s">
        <v>397</v>
      </c>
      <c r="L36" t="s">
        <v>524</v>
      </c>
      <c r="M36" t="s">
        <v>517</v>
      </c>
      <c r="N36" t="s">
        <v>531</v>
      </c>
      <c r="O36" t="s">
        <v>580</v>
      </c>
      <c r="P36" t="s">
        <v>506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540</v>
      </c>
      <c r="B37" t="s">
        <v>576</v>
      </c>
      <c r="C37" t="s">
        <v>396</v>
      </c>
      <c r="D37" t="s">
        <v>506</v>
      </c>
      <c r="E37" t="s">
        <v>397</v>
      </c>
      <c r="F37" t="s">
        <v>479</v>
      </c>
      <c r="G37" t="s">
        <v>390</v>
      </c>
      <c r="H37" t="s">
        <v>391</v>
      </c>
      <c r="I37" t="s">
        <v>533</v>
      </c>
      <c r="J37" t="s">
        <v>398</v>
      </c>
      <c r="K37" t="s">
        <v>397</v>
      </c>
      <c r="L37" t="s">
        <v>524</v>
      </c>
      <c r="M37" t="s">
        <v>518</v>
      </c>
      <c r="N37" t="s">
        <v>531</v>
      </c>
      <c r="O37" t="s">
        <v>581</v>
      </c>
      <c r="P37" t="s">
        <v>506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540</v>
      </c>
      <c r="B38" t="s">
        <v>577</v>
      </c>
      <c r="C38" t="s">
        <v>396</v>
      </c>
      <c r="D38" t="s">
        <v>506</v>
      </c>
      <c r="E38" t="s">
        <v>397</v>
      </c>
      <c r="F38" t="s">
        <v>479</v>
      </c>
      <c r="G38" t="s">
        <v>390</v>
      </c>
      <c r="H38" t="s">
        <v>391</v>
      </c>
      <c r="I38" t="s">
        <v>533</v>
      </c>
      <c r="J38" t="s">
        <v>398</v>
      </c>
      <c r="K38" t="s">
        <v>397</v>
      </c>
      <c r="L38" t="s">
        <v>524</v>
      </c>
      <c r="M38" t="s">
        <v>517</v>
      </c>
      <c r="N38" t="s">
        <v>531</v>
      </c>
      <c r="O38" t="s">
        <v>582</v>
      </c>
      <c r="P38" t="s">
        <v>506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540</v>
      </c>
      <c r="B39" t="s">
        <v>577</v>
      </c>
      <c r="C39" t="s">
        <v>396</v>
      </c>
      <c r="D39" t="s">
        <v>506</v>
      </c>
      <c r="E39" t="s">
        <v>397</v>
      </c>
      <c r="F39" t="s">
        <v>479</v>
      </c>
      <c r="G39" t="s">
        <v>390</v>
      </c>
      <c r="H39" t="s">
        <v>391</v>
      </c>
      <c r="I39" t="s">
        <v>533</v>
      </c>
      <c r="J39" t="s">
        <v>398</v>
      </c>
      <c r="K39" t="s">
        <v>397</v>
      </c>
      <c r="L39" t="s">
        <v>524</v>
      </c>
      <c r="M39" t="s">
        <v>518</v>
      </c>
      <c r="N39" t="s">
        <v>531</v>
      </c>
      <c r="O39" t="s">
        <v>583</v>
      </c>
      <c r="P39" t="s">
        <v>506</v>
      </c>
      <c r="Q39">
        <v>1</v>
      </c>
      <c r="R39" t="s">
        <v>480</v>
      </c>
    </row>
    <row r="40" spans="1:48" x14ac:dyDescent="0.3">
      <c r="A40" t="s">
        <v>540</v>
      </c>
      <c r="B40" t="s">
        <v>577</v>
      </c>
      <c r="C40" t="s">
        <v>396</v>
      </c>
      <c r="D40" t="s">
        <v>506</v>
      </c>
      <c r="E40" t="s">
        <v>397</v>
      </c>
      <c r="F40" t="s">
        <v>479</v>
      </c>
      <c r="G40" t="s">
        <v>390</v>
      </c>
      <c r="H40" t="s">
        <v>391</v>
      </c>
      <c r="I40" t="s">
        <v>533</v>
      </c>
      <c r="J40" t="s">
        <v>398</v>
      </c>
      <c r="K40" t="s">
        <v>397</v>
      </c>
      <c r="L40" t="s">
        <v>524</v>
      </c>
      <c r="M40" t="s">
        <v>518</v>
      </c>
      <c r="N40" t="s">
        <v>531</v>
      </c>
      <c r="O40" t="s">
        <v>584</v>
      </c>
      <c r="P40" t="s">
        <v>506</v>
      </c>
      <c r="Q40">
        <v>1</v>
      </c>
      <c r="R40" t="s">
        <v>480</v>
      </c>
    </row>
    <row r="41" spans="1:48" x14ac:dyDescent="0.3">
      <c r="A41" t="s">
        <v>540</v>
      </c>
      <c r="B41" t="s">
        <v>575</v>
      </c>
      <c r="C41" t="s">
        <v>396</v>
      </c>
      <c r="D41" t="s">
        <v>506</v>
      </c>
      <c r="E41" t="s">
        <v>486</v>
      </c>
      <c r="F41" t="s">
        <v>479</v>
      </c>
      <c r="G41" t="s">
        <v>390</v>
      </c>
      <c r="H41" t="s">
        <v>391</v>
      </c>
      <c r="I41" t="s">
        <v>480</v>
      </c>
      <c r="J41" t="s">
        <v>487</v>
      </c>
      <c r="K41" t="s">
        <v>486</v>
      </c>
      <c r="L41" t="s">
        <v>524</v>
      </c>
      <c r="M41" t="s">
        <v>519</v>
      </c>
      <c r="N41" t="s">
        <v>531</v>
      </c>
      <c r="O41" t="s">
        <v>585</v>
      </c>
      <c r="P41" t="s">
        <v>506</v>
      </c>
      <c r="Q41">
        <v>1</v>
      </c>
      <c r="R41" t="s">
        <v>480</v>
      </c>
    </row>
    <row r="42" spans="1:48" x14ac:dyDescent="0.3">
      <c r="A42" t="s">
        <v>540</v>
      </c>
      <c r="B42" t="s">
        <v>575</v>
      </c>
      <c r="C42" t="s">
        <v>396</v>
      </c>
      <c r="D42" t="s">
        <v>506</v>
      </c>
      <c r="E42" t="s">
        <v>486</v>
      </c>
      <c r="F42" t="s">
        <v>479</v>
      </c>
      <c r="G42" t="s">
        <v>390</v>
      </c>
      <c r="H42" t="s">
        <v>391</v>
      </c>
      <c r="I42" t="s">
        <v>480</v>
      </c>
      <c r="J42" t="s">
        <v>487</v>
      </c>
      <c r="K42" t="s">
        <v>486</v>
      </c>
      <c r="L42" t="s">
        <v>524</v>
      </c>
      <c r="M42" t="s">
        <v>520</v>
      </c>
      <c r="N42" t="s">
        <v>531</v>
      </c>
      <c r="O42" t="s">
        <v>586</v>
      </c>
      <c r="P42" t="s">
        <v>506</v>
      </c>
      <c r="Q42">
        <v>1</v>
      </c>
      <c r="R42" t="s">
        <v>480</v>
      </c>
    </row>
    <row r="43" spans="1:48" x14ac:dyDescent="0.3">
      <c r="A43" t="s">
        <v>540</v>
      </c>
      <c r="B43" t="s">
        <v>575</v>
      </c>
      <c r="C43" t="s">
        <v>396</v>
      </c>
      <c r="D43" t="s">
        <v>506</v>
      </c>
      <c r="E43" t="s">
        <v>486</v>
      </c>
      <c r="F43" t="s">
        <v>479</v>
      </c>
      <c r="G43" t="s">
        <v>390</v>
      </c>
      <c r="H43" t="s">
        <v>391</v>
      </c>
      <c r="I43" t="s">
        <v>480</v>
      </c>
      <c r="J43" t="s">
        <v>487</v>
      </c>
      <c r="K43" t="s">
        <v>486</v>
      </c>
      <c r="L43" t="s">
        <v>524</v>
      </c>
      <c r="M43" t="s">
        <v>519</v>
      </c>
      <c r="N43" t="s">
        <v>531</v>
      </c>
      <c r="O43" t="s">
        <v>587</v>
      </c>
      <c r="P43" t="s">
        <v>506</v>
      </c>
      <c r="Q43">
        <v>1</v>
      </c>
      <c r="R43" t="s">
        <v>480</v>
      </c>
    </row>
    <row r="44" spans="1:48" x14ac:dyDescent="0.3">
      <c r="A44" t="s">
        <v>540</v>
      </c>
      <c r="B44" t="s">
        <v>593</v>
      </c>
      <c r="C44" t="s">
        <v>478</v>
      </c>
      <c r="D44" t="s">
        <v>506</v>
      </c>
      <c r="E44" t="s">
        <v>486</v>
      </c>
      <c r="F44" t="s">
        <v>479</v>
      </c>
      <c r="G44" t="s">
        <v>411</v>
      </c>
      <c r="H44" t="s">
        <v>391</v>
      </c>
      <c r="I44" t="s">
        <v>480</v>
      </c>
      <c r="J44" t="s">
        <v>487</v>
      </c>
      <c r="K44" t="s">
        <v>486</v>
      </c>
      <c r="L44" t="s">
        <v>537</v>
      </c>
      <c r="M44" t="s">
        <v>519</v>
      </c>
      <c r="N44" t="s">
        <v>531</v>
      </c>
      <c r="O44" t="s">
        <v>594</v>
      </c>
      <c r="P44" t="s">
        <v>506</v>
      </c>
      <c r="Q44">
        <v>1</v>
      </c>
      <c r="R44" t="s">
        <v>480</v>
      </c>
    </row>
    <row r="45" spans="1:48" x14ac:dyDescent="0.3">
      <c r="A45" t="s">
        <v>540</v>
      </c>
      <c r="B45" t="s">
        <v>593</v>
      </c>
      <c r="C45" t="s">
        <v>478</v>
      </c>
      <c r="D45" t="s">
        <v>506</v>
      </c>
      <c r="E45" t="s">
        <v>486</v>
      </c>
      <c r="F45" t="s">
        <v>479</v>
      </c>
      <c r="G45" t="s">
        <v>411</v>
      </c>
      <c r="H45" t="s">
        <v>391</v>
      </c>
      <c r="I45" t="s">
        <v>480</v>
      </c>
      <c r="J45" t="s">
        <v>487</v>
      </c>
      <c r="K45" t="s">
        <v>486</v>
      </c>
      <c r="L45" t="s">
        <v>537</v>
      </c>
      <c r="M45" t="s">
        <v>519</v>
      </c>
      <c r="N45" t="s">
        <v>531</v>
      </c>
      <c r="O45" t="s">
        <v>595</v>
      </c>
      <c r="P45" t="s">
        <v>506</v>
      </c>
      <c r="Q45">
        <v>1</v>
      </c>
      <c r="R45" t="s">
        <v>480</v>
      </c>
    </row>
    <row r="46" spans="1:48" x14ac:dyDescent="0.3">
      <c r="A46" t="s">
        <v>540</v>
      </c>
      <c r="B46" t="s">
        <v>593</v>
      </c>
      <c r="C46" t="s">
        <v>478</v>
      </c>
      <c r="D46" t="s">
        <v>506</v>
      </c>
      <c r="E46" t="s">
        <v>486</v>
      </c>
      <c r="F46" t="s">
        <v>479</v>
      </c>
      <c r="G46" t="s">
        <v>411</v>
      </c>
      <c r="H46" t="s">
        <v>391</v>
      </c>
      <c r="I46" t="s">
        <v>480</v>
      </c>
      <c r="J46" t="s">
        <v>487</v>
      </c>
      <c r="K46" t="s">
        <v>486</v>
      </c>
      <c r="L46" t="s">
        <v>537</v>
      </c>
      <c r="M46" t="s">
        <v>519</v>
      </c>
      <c r="N46" t="s">
        <v>531</v>
      </c>
      <c r="O46" t="s">
        <v>596</v>
      </c>
      <c r="P46" t="s">
        <v>506</v>
      </c>
      <c r="Q46">
        <v>1</v>
      </c>
      <c r="R46" t="s">
        <v>480</v>
      </c>
    </row>
    <row r="47" spans="1:48" x14ac:dyDescent="0.3">
      <c r="A47" t="s">
        <v>540</v>
      </c>
      <c r="B47" t="s">
        <v>593</v>
      </c>
      <c r="C47" t="s">
        <v>478</v>
      </c>
      <c r="D47" t="s">
        <v>506</v>
      </c>
      <c r="E47" t="s">
        <v>486</v>
      </c>
      <c r="F47" t="s">
        <v>479</v>
      </c>
      <c r="G47" t="s">
        <v>411</v>
      </c>
      <c r="H47" t="s">
        <v>391</v>
      </c>
      <c r="I47" t="s">
        <v>480</v>
      </c>
      <c r="J47" t="s">
        <v>487</v>
      </c>
      <c r="K47" t="s">
        <v>486</v>
      </c>
      <c r="L47" t="s">
        <v>537</v>
      </c>
      <c r="M47" t="s">
        <v>519</v>
      </c>
      <c r="N47" t="s">
        <v>531</v>
      </c>
      <c r="O47" t="s">
        <v>597</v>
      </c>
      <c r="P47" t="s">
        <v>506</v>
      </c>
      <c r="Q47">
        <v>1</v>
      </c>
      <c r="R47" t="s">
        <v>480</v>
      </c>
    </row>
    <row r="48" spans="1:48" x14ac:dyDescent="0.3">
      <c r="A48" t="s">
        <v>540</v>
      </c>
      <c r="B48" t="s">
        <v>593</v>
      </c>
      <c r="C48" t="s">
        <v>478</v>
      </c>
      <c r="D48" t="s">
        <v>506</v>
      </c>
      <c r="E48" t="s">
        <v>486</v>
      </c>
      <c r="F48" t="s">
        <v>479</v>
      </c>
      <c r="G48" t="s">
        <v>411</v>
      </c>
      <c r="H48" t="s">
        <v>391</v>
      </c>
      <c r="I48" t="s">
        <v>480</v>
      </c>
      <c r="J48" t="s">
        <v>487</v>
      </c>
      <c r="K48" t="s">
        <v>486</v>
      </c>
      <c r="L48" t="s">
        <v>537</v>
      </c>
      <c r="M48" t="s">
        <v>519</v>
      </c>
      <c r="N48" t="s">
        <v>531</v>
      </c>
      <c r="O48" t="s">
        <v>598</v>
      </c>
      <c r="P48" t="s">
        <v>506</v>
      </c>
      <c r="Q48">
        <v>1</v>
      </c>
      <c r="R48" t="s">
        <v>480</v>
      </c>
    </row>
    <row r="49" spans="1:18" x14ac:dyDescent="0.3">
      <c r="A49" t="s">
        <v>540</v>
      </c>
      <c r="B49" t="s">
        <v>575</v>
      </c>
      <c r="C49" t="s">
        <v>396</v>
      </c>
      <c r="D49" t="s">
        <v>506</v>
      </c>
      <c r="E49" t="s">
        <v>486</v>
      </c>
      <c r="F49" t="s">
        <v>479</v>
      </c>
      <c r="G49" t="s">
        <v>390</v>
      </c>
      <c r="H49" t="s">
        <v>391</v>
      </c>
      <c r="I49" t="s">
        <v>480</v>
      </c>
      <c r="J49" t="s">
        <v>487</v>
      </c>
      <c r="K49" t="s">
        <v>486</v>
      </c>
      <c r="L49" t="s">
        <v>538</v>
      </c>
      <c r="M49" t="s">
        <v>521</v>
      </c>
      <c r="N49" t="s">
        <v>531</v>
      </c>
      <c r="O49" t="s">
        <v>599</v>
      </c>
      <c r="P49" t="s">
        <v>506</v>
      </c>
      <c r="Q49">
        <v>1</v>
      </c>
      <c r="R49" t="s">
        <v>480</v>
      </c>
    </row>
    <row r="50" spans="1:18" x14ac:dyDescent="0.3">
      <c r="A50" t="s">
        <v>540</v>
      </c>
      <c r="B50" t="s">
        <v>578</v>
      </c>
      <c r="C50" t="s">
        <v>478</v>
      </c>
      <c r="D50" t="s">
        <v>506</v>
      </c>
      <c r="E50" t="s">
        <v>491</v>
      </c>
      <c r="F50" t="s">
        <v>479</v>
      </c>
      <c r="G50" t="s">
        <v>394</v>
      </c>
      <c r="H50" t="s">
        <v>391</v>
      </c>
      <c r="I50" t="s">
        <v>536</v>
      </c>
      <c r="J50" t="s">
        <v>487</v>
      </c>
      <c r="K50" t="s">
        <v>491</v>
      </c>
      <c r="L50" t="s">
        <v>537</v>
      </c>
      <c r="M50" t="s">
        <v>520</v>
      </c>
      <c r="N50" t="s">
        <v>531</v>
      </c>
      <c r="O50" t="s">
        <v>600</v>
      </c>
      <c r="P50" t="s">
        <v>506</v>
      </c>
      <c r="Q50">
        <v>1</v>
      </c>
      <c r="R50" t="s">
        <v>480</v>
      </c>
    </row>
    <row r="51" spans="1:18" x14ac:dyDescent="0.3">
      <c r="A51" t="s">
        <v>540</v>
      </c>
      <c r="B51" t="s">
        <v>483</v>
      </c>
      <c r="C51" t="s">
        <v>396</v>
      </c>
      <c r="D51" t="s">
        <v>506</v>
      </c>
      <c r="E51" t="s">
        <v>397</v>
      </c>
      <c r="F51" t="s">
        <v>479</v>
      </c>
      <c r="G51" t="s">
        <v>390</v>
      </c>
      <c r="H51" t="s">
        <v>391</v>
      </c>
      <c r="I51" t="s">
        <v>533</v>
      </c>
      <c r="J51" t="s">
        <v>398</v>
      </c>
      <c r="K51" t="s">
        <v>397</v>
      </c>
      <c r="L51" t="s">
        <v>524</v>
      </c>
      <c r="M51" t="s">
        <v>532</v>
      </c>
      <c r="N51" t="s">
        <v>531</v>
      </c>
      <c r="O51" t="s">
        <v>588</v>
      </c>
      <c r="P51" t="s">
        <v>506</v>
      </c>
      <c r="Q51">
        <v>0</v>
      </c>
      <c r="R51" t="s">
        <v>480</v>
      </c>
    </row>
    <row r="52" spans="1:18" x14ac:dyDescent="0.3">
      <c r="A52" t="s">
        <v>540</v>
      </c>
      <c r="B52" t="s">
        <v>483</v>
      </c>
      <c r="C52" t="s">
        <v>396</v>
      </c>
      <c r="D52" t="s">
        <v>506</v>
      </c>
      <c r="E52" t="s">
        <v>397</v>
      </c>
      <c r="F52" t="s">
        <v>479</v>
      </c>
      <c r="G52" t="s">
        <v>390</v>
      </c>
      <c r="H52" t="s">
        <v>391</v>
      </c>
      <c r="I52" t="s">
        <v>533</v>
      </c>
      <c r="J52" t="s">
        <v>398</v>
      </c>
      <c r="K52" t="s">
        <v>397</v>
      </c>
      <c r="L52" t="s">
        <v>524</v>
      </c>
      <c r="M52" t="s">
        <v>518</v>
      </c>
      <c r="N52" t="s">
        <v>531</v>
      </c>
      <c r="O52" t="s">
        <v>589</v>
      </c>
      <c r="P52" t="s">
        <v>506</v>
      </c>
      <c r="Q52">
        <v>0</v>
      </c>
      <c r="R52" t="s">
        <v>480</v>
      </c>
    </row>
    <row r="53" spans="1:18" x14ac:dyDescent="0.3">
      <c r="A53" t="s">
        <v>540</v>
      </c>
      <c r="B53" t="s">
        <v>483</v>
      </c>
      <c r="C53" t="s">
        <v>396</v>
      </c>
      <c r="D53" t="s">
        <v>506</v>
      </c>
      <c r="E53" t="s">
        <v>397</v>
      </c>
      <c r="F53" t="s">
        <v>479</v>
      </c>
      <c r="G53" t="s">
        <v>390</v>
      </c>
      <c r="H53" t="s">
        <v>391</v>
      </c>
      <c r="I53" t="s">
        <v>533</v>
      </c>
      <c r="J53" t="s">
        <v>398</v>
      </c>
      <c r="K53" t="s">
        <v>397</v>
      </c>
      <c r="L53" t="s">
        <v>524</v>
      </c>
      <c r="M53" t="s">
        <v>517</v>
      </c>
      <c r="N53" t="s">
        <v>531</v>
      </c>
      <c r="O53" t="s">
        <v>590</v>
      </c>
      <c r="P53" t="s">
        <v>506</v>
      </c>
      <c r="Q53">
        <v>0</v>
      </c>
      <c r="R53" t="s">
        <v>480</v>
      </c>
    </row>
    <row r="54" spans="1:18" x14ac:dyDescent="0.3">
      <c r="A54" t="s">
        <v>540</v>
      </c>
      <c r="B54" t="s">
        <v>483</v>
      </c>
      <c r="C54" t="s">
        <v>396</v>
      </c>
      <c r="D54" t="s">
        <v>506</v>
      </c>
      <c r="E54" t="s">
        <v>397</v>
      </c>
      <c r="F54" t="s">
        <v>479</v>
      </c>
      <c r="G54" t="s">
        <v>492</v>
      </c>
      <c r="H54" t="s">
        <v>419</v>
      </c>
      <c r="I54" t="s">
        <v>533</v>
      </c>
      <c r="J54" t="s">
        <v>398</v>
      </c>
      <c r="K54" t="s">
        <v>397</v>
      </c>
      <c r="L54" t="s">
        <v>524</v>
      </c>
      <c r="M54" t="s">
        <v>522</v>
      </c>
      <c r="N54" t="s">
        <v>531</v>
      </c>
      <c r="O54" t="s">
        <v>591</v>
      </c>
      <c r="P54" t="s">
        <v>506</v>
      </c>
      <c r="Q54">
        <v>0</v>
      </c>
      <c r="R54" t="s">
        <v>480</v>
      </c>
    </row>
    <row r="55" spans="1:18" x14ac:dyDescent="0.3">
      <c r="A55" t="s">
        <v>540</v>
      </c>
      <c r="B55" t="s">
        <v>483</v>
      </c>
      <c r="C55" t="s">
        <v>396</v>
      </c>
      <c r="D55" t="s">
        <v>506</v>
      </c>
      <c r="E55" t="s">
        <v>397</v>
      </c>
      <c r="F55" t="s">
        <v>479</v>
      </c>
      <c r="G55" t="s">
        <v>390</v>
      </c>
      <c r="H55" t="s">
        <v>391</v>
      </c>
      <c r="I55" t="s">
        <v>533</v>
      </c>
      <c r="J55" t="s">
        <v>398</v>
      </c>
      <c r="K55" t="s">
        <v>397</v>
      </c>
      <c r="L55" t="s">
        <v>524</v>
      </c>
      <c r="M55" t="s">
        <v>517</v>
      </c>
      <c r="N55" t="s">
        <v>531</v>
      </c>
      <c r="O55" t="s">
        <v>592</v>
      </c>
      <c r="P55" t="s">
        <v>506</v>
      </c>
      <c r="Q55">
        <v>0</v>
      </c>
      <c r="R55" t="s">
        <v>480</v>
      </c>
    </row>
    <row r="56" spans="1:18" x14ac:dyDescent="0.3">
      <c r="A56" t="s">
        <v>540</v>
      </c>
      <c r="B56" t="s">
        <v>483</v>
      </c>
      <c r="C56" t="s">
        <v>478</v>
      </c>
      <c r="D56" t="s">
        <v>506</v>
      </c>
      <c r="E56" t="s">
        <v>491</v>
      </c>
      <c r="F56" t="s">
        <v>479</v>
      </c>
      <c r="G56" t="s">
        <v>394</v>
      </c>
      <c r="H56" t="s">
        <v>391</v>
      </c>
      <c r="I56" t="s">
        <v>536</v>
      </c>
      <c r="J56" t="s">
        <v>487</v>
      </c>
      <c r="K56" t="s">
        <v>491</v>
      </c>
      <c r="L56" t="s">
        <v>537</v>
      </c>
      <c r="M56" t="s">
        <v>519</v>
      </c>
      <c r="N56" t="s">
        <v>531</v>
      </c>
      <c r="O56" t="s">
        <v>601</v>
      </c>
      <c r="P56" t="s">
        <v>506</v>
      </c>
      <c r="Q56">
        <v>0</v>
      </c>
      <c r="R56" t="s">
        <v>480</v>
      </c>
    </row>
    <row r="57" spans="1:18" x14ac:dyDescent="0.3">
      <c r="A57" t="s">
        <v>540</v>
      </c>
      <c r="B57" t="s">
        <v>483</v>
      </c>
      <c r="C57" t="s">
        <v>396</v>
      </c>
      <c r="D57" t="s">
        <v>506</v>
      </c>
      <c r="E57" t="s">
        <v>397</v>
      </c>
      <c r="F57" t="s">
        <v>479</v>
      </c>
      <c r="G57" t="s">
        <v>492</v>
      </c>
      <c r="H57" t="s">
        <v>419</v>
      </c>
      <c r="I57" t="s">
        <v>533</v>
      </c>
      <c r="J57" t="s">
        <v>398</v>
      </c>
      <c r="K57" t="s">
        <v>397</v>
      </c>
      <c r="L57" t="s">
        <v>524</v>
      </c>
      <c r="M57" t="s">
        <v>522</v>
      </c>
      <c r="N57" t="s">
        <v>531</v>
      </c>
      <c r="O57" t="s">
        <v>602</v>
      </c>
      <c r="P57" t="s">
        <v>506</v>
      </c>
      <c r="Q57">
        <v>0</v>
      </c>
      <c r="R57" t="s">
        <v>480</v>
      </c>
    </row>
    <row r="58" spans="1:18" x14ac:dyDescent="0.3">
      <c r="A58" t="s">
        <v>540</v>
      </c>
      <c r="B58" t="s">
        <v>483</v>
      </c>
      <c r="C58" t="s">
        <v>396</v>
      </c>
      <c r="D58" t="s">
        <v>506</v>
      </c>
      <c r="E58" t="s">
        <v>397</v>
      </c>
      <c r="F58" t="s">
        <v>479</v>
      </c>
      <c r="G58" t="s">
        <v>492</v>
      </c>
      <c r="H58" t="s">
        <v>419</v>
      </c>
      <c r="I58" t="s">
        <v>533</v>
      </c>
      <c r="J58" t="s">
        <v>398</v>
      </c>
      <c r="K58" t="s">
        <v>397</v>
      </c>
      <c r="L58" t="s">
        <v>524</v>
      </c>
      <c r="M58" t="s">
        <v>523</v>
      </c>
      <c r="N58" t="s">
        <v>531</v>
      </c>
      <c r="O58" t="s">
        <v>603</v>
      </c>
      <c r="P58" t="s">
        <v>506</v>
      </c>
      <c r="Q58">
        <v>0</v>
      </c>
      <c r="R58" t="s">
        <v>480</v>
      </c>
    </row>
    <row r="59" spans="1:18" x14ac:dyDescent="0.3">
      <c r="A59" t="s">
        <v>540</v>
      </c>
      <c r="B59" t="s">
        <v>483</v>
      </c>
      <c r="C59" t="s">
        <v>396</v>
      </c>
      <c r="D59" t="s">
        <v>506</v>
      </c>
      <c r="E59" t="s">
        <v>397</v>
      </c>
      <c r="F59" t="s">
        <v>479</v>
      </c>
      <c r="G59" t="s">
        <v>390</v>
      </c>
      <c r="H59" t="s">
        <v>391</v>
      </c>
      <c r="I59" t="s">
        <v>533</v>
      </c>
      <c r="J59" t="s">
        <v>398</v>
      </c>
      <c r="K59" t="s">
        <v>397</v>
      </c>
      <c r="L59" t="s">
        <v>524</v>
      </c>
      <c r="M59" t="s">
        <v>518</v>
      </c>
      <c r="N59" t="s">
        <v>531</v>
      </c>
      <c r="O59" t="s">
        <v>604</v>
      </c>
      <c r="P59" t="s">
        <v>506</v>
      </c>
      <c r="Q59">
        <v>0</v>
      </c>
      <c r="R59" t="s">
        <v>480</v>
      </c>
    </row>
    <row r="60" spans="1:18" x14ac:dyDescent="0.3">
      <c r="A60" t="s">
        <v>540</v>
      </c>
      <c r="B60" t="s">
        <v>483</v>
      </c>
      <c r="C60" t="s">
        <v>396</v>
      </c>
      <c r="D60" t="s">
        <v>506</v>
      </c>
      <c r="E60" t="s">
        <v>397</v>
      </c>
      <c r="F60" t="s">
        <v>479</v>
      </c>
      <c r="G60" t="s">
        <v>390</v>
      </c>
      <c r="H60" t="s">
        <v>391</v>
      </c>
      <c r="I60" t="s">
        <v>533</v>
      </c>
      <c r="J60" t="s">
        <v>398</v>
      </c>
      <c r="K60" t="s">
        <v>397</v>
      </c>
      <c r="L60" t="s">
        <v>524</v>
      </c>
      <c r="M60" t="s">
        <v>517</v>
      </c>
      <c r="N60" t="s">
        <v>531</v>
      </c>
      <c r="O60" t="s">
        <v>605</v>
      </c>
      <c r="P60" t="s">
        <v>506</v>
      </c>
      <c r="Q60">
        <v>0</v>
      </c>
      <c r="R60" t="s">
        <v>480</v>
      </c>
    </row>
    <row r="61" spans="1:18" x14ac:dyDescent="0.3">
      <c r="A61" t="s">
        <v>540</v>
      </c>
      <c r="B61" t="s">
        <v>483</v>
      </c>
      <c r="C61" t="s">
        <v>396</v>
      </c>
      <c r="D61" t="s">
        <v>506</v>
      </c>
      <c r="E61" t="s">
        <v>397</v>
      </c>
      <c r="F61" t="s">
        <v>479</v>
      </c>
      <c r="G61" t="s">
        <v>390</v>
      </c>
      <c r="H61" t="s">
        <v>391</v>
      </c>
      <c r="I61" t="s">
        <v>533</v>
      </c>
      <c r="J61" t="s">
        <v>398</v>
      </c>
      <c r="K61" t="s">
        <v>397</v>
      </c>
      <c r="L61" t="s">
        <v>524</v>
      </c>
      <c r="M61" t="s">
        <v>518</v>
      </c>
      <c r="N61" t="s">
        <v>531</v>
      </c>
      <c r="O61" t="s">
        <v>606</v>
      </c>
      <c r="P61" t="s">
        <v>506</v>
      </c>
      <c r="Q61">
        <v>0</v>
      </c>
      <c r="R61" t="s">
        <v>480</v>
      </c>
    </row>
    <row r="62" spans="1:18" x14ac:dyDescent="0.3">
      <c r="A62" t="s">
        <v>540</v>
      </c>
      <c r="B62" t="s">
        <v>483</v>
      </c>
      <c r="C62" t="s">
        <v>396</v>
      </c>
      <c r="D62" t="s">
        <v>506</v>
      </c>
      <c r="E62" t="s">
        <v>397</v>
      </c>
      <c r="F62" t="s">
        <v>479</v>
      </c>
      <c r="G62" t="s">
        <v>390</v>
      </c>
      <c r="H62" t="s">
        <v>391</v>
      </c>
      <c r="I62" t="s">
        <v>533</v>
      </c>
      <c r="J62" t="s">
        <v>398</v>
      </c>
      <c r="K62" t="s">
        <v>397</v>
      </c>
      <c r="L62" t="s">
        <v>524</v>
      </c>
      <c r="M62" t="s">
        <v>532</v>
      </c>
      <c r="N62" t="s">
        <v>531</v>
      </c>
      <c r="O62" t="s">
        <v>607</v>
      </c>
      <c r="P62" t="s">
        <v>506</v>
      </c>
      <c r="Q62">
        <v>0</v>
      </c>
      <c r="R62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A57"/>
  <sheetViews>
    <sheetView tabSelected="1" zoomScale="70" zoomScaleNormal="70" workbookViewId="0">
      <selection activeCell="AB35" sqref="AB35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11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27" ht="18" x14ac:dyDescent="0.35">
      <c r="A1" s="30" t="s">
        <v>535</v>
      </c>
      <c r="C1" s="31"/>
      <c r="N1" s="98"/>
      <c r="O1" s="32"/>
      <c r="S1" s="99"/>
      <c r="Y1" s="24"/>
      <c r="Z1"/>
      <c r="AA1" s="1"/>
    </row>
    <row r="3" spans="1:27" ht="47.4" thickBot="1" x14ac:dyDescent="0.35">
      <c r="A3" s="71" t="s">
        <v>365</v>
      </c>
      <c r="B3" s="72" t="s">
        <v>374</v>
      </c>
      <c r="C3" s="73" t="s">
        <v>375</v>
      </c>
      <c r="D3" s="73" t="s">
        <v>376</v>
      </c>
      <c r="E3" s="73" t="s">
        <v>377</v>
      </c>
      <c r="F3" s="73" t="s">
        <v>378</v>
      </c>
      <c r="G3" s="73" t="s">
        <v>379</v>
      </c>
      <c r="H3" s="73" t="s">
        <v>360</v>
      </c>
      <c r="I3" s="73" t="s">
        <v>380</v>
      </c>
      <c r="J3" s="74" t="s">
        <v>381</v>
      </c>
      <c r="K3" s="74" t="s">
        <v>382</v>
      </c>
      <c r="L3" s="74" t="s">
        <v>477</v>
      </c>
      <c r="M3" s="73" t="s">
        <v>384</v>
      </c>
      <c r="N3" s="75" t="s">
        <v>385</v>
      </c>
      <c r="O3" s="75" t="s">
        <v>386</v>
      </c>
      <c r="P3" s="74" t="s">
        <v>387</v>
      </c>
      <c r="Q3" s="100" t="s">
        <v>502</v>
      </c>
      <c r="R3" s="100" t="s">
        <v>503</v>
      </c>
      <c r="S3" s="100" t="s">
        <v>504</v>
      </c>
      <c r="T3" s="100" t="s">
        <v>505</v>
      </c>
      <c r="U3" s="100">
        <v>64</v>
      </c>
      <c r="V3" s="101">
        <v>72</v>
      </c>
      <c r="W3" s="101">
        <v>88</v>
      </c>
      <c r="X3" s="101">
        <v>105</v>
      </c>
      <c r="Y3" s="101" t="s">
        <v>388</v>
      </c>
      <c r="Z3" s="72" t="s">
        <v>404</v>
      </c>
      <c r="AA3" s="73" t="s">
        <v>405</v>
      </c>
    </row>
    <row r="4" spans="1:27" ht="15.6" x14ac:dyDescent="0.3">
      <c r="A4" s="63" t="s">
        <v>490</v>
      </c>
      <c r="B4" s="102" t="s">
        <v>484</v>
      </c>
      <c r="C4" s="103" t="s">
        <v>478</v>
      </c>
      <c r="D4" s="61" t="s">
        <v>506</v>
      </c>
      <c r="E4" s="61" t="s">
        <v>491</v>
      </c>
      <c r="F4" s="61">
        <v>1</v>
      </c>
      <c r="G4" s="61" t="s">
        <v>394</v>
      </c>
      <c r="H4" s="61" t="s">
        <v>391</v>
      </c>
      <c r="I4" s="105" t="s">
        <v>536</v>
      </c>
      <c r="J4" s="103" t="s">
        <v>487</v>
      </c>
      <c r="K4" s="103" t="s">
        <v>491</v>
      </c>
      <c r="L4" s="103" t="s">
        <v>392</v>
      </c>
      <c r="M4" s="103" t="s">
        <v>393</v>
      </c>
      <c r="N4" s="61">
        <f>+Y4/80</f>
        <v>20</v>
      </c>
      <c r="O4" s="61"/>
      <c r="P4" s="61" t="s">
        <v>537</v>
      </c>
      <c r="Q4" s="62"/>
      <c r="R4" s="62"/>
      <c r="S4" s="62"/>
      <c r="T4" s="62"/>
      <c r="U4" s="62"/>
      <c r="V4" s="62">
        <f>15*80</f>
        <v>1200</v>
      </c>
      <c r="W4" s="62">
        <f>5*80</f>
        <v>400</v>
      </c>
      <c r="X4" s="61"/>
      <c r="Y4" s="62">
        <f>SUM(Q4:X4)</f>
        <v>1600</v>
      </c>
      <c r="Z4" s="64" t="s">
        <v>488</v>
      </c>
      <c r="AA4" s="61" t="s">
        <v>482</v>
      </c>
    </row>
    <row r="5" spans="1:27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20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15</v>
      </c>
      <c r="W5" s="11">
        <f t="shared" si="0"/>
        <v>5</v>
      </c>
      <c r="X5" s="11">
        <f t="shared" si="0"/>
        <v>0</v>
      </c>
      <c r="Y5" s="11"/>
      <c r="Z5" s="115" t="s">
        <v>513</v>
      </c>
      <c r="AA5" s="11"/>
    </row>
    <row r="6" spans="1:27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16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12</v>
      </c>
      <c r="W6" s="11">
        <f t="shared" si="1"/>
        <v>4</v>
      </c>
      <c r="X6" s="11">
        <f t="shared" si="1"/>
        <v>0</v>
      </c>
      <c r="Y6" s="11"/>
      <c r="Z6" s="115"/>
      <c r="AA6" s="11"/>
    </row>
    <row r="7" spans="1:27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18">
        <f>SUM(Q7:X7)</f>
        <v>1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1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15"/>
      <c r="AA7" s="11"/>
    </row>
    <row r="8" spans="1:27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IF(Q6&lt;0,-Q6,IF((Q7+Q9)-Q5&gt;0,(Q7+Q9)-Q5,0))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27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18">
        <f>SUM(Q9:X9)</f>
        <v>3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2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1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27" ht="15.6" x14ac:dyDescent="0.3">
      <c r="A10" s="63"/>
      <c r="B10" s="102"/>
      <c r="C10" s="103" t="s">
        <v>478</v>
      </c>
      <c r="D10" s="61" t="s">
        <v>506</v>
      </c>
      <c r="E10" s="61" t="s">
        <v>491</v>
      </c>
      <c r="F10" s="61">
        <v>1</v>
      </c>
      <c r="G10" s="61" t="s">
        <v>394</v>
      </c>
      <c r="H10" s="61" t="s">
        <v>391</v>
      </c>
      <c r="I10" s="104" t="s">
        <v>529</v>
      </c>
      <c r="J10" s="61" t="s">
        <v>487</v>
      </c>
      <c r="K10" s="61" t="s">
        <v>491</v>
      </c>
      <c r="L10" s="61" t="s">
        <v>392</v>
      </c>
      <c r="M10" s="61" t="s">
        <v>393</v>
      </c>
      <c r="N10" s="116">
        <f>+Y10/80</f>
        <v>12</v>
      </c>
      <c r="O10" s="61"/>
      <c r="P10" s="61" t="s">
        <v>527</v>
      </c>
      <c r="Q10" s="63"/>
      <c r="R10" s="63"/>
      <c r="S10" s="63"/>
      <c r="T10" s="62"/>
      <c r="U10" s="62"/>
      <c r="V10" s="61"/>
      <c r="W10" s="61">
        <f>7*80</f>
        <v>560</v>
      </c>
      <c r="X10" s="62">
        <f>5*80</f>
        <v>400</v>
      </c>
      <c r="Y10" s="62">
        <f>SUM(Q10:X10)</f>
        <v>960</v>
      </c>
      <c r="Z10" s="64" t="s">
        <v>488</v>
      </c>
      <c r="AA10" s="61"/>
    </row>
    <row r="11" spans="1:27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12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0</v>
      </c>
      <c r="W11" s="11">
        <f t="shared" si="3"/>
        <v>7</v>
      </c>
      <c r="X11" s="11">
        <f t="shared" si="3"/>
        <v>5</v>
      </c>
      <c r="Y11" s="11"/>
      <c r="Z11" s="115" t="s">
        <v>513</v>
      </c>
      <c r="AA11" s="11"/>
    </row>
    <row r="12" spans="1:27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12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7</v>
      </c>
      <c r="X12" s="11">
        <f t="shared" si="4"/>
        <v>5</v>
      </c>
      <c r="Y12" s="11"/>
      <c r="Z12" s="115"/>
      <c r="AA12" s="11"/>
    </row>
    <row r="13" spans="1:27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18">
        <f>SUM(Q13:X13)</f>
        <v>0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0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15"/>
      <c r="AA13" s="11"/>
    </row>
    <row r="14" spans="1:27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IF(Q12&lt;0,-Q12,IF((Q13+Q15)-Q11&gt;0,(Q13+Q15)-Q11,0))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27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18">
        <f>SUM(Q15:X15)</f>
        <v>0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0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0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27" ht="15.6" x14ac:dyDescent="0.3">
      <c r="A16" s="63" t="s">
        <v>449</v>
      </c>
      <c r="B16" s="102" t="s">
        <v>484</v>
      </c>
      <c r="C16" s="103" t="s">
        <v>478</v>
      </c>
      <c r="D16" s="61" t="s">
        <v>506</v>
      </c>
      <c r="E16" s="61" t="s">
        <v>450</v>
      </c>
      <c r="F16" s="61">
        <v>1</v>
      </c>
      <c r="G16" s="61" t="s">
        <v>394</v>
      </c>
      <c r="H16" s="61" t="s">
        <v>391</v>
      </c>
      <c r="I16" s="104" t="s">
        <v>493</v>
      </c>
      <c r="J16" s="61" t="s">
        <v>439</v>
      </c>
      <c r="K16" s="61" t="s">
        <v>450</v>
      </c>
      <c r="L16" s="61" t="s">
        <v>392</v>
      </c>
      <c r="M16" s="61" t="s">
        <v>393</v>
      </c>
      <c r="N16" s="61">
        <f>+Y16/80</f>
        <v>20</v>
      </c>
      <c r="O16" s="61"/>
      <c r="P16" s="61" t="s">
        <v>537</v>
      </c>
      <c r="Q16" s="62"/>
      <c r="R16" s="62"/>
      <c r="S16" s="62"/>
      <c r="T16" s="62"/>
      <c r="U16" s="65"/>
      <c r="V16" s="62">
        <f>15*80</f>
        <v>1200</v>
      </c>
      <c r="W16" s="62">
        <f>5*80</f>
        <v>400</v>
      </c>
      <c r="X16" s="62"/>
      <c r="Y16" s="62">
        <f>SUM(Q16:X16)</f>
        <v>1600</v>
      </c>
      <c r="Z16" s="64" t="s">
        <v>488</v>
      </c>
      <c r="AA16" s="61" t="s">
        <v>482</v>
      </c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20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15</v>
      </c>
      <c r="W17" s="11">
        <f t="shared" si="6"/>
        <v>5</v>
      </c>
      <c r="X17" s="11">
        <f t="shared" si="6"/>
        <v>0</v>
      </c>
      <c r="Y17" s="11"/>
      <c r="Z17" s="115" t="s">
        <v>530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20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15</v>
      </c>
      <c r="W18" s="11">
        <f t="shared" si="7"/>
        <v>5</v>
      </c>
      <c r="X18" s="11">
        <f t="shared" si="7"/>
        <v>0</v>
      </c>
      <c r="Y18" s="11"/>
      <c r="Z18" s="115" t="s">
        <v>508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18">
        <f>SUM(Q19:X19)</f>
        <v>0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0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15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IF(Q18&lt;0,-Q18,IF((Q19+Q21)-Q17&gt;0,(Q19+Q21)-Q17,0))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18">
        <f>SUM(Q21:X21)</f>
        <v>0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0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0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3" t="s">
        <v>485</v>
      </c>
      <c r="B22" s="63" t="s">
        <v>389</v>
      </c>
      <c r="C22" s="61" t="s">
        <v>396</v>
      </c>
      <c r="D22" s="61" t="s">
        <v>506</v>
      </c>
      <c r="E22" s="61" t="s">
        <v>486</v>
      </c>
      <c r="F22" s="61">
        <v>1</v>
      </c>
      <c r="G22" s="61" t="s">
        <v>390</v>
      </c>
      <c r="H22" s="61" t="s">
        <v>391</v>
      </c>
      <c r="I22" s="61"/>
      <c r="J22" s="61" t="s">
        <v>487</v>
      </c>
      <c r="K22" s="61" t="s">
        <v>486</v>
      </c>
      <c r="L22" s="61" t="s">
        <v>481</v>
      </c>
      <c r="M22" s="61" t="s">
        <v>393</v>
      </c>
      <c r="N22" s="116">
        <f>+Y22/80</f>
        <v>14</v>
      </c>
      <c r="O22" s="61"/>
      <c r="P22" s="61" t="s">
        <v>524</v>
      </c>
      <c r="Q22" s="63"/>
      <c r="R22" s="63"/>
      <c r="S22" s="63"/>
      <c r="T22" s="62"/>
      <c r="U22" s="65"/>
      <c r="V22" s="62">
        <f>5*80</f>
        <v>400</v>
      </c>
      <c r="W22" s="62">
        <f>5*80</f>
        <v>400</v>
      </c>
      <c r="X22" s="62">
        <f>4*80</f>
        <v>320</v>
      </c>
      <c r="Y22" s="62">
        <f>SUM(Q22:X22)</f>
        <v>1120</v>
      </c>
      <c r="Z22" s="64" t="s">
        <v>489</v>
      </c>
      <c r="AA22" s="61" t="s">
        <v>406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14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5</v>
      </c>
      <c r="W23" s="11">
        <f t="shared" si="9"/>
        <v>5</v>
      </c>
      <c r="X23" s="11">
        <f t="shared" si="9"/>
        <v>4</v>
      </c>
      <c r="Y23" s="11"/>
      <c r="Z23" s="115" t="s">
        <v>514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-5</v>
      </c>
      <c r="W24" s="11">
        <f t="shared" si="10"/>
        <v>3</v>
      </c>
      <c r="X24" s="11">
        <f t="shared" si="10"/>
        <v>3</v>
      </c>
      <c r="Y24" s="11"/>
      <c r="Z24" s="115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18">
        <f>SUM(Q25:X25)</f>
        <v>0</v>
      </c>
      <c r="Q25" s="57">
        <f>IF(NOT(ISBLANK(Q22)),COUNTIFS(Data!$C:$C,$C22,Data!$P:$P,"VAL",Data!$E:$E,$E22,Data!$F:$F,$F22,Data!$I:$I,IF(ISBLANK($I22),"",$I22),Data!$J:$J,$J22,Data!$K:$K,$K22,Data!$R:$R,"",Data!$L:$L,IF(ISBLANK($P22),"",$P22),Data!$G:$G,"ZF",Data!$H:$H,"A15C",Data!$M:$M,36),0)-Q27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IF(NOT(ISBLANK(R22)),COUNTIFS(Data!$C:$C,$C22,Data!$P:$P,"VAL",Data!$E:$E,$E22,Data!$F:$F,$F22,Data!$I:$I,IF(ISBLANK($I22),"",$I22),Data!$J:$J,$J22,Data!$K:$K,$K22,Data!$R:$R,"",Data!$L:$L,IF(ISBLANK($P22),"",$P22),Data!$G:$G,"ZF",Data!$H:$H,"A15C",Data!$M:$M,40),0)-R27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IF(NOT(ISBLANK(S22)),COUNTIFS(Data!$C:$C,$C22,Data!$P:$P,"VAL",Data!$E:$E,$E22,Data!$F:$F,$F22,Data!$I:$I,IF(ISBLANK($I22),"",$I22),Data!$J:$J,$J22,Data!$K:$K,$K22,Data!$R:$R,"",Data!$L:$L,IF(ISBLANK($P22),"",$P22),Data!$G:$G,"ZF",Data!$H:$H,"A15C",Data!$M:$M,48),0)-S27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IF(NOT(ISBLANK(T22)),COUNTIFS(Data!$C:$C,$C22,Data!$P:$P,"VAL",Data!$E:$E,$E22,Data!$F:$F,$F22,Data!$I:$I,IF(ISBLANK($I22),"",$I22),Data!$J:$J,$J22,Data!$K:$K,$K22,Data!$R:$R,"",Data!$L:$L,IF(ISBLANK($P22),"",$P22),Data!$G:$G,"ZF",Data!$H:$H,"A15C",Data!$M:$M,56),0)-T27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IF(NOT(ISBLANK(U22)),COUNTIFS(Data!$C:$C,$C22,Data!$P:$P,"VAL",Data!$E:$E,$E22,Data!$F:$F,$F22,Data!$I:$I,IF(ISBLANK($I22),"",$I22),Data!$J:$J,$J22,Data!$K:$K,$K22,Data!$R:$R,"",Data!$L:$L,IF(ISBLANK($P22),"",$P22),Data!$G:$G,"ZF",Data!$H:$H,"A15C",Data!$M:$M,64),0)-U27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IF(NOT(ISBLANK(V22)),COUNTIFS(Data!$C:$C,$C22,Data!$P:$P,"VAL",Data!$E:$E,$E22,Data!$F:$F,$F22,Data!$I:$I,IF(ISBLANK($I22),"",$I22),Data!$J:$J,$J22,Data!$K:$K,$K22,Data!$R:$R,"",Data!$L:$L,IF(ISBLANK($P22),"",$P22),Data!$G:$G,"ZF",Data!$H:$H,"A15C",Data!$M:$M,72),0)-V27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IF(NOT(ISBLANK(W22)),COUNTIFS(Data!$C:$C,$C22,Data!$P:$P,"VAL",Data!$E:$E,$E22,Data!$F:$F,$F22,Data!$I:$I,IF(ISBLANK($I22),"",$I22),Data!$J:$J,$J22,Data!$K:$K,$K22,Data!$R:$R,"",Data!$L:$L,IF(ISBLANK($P22),"",$P22),Data!$G:$G,"ZF",Data!$H:$H,"A15C",Data!$M:$M,88),0)-W27</f>
        <v>0</v>
      </c>
      <c r="X25" s="57">
        <f>IF(NOT(ISBLANK(X22)),COUNTIFS(Data!$C:$C,$C22,Data!$P:$P,"VAL",Data!$E:$E,$E22,Data!$F:$F,$F22,Data!$I:$I,IF(ISBLANK($I22),"",$I22),Data!$J:$J,$J22,Data!$K:$K,$K22,Data!$R:$R,"",Data!$L:$L,IF(ISBLANK($P22),"",$P22),Data!$G:$G,"ZF",Data!$H:$H,"A15C",Data!$M:$M,105),0)-X27</f>
        <v>0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IF(($P25+$P27)&gt;$P23,IF((Q25+Q27)-Q23&gt;0,(Q25+Q27)-Q23,0),0)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18">
        <f>SUM(Q27:X27)</f>
        <v>13</v>
      </c>
      <c r="Q27" s="57">
        <f>IF(NOT(ISBLANK(Q22)),COUNTIFS(Data!$C:$C,$C22,Data!$P:$P,"VAL",Data!$E:$E,$E22,Data!$F:$F,$F22,Data!$I:$I,IF(ISBLANK($I22),"",$I22),Data!$J:$J,$J22,Data!$K:$K,$K22,Data!$R:$R,"",Data!$L:$L,IF(ISBLANK($P22),"",$P22),Data!$G:$G,"ZF",Data!$H:$H,"A15C",Data!$M:$M,36,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IF(NOT(ISBLANK(R22)),COUNTIFS(Data!$C:$C,$C22,Data!$P:$P,"VAL",Data!$E:$E,$E22,Data!$F:$F,$F22,Data!$I:$I,IF(ISBLANK($I22),"",$I22),Data!$J:$J,$J22,Data!$K:$K,$K22,Data!$R:$R,"",Data!$L:$L,IF(ISBLANK($P22),"",$P22),Data!$G:$G,"ZF",Data!$H:$H,"A15C",Data!$M:$M,40,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IF(NOT(ISBLANK(S22)),COUNTIFS(Data!$C:$C,$C22,Data!$P:$P,"VAL",Data!$E:$E,$E22,Data!$F:$F,$F22,Data!$I:$I,IF(ISBLANK($I22),"",$I22),Data!$J:$J,$J22,Data!$K:$K,$K22,Data!$R:$R,"",Data!$L:$L,IF(ISBLANK($P22),"",$P22),Data!$G:$G,"ZF",Data!$H:$H,"A15C",Data!$M:$M,48,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IF(NOT(ISBLANK(T22)),COUNTIFS(Data!$C:$C,$C22,Data!$P:$P,"VAL",Data!$E:$E,$E22,Data!$F:$F,$F22,Data!$I:$I,IF(ISBLANK($I22),"",$I22),Data!$J:$J,$J22,Data!$K:$K,$K22,Data!$R:$R,"",Data!$L:$L,IF(ISBLANK($P22),"",$P22),Data!$G:$G,"ZF",Data!$H:$H,"A15C",Data!$M:$M,56,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IF(NOT(ISBLANK(U22)),COUNTIFS(Data!$C:$C,$C22,Data!$P:$P,"VAL",Data!$E:$E,$E22,Data!$F:$F,$F22,Data!$I:$I,IF(ISBLANK($I22),"",$I22),Data!$J:$J,$J22,Data!$K:$K,$K22,Data!$R:$R,"",Data!$L:$L,IF(ISBLANK($P22),"",$P22),Data!$G:$G,"ZF",Data!$H:$H,"A15C",Data!$M:$M,64,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IF(NOT(ISBLANK(V22)),COUNTIFS(Data!$C:$C,$C22,Data!$P:$P,"VAL",Data!$E:$E,$E22,Data!$F:$F,$F22,Data!$I:$I,IF(ISBLANK($I22),"",$I22),Data!$J:$J,$J22,Data!$K:$K,$K22,Data!$R:$R,"",Data!$L:$L,IF(ISBLANK($P22),"",$P22),Data!$G:$G,"ZF",Data!$H:$H,"A15C",Data!$M:$M,72, Data!$Q:$Q,1),0)</f>
        <v>10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IF(NOT(ISBLANK(W22)),COUNTIFS(Data!$C:$C,$C22,Data!$P:$P,"VAL",Data!$E:$E,$E22,Data!$F:$F,$F22,Data!$I:$I,IF(ISBLANK($I22),"",$I22),Data!$J:$J,$J22,Data!$K:$K,$K22,Data!$R:$R,"",Data!$L:$L,IF(ISBLANK($P22),"",$P22),Data!$G:$G,"ZF",Data!$H:$H,"A15C",Data!$M:$M,88, Data!$Q:$Q,1),0)</f>
        <v>2</v>
      </c>
      <c r="X27" s="57">
        <f>IF(NOT(ISBLANK(X22)),COUNTIFS(Data!$C:$C,$C22,Data!$P:$P,"VAL",Data!$E:$E,$E22,Data!$F:$F,$F22,Data!$I:$I,IF(ISBLANK($I22),"",$I22),Data!$J:$J,$J22,Data!$K:$K,$K22,Data!$R:$R,"",Data!$L:$L,IF(ISBLANK($P22),"",$P22),Data!$G:$G,"ZF",Data!$H:$H,"A15C",Data!$M:$M,105, Data!$Q:$Q,1),0)</f>
        <v>1</v>
      </c>
      <c r="Y27" s="11"/>
      <c r="Z27" s="11"/>
      <c r="AA27" s="11">
        <v>80</v>
      </c>
    </row>
    <row r="28" spans="1:27" ht="15.6" x14ac:dyDescent="0.3">
      <c r="A28" s="110"/>
      <c r="B28" s="102" t="s">
        <v>484</v>
      </c>
      <c r="C28" s="103" t="s">
        <v>478</v>
      </c>
      <c r="D28" s="61" t="s">
        <v>506</v>
      </c>
      <c r="E28" s="61" t="s">
        <v>486</v>
      </c>
      <c r="F28" s="61">
        <v>1</v>
      </c>
      <c r="G28" s="61" t="s">
        <v>411</v>
      </c>
      <c r="H28" s="61" t="s">
        <v>391</v>
      </c>
      <c r="I28" s="61"/>
      <c r="J28" s="61" t="s">
        <v>487</v>
      </c>
      <c r="K28" s="61" t="s">
        <v>486</v>
      </c>
      <c r="L28" s="61" t="s">
        <v>481</v>
      </c>
      <c r="M28" s="61" t="s">
        <v>393</v>
      </c>
      <c r="N28" s="61">
        <f>+Y28/80</f>
        <v>120</v>
      </c>
      <c r="O28" s="61"/>
      <c r="P28" s="61" t="s">
        <v>537</v>
      </c>
      <c r="Q28" s="63"/>
      <c r="R28" s="63"/>
      <c r="S28" s="63"/>
      <c r="T28" s="62"/>
      <c r="U28" s="62"/>
      <c r="V28" s="62">
        <f>80*80</f>
        <v>6400</v>
      </c>
      <c r="W28" s="62">
        <f>40*80</f>
        <v>3200</v>
      </c>
      <c r="X28" s="62"/>
      <c r="Y28" s="62">
        <f>SUM(Q28:X28)</f>
        <v>9600</v>
      </c>
      <c r="Z28" s="106" t="s">
        <v>488</v>
      </c>
      <c r="AA28" s="103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120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0</v>
      </c>
      <c r="V29" s="11">
        <f t="shared" si="12"/>
        <v>80</v>
      </c>
      <c r="W29" s="11">
        <f t="shared" si="12"/>
        <v>40</v>
      </c>
      <c r="X29" s="11">
        <f t="shared" si="12"/>
        <v>0</v>
      </c>
      <c r="Y29" s="11"/>
      <c r="Z29" s="115" t="s">
        <v>514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115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75</v>
      </c>
      <c r="W30" s="11">
        <f t="shared" si="13"/>
        <v>40</v>
      </c>
      <c r="X30" s="11">
        <f t="shared" si="13"/>
        <v>0</v>
      </c>
      <c r="Y30" s="11"/>
      <c r="Z30" s="115"/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18">
        <f>SUM(Q31:X31)</f>
        <v>0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IF(NOT(ISBLANK(Q28)),COUNTIFS(Data!$C:$C,$C28,Data!$P:$P,"VAL",Data!$E:$E,$E28,Data!$F:$F,$F28,Data!$I:$I,IF(ISBLANK($I28),"",$I28),Data!$J:$J,$J28,Data!$K:$K,$K28,Data!$R:$R,"",Data!$L:$L,IF(ISBLANK($P28),"",$P28),Data!$G:$G,"MALA",Data!$H:$H,"A15C",Data!$M:$M,36),0)-Q33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IF(NOT(ISBLANK(R28)),COUNTIFS(Data!$C:$C,$C28,Data!$P:$P,"VAL",Data!$E:$E,$E28,Data!$F:$F,$F28,Data!$I:$I,IF(ISBLANK($I28),"",$I28),Data!$J:$J,$J28,Data!$K:$K,$K28,Data!$R:$R,"",Data!$L:$L,IF(ISBLANK($P28),"",$P28),Data!$G:$G,"MALA",Data!$H:$H,"A15C",Data!$M:$M,40),0)-R33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IF(NOT(ISBLANK(S28)),COUNTIFS(Data!$C:$C,$C28,Data!$P:$P,"VAL",Data!$E:$E,$E28,Data!$F:$F,$F28,Data!$I:$I,IF(ISBLANK($I28),"",$I28),Data!$J:$J,$J28,Data!$K:$K,$K28,Data!$R:$R,"",Data!$L:$L,IF(ISBLANK($P28),"",$P28),Data!$G:$G,"MALA",Data!$H:$H,"A15C",Data!$M:$M,48),0)-S33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IF(NOT(ISBLANK(T28)),COUNTIFS(Data!$C:$C,$C28,Data!$P:$P,"VAL",Data!$E:$E,$E28,Data!$F:$F,$F28,Data!$I:$I,IF(ISBLANK($I28),"",$I28),Data!$J:$J,$J28,Data!$K:$K,$K28,Data!$R:$R,"",Data!$L:$L,IF(ISBLANK($P28),"",$P28),Data!$G:$G,"MALA",Data!$H:$H,"A15C",Data!$M:$M,56),0)-T33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IF(NOT(ISBLANK(U28)),COUNTIFS(Data!$C:$C,$C28,Data!$P:$P,"VAL",Data!$E:$E,$E28,Data!$F:$F,$F28,Data!$I:$I,IF(ISBLANK($I28),"",$I28),Data!$J:$J,$J28,Data!$K:$K,$K28,Data!$R:$R,"",Data!$L:$L,IF(ISBLANK($P28),"",$P28),Data!$G:$G,"MALA",Data!$H:$H,"A15C",Data!$M:$M,64),0)-U33</f>
        <v>0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IF(NOT(ISBLANK(V28)),COUNTIFS(Data!$C:$C,$C28,Data!$P:$P,"VAL",Data!$E:$E,$E28,Data!$F:$F,$F28,Data!$I:$I,IF(ISBLANK($I28),"",$I28),Data!$J:$J,$J28,Data!$K:$K,$K28,Data!$R:$R,"",Data!$L:$L,IF(ISBLANK($P28),"",$P28),Data!$G:$G,"MALA",Data!$H:$H,"A15C",Data!$M:$M,72),0)-V33</f>
        <v>0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IF(NOT(ISBLANK(W28)),COUNTIFS(Data!$C:$C,$C28,Data!$P:$P,"VAL",Data!$E:$E,$E28,Data!$F:$F,$F28,Data!$I:$I,IF(ISBLANK($I28),"",$I28),Data!$J:$J,$J28,Data!$K:$K,$K28,Data!$R:$R,"",Data!$L:$L,IF(ISBLANK($P28),"",$P28),Data!$G:$G,"MALA",Data!$H:$H,"A15C",Data!$M:$M,88),0)-W33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IF(NOT(ISBLANK(X28)),COUNTIFS(Data!$C:$C,$C28,Data!$P:$P,"VAL",Data!$E:$E,$E28,Data!$F:$F,$F28,Data!$I:$I,IF(ISBLANK($I28),"",$I28),Data!$J:$J,$J28,Data!$K:$K,$K28,Data!$R:$R,"",Data!$L:$L,IF(ISBLANK($P28),"",$P28),Data!$G:$G,"MALA",Data!$H:$H,"A15C",Data!$M:$M,105),0)-X33</f>
        <v>0</v>
      </c>
      <c r="Y31" s="11"/>
      <c r="Z31" s="11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IF(($P31+$P33)&gt;$P29,IF((Q31+Q33)-Q29&gt;0,(Q31+Q33)-Q29,0),0)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27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18">
        <f>SUM(Q33:X33)</f>
        <v>5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IF(NOT(ISBLANK(Q28)),COUNTIFS(Data!$C:$C,$C28,Data!$P:$P,"VAL",Data!$E:$E,$E28,Data!$F:$F,$F28,Data!$I:$I,IF(ISBLANK($I28),"",$I28),Data!$J:$J,$J28,Data!$K:$K,$K28,Data!$R:$R,"",Data!$L:$L,IF(ISBLANK($P28),"",$P28),Data!$G:$G,"MALA",Data!$H:$H,"A15C",Data!$M:$M,36,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IF(NOT(ISBLANK(R28)),COUNTIFS(Data!$C:$C,$C28,Data!$P:$P,"VAL",Data!$E:$E,$E28,Data!$F:$F,$F28,Data!$I:$I,IF(ISBLANK($I28),"",$I28),Data!$J:$J,$J28,Data!$K:$K,$K28,Data!$R:$R,"",Data!$L:$L,IF(ISBLANK($P28),"",$P28),Data!$G:$G,"MALA",Data!$H:$H,"A15C",Data!$M:$M,40,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IF(NOT(ISBLANK(S28)),COUNTIFS(Data!$C:$C,$C28,Data!$P:$P,"VAL",Data!$E:$E,$E28,Data!$F:$F,$F28,Data!$I:$I,IF(ISBLANK($I28),"",$I28),Data!$J:$J,$J28,Data!$K:$K,$K28,Data!$R:$R,"",Data!$L:$L,IF(ISBLANK($P28),"",$P28),Data!$G:$G,"MALA",Data!$H:$H,"A15C",Data!$M:$M,48,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IF(NOT(ISBLANK(T28)),COUNTIFS(Data!$C:$C,$C28,Data!$P:$P,"VAL",Data!$E:$E,$E28,Data!$F:$F,$F28,Data!$I:$I,IF(ISBLANK($I28),"",$I28),Data!$J:$J,$J28,Data!$K:$K,$K28,Data!$R:$R,"",Data!$L:$L,IF(ISBLANK($P28),"",$P28),Data!$G:$G,"MALA",Data!$H:$H,"A15C",Data!$M:$M,56,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IF(NOT(ISBLANK(U28)),COUNTIFS(Data!$C:$C,$C28,Data!$P:$P,"VAL",Data!$E:$E,$E28,Data!$F:$F,$F28,Data!$I:$I,IF(ISBLANK($I28),"",$I28),Data!$J:$J,$J28,Data!$K:$K,$K28,Data!$R:$R,"",Data!$L:$L,IF(ISBLANK($P28),"",$P28),Data!$G:$G,"MALA",Data!$H:$H,"A15C",Data!$M:$M,64, Data!$Q:$Q,1),0)</f>
        <v>0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IF(NOT(ISBLANK(V28)),COUNTIFS(Data!$C:$C,$C28,Data!$P:$P,"VAL",Data!$E:$E,$E28,Data!$F:$F,$F28,Data!$I:$I,IF(ISBLANK($I28),"",$I28),Data!$J:$J,$J28,Data!$K:$K,$K28,Data!$R:$R,"",Data!$L:$L,IF(ISBLANK($P28),"",$P28),Data!$G:$G,"MALA",Data!$H:$H,"A15C",Data!$M:$M,72, Data!$Q:$Q,1),0)</f>
        <v>5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IF(NOT(ISBLANK(W28)),COUNTIFS(Data!$C:$C,$C28,Data!$P:$P,"VAL",Data!$E:$E,$E28,Data!$F:$F,$F28,Data!$I:$I,IF(ISBLANK($I28),"",$I28),Data!$J:$J,$J28,Data!$K:$K,$K28,Data!$R:$R,"",Data!$L:$L,IF(ISBLANK($P28),"",$P28),Data!$G:$G,"MALA",Data!$H:$H,"A15C",Data!$M:$M,88,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IF(NOT(ISBLANK(X28)),COUNTIFS(Data!$C:$C,$C28,Data!$P:$P,"VAL",Data!$E:$E,$E28,Data!$F:$F,$F28,Data!$I:$I,IF(ISBLANK($I28),"",$I28),Data!$J:$J,$J28,Data!$K:$K,$K28,Data!$R:$R,"",Data!$L:$L,IF(ISBLANK($P28),"",$P28),Data!$G:$G,"MALA",Data!$H:$H,"A15C",Data!$M:$M,105, Data!$Q:$Q,1),0)</f>
        <v>0</v>
      </c>
      <c r="Y33" s="11"/>
      <c r="Z33" s="11"/>
      <c r="AA33" s="11">
        <v>80</v>
      </c>
    </row>
    <row r="34" spans="1:27" ht="15.6" x14ac:dyDescent="0.3">
      <c r="A34" s="110"/>
      <c r="B34" s="102" t="s">
        <v>389</v>
      </c>
      <c r="C34" s="103" t="s">
        <v>396</v>
      </c>
      <c r="D34" s="61" t="s">
        <v>506</v>
      </c>
      <c r="E34" s="61" t="s">
        <v>486</v>
      </c>
      <c r="F34" s="61">
        <v>1</v>
      </c>
      <c r="G34" s="61" t="s">
        <v>390</v>
      </c>
      <c r="H34" s="61" t="s">
        <v>391</v>
      </c>
      <c r="I34" s="61"/>
      <c r="J34" s="61" t="s">
        <v>487</v>
      </c>
      <c r="K34" s="61" t="s">
        <v>486</v>
      </c>
      <c r="L34" s="61" t="s">
        <v>481</v>
      </c>
      <c r="M34" s="61" t="s">
        <v>393</v>
      </c>
      <c r="N34" s="61">
        <f>+Y34/80</f>
        <v>20</v>
      </c>
      <c r="O34" s="61"/>
      <c r="P34" s="61" t="s">
        <v>538</v>
      </c>
      <c r="Q34" s="63"/>
      <c r="R34" s="63"/>
      <c r="S34" s="63"/>
      <c r="T34" s="62"/>
      <c r="U34" s="65"/>
      <c r="V34" s="62"/>
      <c r="W34" s="62"/>
      <c r="X34" s="62">
        <f>20*80</f>
        <v>1600</v>
      </c>
      <c r="Y34" s="62">
        <f>SUM(Q34:X34)</f>
        <v>1600</v>
      </c>
      <c r="Z34" s="106" t="s">
        <v>489</v>
      </c>
      <c r="AA34" s="103" t="s">
        <v>406</v>
      </c>
    </row>
    <row r="35" spans="1:27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0</v>
      </c>
      <c r="W35" s="11">
        <f t="shared" si="15"/>
        <v>0</v>
      </c>
      <c r="X35" s="11">
        <f t="shared" si="15"/>
        <v>20</v>
      </c>
      <c r="Y35" s="11"/>
      <c r="Z35" s="115" t="s">
        <v>514</v>
      </c>
      <c r="AA35" s="11"/>
    </row>
    <row r="36" spans="1:27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19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0</v>
      </c>
      <c r="W36" s="11">
        <f t="shared" si="16"/>
        <v>0</v>
      </c>
      <c r="X36" s="11">
        <f t="shared" si="16"/>
        <v>19</v>
      </c>
      <c r="Y36" s="11"/>
      <c r="Z36" s="115"/>
      <c r="AA36" s="11"/>
    </row>
    <row r="37" spans="1:27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18">
        <f>SUM(Q37:X37)</f>
        <v>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IF(NOT(ISBLANK(Q34)),COUNTIFS(Data!$C:$C,$C34,Data!$P:$P,"VAL",Data!$E:$E,$E34,Data!$F:$F,$F34,Data!$I:$I,IF(ISBLANK($I34),"",$I34),Data!$J:$J,$J34,Data!$K:$K,$K34,Data!$R:$R,"",Data!$L:$L,IF(ISBLANK($P34),"",$P34),Data!$G:$G,"ZF",Data!$H:$H,"A15C",Data!$M:$M,36),0)-Q39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IF(NOT(ISBLANK(R34)),COUNTIFS(Data!$C:$C,$C34,Data!$P:$P,"VAL",Data!$E:$E,$E34,Data!$F:$F,$F34,Data!$I:$I,IF(ISBLANK($I34),"",$I34),Data!$J:$J,$J34,Data!$K:$K,$K34,Data!$R:$R,"",Data!$L:$L,IF(ISBLANK($P34),"",$P34),Data!$G:$G,"ZF",Data!$H:$H,"A15C",Data!$M:$M,40),0)-R39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IF(NOT(ISBLANK(S34)),COUNTIFS(Data!$C:$C,$C34,Data!$P:$P,"VAL",Data!$E:$E,$E34,Data!$F:$F,$F34,Data!$I:$I,IF(ISBLANK($I34),"",$I34),Data!$J:$J,$J34,Data!$K:$K,$K34,Data!$R:$R,"",Data!$L:$L,IF(ISBLANK($P34),"",$P34),Data!$G:$G,"ZF",Data!$H:$H,"A15C",Data!$M:$M,48),0)-S39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IF(NOT(ISBLANK(T34)),COUNTIFS(Data!$C:$C,$C34,Data!$P:$P,"VAL",Data!$E:$E,$E34,Data!$F:$F,$F34,Data!$I:$I,IF(ISBLANK($I34),"",$I34),Data!$J:$J,$J34,Data!$K:$K,$K34,Data!$R:$R,"",Data!$L:$L,IF(ISBLANK($P34),"",$P34),Data!$G:$G,"ZF",Data!$H:$H,"A15C",Data!$M:$M,56),0)-T39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IF(NOT(ISBLANK(U34)),COUNTIFS(Data!$C:$C,$C34,Data!$P:$P,"VAL",Data!$E:$E,$E34,Data!$F:$F,$F34,Data!$I:$I,IF(ISBLANK($I34),"",$I34),Data!$J:$J,$J34,Data!$K:$K,$K34,Data!$R:$R,"",Data!$L:$L,IF(ISBLANK($P34),"",$P34),Data!$G:$G,"ZF",Data!$H:$H,"A15C",Data!$M:$M,64),0)-U39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IF(NOT(ISBLANK(V34)),COUNTIFS(Data!$C:$C,$C34,Data!$P:$P,"VAL",Data!$E:$E,$E34,Data!$F:$F,$F34,Data!$I:$I,IF(ISBLANK($I34),"",$I34),Data!$J:$J,$J34,Data!$K:$K,$K34,Data!$R:$R,"",Data!$L:$L,IF(ISBLANK($P34),"",$P34),Data!$G:$G,"ZF",Data!$H:$H,"A15C",Data!$M:$M,72),0)-V39</f>
        <v>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IF(NOT(ISBLANK(W34)),COUNTIFS(Data!$C:$C,$C34,Data!$P:$P,"VAL",Data!$E:$E,$E34,Data!$F:$F,$F34,Data!$I:$I,IF(ISBLANK($I34),"",$I34),Data!$J:$J,$J34,Data!$K:$K,$K34,Data!$R:$R,"",Data!$L:$L,IF(ISBLANK($P34),"",$P34),Data!$G:$G,"ZF",Data!$H:$H,"A15C",Data!$M:$M,88),0)-W39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IF(NOT(ISBLANK(X34)),COUNTIFS(Data!$C:$C,$C34,Data!$P:$P,"VAL",Data!$E:$E,$E34,Data!$F:$F,$F34,Data!$I:$I,IF(ISBLANK($I34),"",$I34),Data!$J:$J,$J34,Data!$K:$K,$K34,Data!$R:$R,"",Data!$L:$L,IF(ISBLANK($P34),"",$P34),Data!$G:$G,"ZF",Data!$H:$H,"A15C",Data!$M:$M,105),0)-X39</f>
        <v>0</v>
      </c>
      <c r="Y37" s="11"/>
      <c r="Z37" s="11"/>
      <c r="AA37" s="11"/>
    </row>
    <row r="38" spans="1:27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IF(($P37+$P39)&gt;$P35,IF((Q37+Q39)-Q35&gt;0,(Q37+Q39)-Q35,0),0)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27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18">
        <f>SUM(Q39:X39)</f>
        <v>1</v>
      </c>
      <c r="Q39" s="57">
        <f>IF(NOT(ISBLANK(Q34)),COUNTIFS(Data!$C:$C,$C34,Data!$P:$P,"VAL",Data!$E:$E,$E34,Data!$F:$F,$F34,Data!$I:$I,IF(ISBLANK($I34),"",$I34),Data!$J:$J,$J34,Data!$K:$K,$K34,Data!$R:$R,"",Data!$L:$L,IF(ISBLANK($P34),"",$P34),Data!$G:$G,"ZF",Data!$H:$H,"A15C",Data!$M:$M,36,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IF(NOT(ISBLANK(R34)),COUNTIFS(Data!$C:$C,$C34,Data!$P:$P,"VAL",Data!$E:$E,$E34,Data!$F:$F,$F34,Data!$I:$I,IF(ISBLANK($I34),"",$I34),Data!$J:$J,$J34,Data!$K:$K,$K34,Data!$R:$R,"",Data!$L:$L,IF(ISBLANK($P34),"",$P34),Data!$G:$G,"ZF",Data!$H:$H,"A15C",Data!$M:$M,40,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IF(NOT(ISBLANK(S34)),COUNTIFS(Data!$C:$C,$C34,Data!$P:$P,"VAL",Data!$E:$E,$E34,Data!$F:$F,$F34,Data!$I:$I,IF(ISBLANK($I34),"",$I34),Data!$J:$J,$J34,Data!$K:$K,$K34,Data!$R:$R,"",Data!$L:$L,IF(ISBLANK($P34),"",$P34),Data!$G:$G,"ZF",Data!$H:$H,"A15C",Data!$M:$M,48,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IF(NOT(ISBLANK(T34)),COUNTIFS(Data!$C:$C,$C34,Data!$P:$P,"VAL",Data!$E:$E,$E34,Data!$F:$F,$F34,Data!$I:$I,IF(ISBLANK($I34),"",$I34),Data!$J:$J,$J34,Data!$K:$K,$K34,Data!$R:$R,"",Data!$L:$L,IF(ISBLANK($P34),"",$P34),Data!$G:$G,"ZF",Data!$H:$H,"A15C",Data!$M:$M,56,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IF(NOT(ISBLANK(U34)),COUNTIFS(Data!$C:$C,$C34,Data!$P:$P,"VAL",Data!$E:$E,$E34,Data!$F:$F,$F34,Data!$I:$I,IF(ISBLANK($I34),"",$I34),Data!$J:$J,$J34,Data!$K:$K,$K34,Data!$R:$R,"",Data!$L:$L,IF(ISBLANK($P34),"",$P34),Data!$G:$G,"ZF",Data!$H:$H,"A15C",Data!$M:$M,64,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IF(NOT(ISBLANK(V34)),COUNTIFS(Data!$C:$C,$C34,Data!$P:$P,"VAL",Data!$E:$E,$E34,Data!$F:$F,$F34,Data!$I:$I,IF(ISBLANK($I34),"",$I34),Data!$J:$J,$J34,Data!$K:$K,$K34,Data!$R:$R,"",Data!$L:$L,IF(ISBLANK($P34),"",$P34),Data!$G:$G,"ZF",Data!$H:$H,"A15C",Data!$M:$M,72,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IF(NOT(ISBLANK(W34)),COUNTIFS(Data!$C:$C,$C34,Data!$P:$P,"VAL",Data!$E:$E,$E34,Data!$F:$F,$F34,Data!$I:$I,IF(ISBLANK($I34),"",$I34),Data!$J:$J,$J34,Data!$K:$K,$K34,Data!$R:$R,"",Data!$L:$L,IF(ISBLANK($P34),"",$P34),Data!$G:$G,"ZF",Data!$H:$H,"A15C",Data!$M:$M,88,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IF(NOT(ISBLANK(X34)),COUNTIFS(Data!$C:$C,$C34,Data!$P:$P,"VAL",Data!$E:$E,$E34,Data!$F:$F,$F34,Data!$I:$I,IF(ISBLANK($I34),"",$I34),Data!$J:$J,$J34,Data!$K:$K,$K34,Data!$R:$R,"",Data!$L:$L,IF(ISBLANK($P34),"",$P34),Data!$G:$G,"ZF",Data!$H:$H,"A15C",Data!$M:$M,105, Data!$Q:$Q,1),0)</f>
        <v>1</v>
      </c>
      <c r="Y39" s="11"/>
      <c r="Z39" s="11"/>
      <c r="AA39" s="11">
        <v>80</v>
      </c>
    </row>
    <row r="40" spans="1:27" ht="15.6" x14ac:dyDescent="0.3">
      <c r="A40" s="63" t="s">
        <v>395</v>
      </c>
      <c r="B40" s="102" t="s">
        <v>389</v>
      </c>
      <c r="C40" s="103" t="s">
        <v>396</v>
      </c>
      <c r="D40" s="61" t="s">
        <v>506</v>
      </c>
      <c r="E40" s="61" t="s">
        <v>397</v>
      </c>
      <c r="F40" s="61">
        <v>1</v>
      </c>
      <c r="G40" s="61" t="s">
        <v>561</v>
      </c>
      <c r="H40" s="104" t="s">
        <v>419</v>
      </c>
      <c r="I40" s="104" t="s">
        <v>533</v>
      </c>
      <c r="J40" s="61" t="s">
        <v>398</v>
      </c>
      <c r="K40" s="61" t="s">
        <v>397</v>
      </c>
      <c r="L40" s="61" t="s">
        <v>392</v>
      </c>
      <c r="M40" s="61" t="s">
        <v>399</v>
      </c>
      <c r="N40" s="61"/>
      <c r="O40" s="61">
        <f>+Y40/55</f>
        <v>19</v>
      </c>
      <c r="P40" s="61" t="s">
        <v>524</v>
      </c>
      <c r="Q40" s="62">
        <f>5*55</f>
        <v>275</v>
      </c>
      <c r="R40" s="62">
        <f>10*55</f>
        <v>550</v>
      </c>
      <c r="S40" s="62">
        <f>4*55</f>
        <v>220</v>
      </c>
      <c r="T40" s="62"/>
      <c r="U40" s="62"/>
      <c r="V40" s="62"/>
      <c r="W40" s="62"/>
      <c r="X40" s="65"/>
      <c r="Y40" s="62">
        <f>SUM(Q40:X40)</f>
        <v>1045</v>
      </c>
      <c r="Z40" s="64" t="s">
        <v>489</v>
      </c>
      <c r="AA40" s="61" t="s">
        <v>406</v>
      </c>
    </row>
    <row r="41" spans="1:27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19</v>
      </c>
      <c r="Q41" s="11">
        <f t="shared" ref="Q41:X41" si="18">IFERROR(Q40/55,0)</f>
        <v>5</v>
      </c>
      <c r="R41" s="11">
        <f t="shared" si="18"/>
        <v>10</v>
      </c>
      <c r="S41" s="11">
        <f t="shared" si="18"/>
        <v>4</v>
      </c>
      <c r="T41" s="11">
        <f t="shared" si="18"/>
        <v>0</v>
      </c>
      <c r="U41" s="11">
        <f t="shared" si="18"/>
        <v>0</v>
      </c>
      <c r="V41" s="11">
        <f t="shared" si="18"/>
        <v>0</v>
      </c>
      <c r="W41" s="11">
        <f t="shared" si="18"/>
        <v>0</v>
      </c>
      <c r="X41" s="11">
        <f t="shared" si="18"/>
        <v>0</v>
      </c>
      <c r="Y41" s="11"/>
      <c r="Z41" s="115" t="s">
        <v>515</v>
      </c>
      <c r="AA41" s="11"/>
    </row>
    <row r="42" spans="1:27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7</v>
      </c>
      <c r="Q42" s="11">
        <f t="shared" ref="Q42:X42" si="19">IFERROR(Q41-(Q43+Q45),0)</f>
        <v>3</v>
      </c>
      <c r="R42" s="11">
        <f t="shared" si="19"/>
        <v>4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0</v>
      </c>
      <c r="W42" s="11">
        <f t="shared" si="19"/>
        <v>0</v>
      </c>
      <c r="X42" s="11">
        <f t="shared" si="19"/>
        <v>0</v>
      </c>
      <c r="Y42" s="11"/>
      <c r="Z42" s="115" t="s">
        <v>539</v>
      </c>
      <c r="AA42" s="11"/>
    </row>
    <row r="43" spans="1:27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18">
        <f>SUM(Q43:X43)</f>
        <v>3</v>
      </c>
      <c r="Q43" s="57">
        <f>IF(NOT(ISBLANK(Q40)),COUNTIFS(Data!$C:$C,$C40,Data!$P:$P,"VAL",Data!$E:$E,$E40,Data!$F:$F,$F40,Data!$I:$I,IF(ISBLANK($I40),"",$I40),Data!$J:$J,$J40,Data!$K:$K,$K40,Data!$R:$R,"",Data!$L:$L,IF(ISBLANK($P40),"",$P40),Data!$G:$G,"ZF",Data!$H:$H,"E15D",Data!$M:$M,45)+COUNTIFS(Data!$C:$C,$C40,Data!$P:$P,"VAL",Data!$E:$E,$E40,Data!$F:$F,$F40,Data!$I:$I,IF(ISBLANK($I40),"",$I40),Data!$J:$J,$J40,Data!$K:$K,$K40,Data!$R:$R,"",Data!$L:$L,IF(ISBLANK($P40),"",$P40),Data!$G:$G,"MAHEL",Data!$H:$H,"E15D",Data!$M:$M,45)+COUNTIFS(Data!$C:$C,$C40,Data!$P:$P,"VAL",Data!$E:$E,$E40,Data!$F:$F,$F40,Data!$I:$I,IF(ISBLANK($I40),"",$I40),Data!$J:$J,$J40,Data!$K:$K,$K40,Data!$R:$R,"",Data!$L:$L,IF(ISBLANK($P40),"",$P40),Data!$G:$G,"MAKUL",Data!$H:$H,"E15D",Data!$M:$M,45),0)-Q45</f>
        <v>1</v>
      </c>
      <c r="R43" s="57">
        <f>IF(NOT(ISBLANK(R40)),COUNTIFS(Data!$C:$C,$C40,Data!$P:$P,"VAL",Data!$E:$E,$E40,Data!$F:$F,$F40,Data!$I:$I,IF(ISBLANK($I40),"",$I40),Data!$J:$J,$J40,Data!$K:$K,$K40,Data!$R:$R,"",Data!$L:$L,IF(ISBLANK($P40),"",$P40),Data!$G:$G,"ZF",Data!$H:$H,"E15D",Data!$M:$M,50)+COUNTIFS(Data!$C:$C,$C40,Data!$P:$P,"VAL",Data!$E:$E,$E40,Data!$F:$F,$F40,Data!$I:$I,IF(ISBLANK($I40),"",$I40),Data!$J:$J,$J40,Data!$K:$K,$K40,Data!$R:$R,"",Data!$L:$L,IF(ISBLANK($P40),"",$P40),Data!$G:$G,"MAHEL",Data!$H:$H,"E15D",Data!$M:$M,50)+COUNTIFS(Data!$C:$C,$C40,Data!$P:$P,"VAL",Data!$E:$E,$E40,Data!$F:$F,$F40,Data!$I:$I,IF(ISBLANK($I40),"",$I40),Data!$J:$J,$J40,Data!$K:$K,$K40,Data!$R:$R,"",Data!$L:$L,IF(ISBLANK($P40),"",$P40),Data!$G:$G,"MAKUL",Data!$H:$H,"E15D",Data!$M:$M,50),0)-R45</f>
        <v>2</v>
      </c>
      <c r="S43" s="57">
        <f>IF(NOT(ISBLANK(S40)),COUNTIFS(Data!$C:$C,$C40,Data!$P:$P,"VAL",Data!$E:$E,$E40,Data!$F:$F,$F40,Data!$I:$I,IF(ISBLANK($I40),"",$I40),Data!$J:$J,$J40,Data!$K:$K,$K40,Data!$R:$R,"",Data!$L:$L,IF(ISBLANK($P40),"",$P40),Data!$G:$G,"ZF",Data!$H:$H,"E15D",Data!$M:$M,55)+COUNTIFS(Data!$C:$C,$C40,Data!$P:$P,"VAL",Data!$E:$E,$E40,Data!$F:$F,$F40,Data!$I:$I,IF(ISBLANK($I40),"",$I40),Data!$J:$J,$J40,Data!$K:$K,$K40,Data!$R:$R,"",Data!$L:$L,IF(ISBLANK($P40),"",$P40),Data!$G:$G,"MAHEL",Data!$H:$H,"E15D",Data!$M:$M,55)+COUNTIFS(Data!$C:$C,$C40,Data!$P:$P,"VAL",Data!$E:$E,$E40,Data!$F:$F,$F40,Data!$I:$I,IF(ISBLANK($I40),"",$I40),Data!$J:$J,$J40,Data!$K:$K,$K40,Data!$R:$R,"",Data!$L:$L,IF(ISBLANK($P40),"",$P40),Data!$G:$G,"MAKUL",Data!$H:$H,"E15D",Data!$M:$M,55)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ZF",Data!$H:$H,"E15D",Data!$M:$M,60)+COUNTIFS(Data!$C:$C,$C40,Data!$P:$P,"VAL",Data!$E:$E,$E40,Data!$F:$F,$F40,Data!$I:$I,IF(ISBLANK($I40),"",$I40),Data!$J:$J,$J40,Data!$K:$K,$K40,Data!$R:$R,"",Data!$L:$L,IF(ISBLANK($P40),"",$P40),Data!$G:$G,"MAHEL",Data!$H:$H,"E15D",Data!$M:$M,60)+COUNTIFS(Data!$C:$C,$C40,Data!$P:$P,"VAL",Data!$E:$E,$E40,Data!$F:$F,$F40,Data!$I:$I,IF(ISBLANK($I40),"",$I40),Data!$J:$J,$J40,Data!$K:$K,$K40,Data!$R:$R,"",Data!$L:$L,IF(ISBLANK($P40),"",$P40),Data!$G:$G,"MAKUL",Data!$H:$H,"E15D",Data!$M:$M,60)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ZF",Data!$H:$H,"E15D",Data!$M:$M,65)+COUNTIFS(Data!$C:$C,$C40,Data!$P:$P,"VAL",Data!$E:$E,$E40,Data!$F:$F,$F40,Data!$I:$I,IF(ISBLANK($I40),"",$I40),Data!$J:$J,$J40,Data!$K:$K,$K40,Data!$R:$R,"",Data!$L:$L,IF(ISBLANK($P40),"",$P40),Data!$G:$G,"MAHEL",Data!$H:$H,"E15D",Data!$M:$M,65)+COUNTIFS(Data!$C:$C,$C40,Data!$P:$P,"VAL",Data!$E:$E,$E40,Data!$F:$F,$F40,Data!$I:$I,IF(ISBLANK($I40),"",$I40),Data!$J:$J,$J40,Data!$K:$K,$K40,Data!$R:$R,"",Data!$L:$L,IF(ISBLANK($P40),"",$P40),Data!$G:$G,"MAKUL",Data!$H:$H,"E15D",Data!$M:$M,65)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ZF",Data!$H:$H,"E15D",Data!$M:$M,72)+COUNTIFS(Data!$C:$C,$C40,Data!$P:$P,"VAL",Data!$E:$E,$E40,Data!$F:$F,$F40,Data!$I:$I,IF(ISBLANK($I40),"",$I40),Data!$J:$J,$J40,Data!$K:$K,$K40,Data!$R:$R,"",Data!$L:$L,IF(ISBLANK($P40),"",$P40),Data!$G:$G,"MAHEL",Data!$H:$H,"E15D",Data!$M:$M,72)+COUNTIFS(Data!$C:$C,$C40,Data!$P:$P,"VAL",Data!$E:$E,$E40,Data!$F:$F,$F40,Data!$I:$I,IF(ISBLANK($I40),"",$I40),Data!$J:$J,$J40,Data!$K:$K,$K40,Data!$R:$R,"",Data!$L:$L,IF(ISBLANK($P40),"",$P40),Data!$G:$G,"MAKUL",Data!$H:$H,"E15D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ZF",Data!$H:$H,"E15D",Data!$M:$M,90)+COUNTIFS(Data!$C:$C,$C40,Data!$P:$P,"VAL",Data!$E:$E,$E40,Data!$F:$F,$F40,Data!$I:$I,IF(ISBLANK($I40),"",$I40),Data!$J:$J,$J40,Data!$K:$K,$K40,Data!$R:$R,"",Data!$L:$L,IF(ISBLANK($P40),"",$P40),Data!$G:$G,"MAHEL",Data!$H:$H,"E15D",Data!$M:$M,90)+COUNTIFS(Data!$C:$C,$C40,Data!$P:$P,"VAL",Data!$E:$E,$E40,Data!$F:$F,$F40,Data!$I:$I,IF(ISBLANK($I40),"",$I40),Data!$J:$J,$J40,Data!$K:$K,$K40,Data!$R:$R,"",Data!$L:$L,IF(ISBLANK($P40),"",$P40),Data!$G:$G,"MAKUL",Data!$H:$H,"E15D",Data!$M:$M,90)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ZF",Data!$H:$H,"E15D",Data!$M:$M,96)+COUNTIFS(Data!$C:$C,$C40,Data!$P:$P,"VAL",Data!$E:$E,$E40,Data!$F:$F,$F40,Data!$I:$I,IF(ISBLANK($I40),"",$I40),Data!$J:$J,$J40,Data!$K:$K,$K40,Data!$R:$R,"",Data!$L:$L,IF(ISBLANK($P40),"",$P40),Data!$G:$G,"MAHEL",Data!$H:$H,"E15D",Data!$M:$M,96)+COUNTIFS(Data!$C:$C,$C40,Data!$P:$P,"VAL",Data!$E:$E,$E40,Data!$F:$F,$F40,Data!$I:$I,IF(ISBLANK($I40),"",$I40),Data!$J:$J,$J40,Data!$K:$K,$K40,Data!$R:$R,"",Data!$L:$L,IF(ISBLANK($P40),"",$P40),Data!$G:$G,"MAKUL",Data!$H:$H,"E15D",Data!$M:$M,96),0)-X45</f>
        <v>0</v>
      </c>
      <c r="Y43" s="11"/>
      <c r="Z43" s="115"/>
      <c r="AA43" s="11"/>
    </row>
    <row r="44" spans="1:27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IF(($P43+$P45)&gt;$P41,IF((Q43+Q45)-Q41&gt;0,(Q43+Q45)-Q41,0),0)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5"/>
      <c r="AA44" s="11"/>
    </row>
    <row r="45" spans="1:27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18">
        <f>SUM(Q45:X45)</f>
        <v>9</v>
      </c>
      <c r="Q45" s="57">
        <f>IF(NOT(ISBLANK(Q40)),COUNTIFS(Data!$C:$C,$C40,Data!$P:$P,"VAL",Data!$E:$E,$E40,Data!$F:$F,$F40,Data!$I:$I,IF(ISBLANK($I40),"",$I40),Data!$J:$J,$J40,Data!$K:$K,$K40,Data!$R:$R,"",Data!$L:$L,IF(ISBLANK($P40),"",$P40),Data!$G:$G,"ZF",Data!$H:$H,"E15D",Data!$M:$M,45, Data!$Q:$Q,1)+COUNTIFS(Data!$C:$C,$C40,Data!$P:$P,"VAL",Data!$E:$E,$E40,Data!$F:$F,$F40,Data!$I:$I,IF(ISBLANK($I40),"",$I40),Data!$J:$J,$J40,Data!$K:$K,$K40,Data!$R:$R,"",Data!$L:$L,IF(ISBLANK($P40),"",$P40),Data!$G:$G,"MAHEL",Data!$H:$H,"E15D",Data!$M:$M,45, Data!$Q:$Q,1)+COUNTIFS(Data!$C:$C,$C40,Data!$P:$P,"VAL",Data!$E:$E,$E40,Data!$F:$F,$F40,Data!$I:$I,IF(ISBLANK($I40),"",$I40),Data!$J:$J,$J40,Data!$K:$K,$K40,Data!$R:$R,"",Data!$L:$L,IF(ISBLANK($P40),"",$P40),Data!$G:$G,"MAKUL",Data!$H:$H,"E15D",Data!$M:$M,45, Data!$Q:$Q,1),0)</f>
        <v>1</v>
      </c>
      <c r="R45" s="57">
        <f>IF(NOT(ISBLANK(R40)),COUNTIFS(Data!$C:$C,$C40,Data!$P:$P,"VAL",Data!$E:$E,$E40,Data!$F:$F,$F40,Data!$I:$I,IF(ISBLANK($I40),"",$I40),Data!$J:$J,$J40,Data!$K:$K,$K40,Data!$R:$R,"",Data!$L:$L,IF(ISBLANK($P40),"",$P40),Data!$G:$G,"ZF",Data!$H:$H,"E15D",Data!$M:$M,50, Data!$Q:$Q,1)+COUNTIFS(Data!$C:$C,$C40,Data!$P:$P,"VAL",Data!$E:$E,$E40,Data!$F:$F,$F40,Data!$I:$I,IF(ISBLANK($I40),"",$I40),Data!$J:$J,$J40,Data!$K:$K,$K40,Data!$R:$R,"",Data!$L:$L,IF(ISBLANK($P40),"",$P40),Data!$G:$G,"MAHEL",Data!$H:$H,"E15D",Data!$M:$M,50, Data!$Q:$Q,1)+COUNTIFS(Data!$C:$C,$C40,Data!$P:$P,"VAL",Data!$E:$E,$E40,Data!$F:$F,$F40,Data!$I:$I,IF(ISBLANK($I40),"",$I40),Data!$J:$J,$J40,Data!$K:$K,$K40,Data!$R:$R,"",Data!$L:$L,IF(ISBLANK($P40),"",$P40),Data!$G:$G,"MAKUL",Data!$H:$H,"E15D",Data!$M:$M,50, Data!$Q:$Q,1),0)</f>
        <v>4</v>
      </c>
      <c r="S45" s="57">
        <f>IF(NOT(ISBLANK(S40)),COUNTIFS(Data!$C:$C,$C40,Data!$P:$P,"VAL",Data!$E:$E,$E40,Data!$F:$F,$F40,Data!$I:$I,IF(ISBLANK($I40),"",$I40),Data!$J:$J,$J40,Data!$K:$K,$K40,Data!$R:$R,"",Data!$L:$L,IF(ISBLANK($P40),"",$P40),Data!$G:$G,"ZF",Data!$H:$H,"E15D",Data!$M:$M,55, Data!$Q:$Q,1)+COUNTIFS(Data!$C:$C,$C40,Data!$P:$P,"VAL",Data!$E:$E,$E40,Data!$F:$F,$F40,Data!$I:$I,IF(ISBLANK($I40),"",$I40),Data!$J:$J,$J40,Data!$K:$K,$K40,Data!$R:$R,"",Data!$L:$L,IF(ISBLANK($P40),"",$P40),Data!$G:$G,"MAHEL",Data!$H:$H,"E15D",Data!$M:$M,55, Data!$Q:$Q,1)+COUNTIFS(Data!$C:$C,$C40,Data!$P:$P,"VAL",Data!$E:$E,$E40,Data!$F:$F,$F40,Data!$I:$I,IF(ISBLANK($I40),"",$I40),Data!$J:$J,$J40,Data!$K:$K,$K40,Data!$R:$R,"",Data!$L:$L,IF(ISBLANK($P40),"",$P40),Data!$G:$G,"MAKUL",Data!$H:$H,"E15D",Data!$M:$M,55, Data!$Q:$Q,1),0)</f>
        <v>4</v>
      </c>
      <c r="T45" s="57">
        <f>IF(NOT(ISBLANK(T40)),COUNTIFS(Data!$C:$C,$C40,Data!$P:$P,"VAL",Data!$E:$E,$E40,Data!$F:$F,$F40,Data!$I:$I,IF(ISBLANK($I40),"",$I40),Data!$J:$J,$J40,Data!$K:$K,$K40,Data!$R:$R,"",Data!$L:$L,IF(ISBLANK($P40),"",$P40),Data!$G:$G,"ZF",Data!$H:$H,"E15D",Data!$M:$M,60, Data!$Q:$Q,1)+COUNTIFS(Data!$C:$C,$C40,Data!$P:$P,"VAL",Data!$E:$E,$E40,Data!$F:$F,$F40,Data!$I:$I,IF(ISBLANK($I40),"",$I40),Data!$J:$J,$J40,Data!$K:$K,$K40,Data!$R:$R,"",Data!$L:$L,IF(ISBLANK($P40),"",$P40),Data!$G:$G,"MAHEL",Data!$H:$H,"E15D",Data!$M:$M,60, Data!$Q:$Q,1)+COUNTIFS(Data!$C:$C,$C40,Data!$P:$P,"VAL",Data!$E:$E,$E40,Data!$F:$F,$F40,Data!$I:$I,IF(ISBLANK($I40),"",$I40),Data!$J:$J,$J40,Data!$K:$K,$K40,Data!$R:$R,"",Data!$L:$L,IF(ISBLANK($P40),"",$P40),Data!$G:$G,"MAKUL",Data!$H:$H,"E15D",Data!$M:$M,60,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IF(NOT(ISBLANK(U40)),COUNTIFS(Data!$C:$C,$C40,Data!$P:$P,"VAL",Data!$E:$E,$E40,Data!$F:$F,$F40,Data!$I:$I,IF(ISBLANK($I40),"",$I40),Data!$J:$J,$J40,Data!$K:$K,$K40,Data!$R:$R,"",Data!$L:$L,IF(ISBLANK($P40),"",$P40),Data!$G:$G,"ZF",Data!$H:$H,"E15D",Data!$M:$M,65, Data!$Q:$Q,1)+COUNTIFS(Data!$C:$C,$C40,Data!$P:$P,"VAL",Data!$E:$E,$E40,Data!$F:$F,$F40,Data!$I:$I,IF(ISBLANK($I40),"",$I40),Data!$J:$J,$J40,Data!$K:$K,$K40,Data!$R:$R,"",Data!$L:$L,IF(ISBLANK($P40),"",$P40),Data!$G:$G,"MAHEL",Data!$H:$H,"E15D",Data!$M:$M,65, Data!$Q:$Q,1)+COUNTIFS(Data!$C:$C,$C40,Data!$P:$P,"VAL",Data!$E:$E,$E40,Data!$F:$F,$F40,Data!$I:$I,IF(ISBLANK($I40),"",$I40),Data!$J:$J,$J40,Data!$K:$K,$K40,Data!$R:$R,"",Data!$L:$L,IF(ISBLANK($P40),"",$P40),Data!$G:$G,"MAKUL",Data!$H:$H,"E15D",Data!$M:$M,65,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IF(NOT(ISBLANK(V40)),COUNTIFS(Data!$C:$C,$C40,Data!$P:$P,"VAL",Data!$E:$E,$E40,Data!$F:$F,$F40,Data!$I:$I,IF(ISBLANK($I40),"",$I40),Data!$J:$J,$J40,Data!$K:$K,$K40,Data!$R:$R,"",Data!$L:$L,IF(ISBLANK($P40),"",$P40),Data!$G:$G,"ZF",Data!$H:$H,"E15D",Data!$M:$M,72, Data!$Q:$Q,1)+COUNTIFS(Data!$C:$C,$C40,Data!$P:$P,"VAL",Data!$E:$E,$E40,Data!$F:$F,$F40,Data!$I:$I,IF(ISBLANK($I40),"",$I40),Data!$J:$J,$J40,Data!$K:$K,$K40,Data!$R:$R,"",Data!$L:$L,IF(ISBLANK($P40),"",$P40),Data!$G:$G,"MAHEL",Data!$H:$H,"E15D",Data!$M:$M,72, Data!$Q:$Q,1)+COUNTIFS(Data!$C:$C,$C40,Data!$P:$P,"VAL",Data!$E:$E,$E40,Data!$F:$F,$F40,Data!$I:$I,IF(ISBLANK($I40),"",$I40),Data!$J:$J,$J40,Data!$K:$K,$K40,Data!$R:$R,"",Data!$L:$L,IF(ISBLANK($P40),"",$P40),Data!$G:$G,"MAKUL",Data!$H:$H,"E15D",Data!$M:$M,72,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IF(NOT(ISBLANK(W40)),COUNTIFS(Data!$C:$C,$C40,Data!$P:$P,"VAL",Data!$E:$E,$E40,Data!$F:$F,$F40,Data!$I:$I,IF(ISBLANK($I40),"",$I40),Data!$J:$J,$J40,Data!$K:$K,$K40,Data!$R:$R,"",Data!$L:$L,IF(ISBLANK($P40),"",$P40),Data!$G:$G,"ZF",Data!$H:$H,"E15D",Data!$M:$M,90, Data!$Q:$Q,1)+COUNTIFS(Data!$C:$C,$C40,Data!$P:$P,"VAL",Data!$E:$E,$E40,Data!$F:$F,$F40,Data!$I:$I,IF(ISBLANK($I40),"",$I40),Data!$J:$J,$J40,Data!$K:$K,$K40,Data!$R:$R,"",Data!$L:$L,IF(ISBLANK($P40),"",$P40),Data!$G:$G,"MAHEL",Data!$H:$H,"E15D",Data!$M:$M,90, Data!$Q:$Q,1)+COUNTIFS(Data!$C:$C,$C40,Data!$P:$P,"VAL",Data!$E:$E,$E40,Data!$F:$F,$F40,Data!$I:$I,IF(ISBLANK($I40),"",$I40),Data!$J:$J,$J40,Data!$K:$K,$K40,Data!$R:$R,"",Data!$L:$L,IF(ISBLANK($P40),"",$P40),Data!$G:$G,"MAKUL",Data!$H:$H,"E15D",Data!$M:$M,90,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IF(NOT(ISBLANK(X40)),COUNTIFS(Data!$C:$C,$C40,Data!$P:$P,"VAL",Data!$E:$E,$E40,Data!$F:$F,$F40,Data!$I:$I,IF(ISBLANK($I40),"",$I40),Data!$J:$J,$J40,Data!$K:$K,$K40,Data!$R:$R,"",Data!$L:$L,IF(ISBLANK($P40),"",$P40),Data!$G:$G,"ZF",Data!$H:$H,"E15D",Data!$M:$M,96, Data!$Q:$Q,1)+COUNTIFS(Data!$C:$C,$C40,Data!$P:$P,"VAL",Data!$E:$E,$E40,Data!$F:$F,$F40,Data!$I:$I,IF(ISBLANK($I40),"",$I40),Data!$J:$J,$J40,Data!$K:$K,$K40,Data!$R:$R,"",Data!$L:$L,IF(ISBLANK($P40),"",$P40),Data!$G:$G,"MAHEL",Data!$H:$H,"E15D",Data!$M:$M,96, Data!$Q:$Q,1)+COUNTIFS(Data!$C:$C,$C40,Data!$P:$P,"VAL",Data!$E:$E,$E40,Data!$F:$F,$F40,Data!$I:$I,IF(ISBLANK($I40),"",$I40),Data!$J:$J,$J40,Data!$K:$K,$K40,Data!$R:$R,"",Data!$L:$L,IF(ISBLANK($P40),"",$P40),Data!$G:$G,"MAKUL",Data!$H:$H,"E15D",Data!$M:$M,96, Data!$Q:$Q,1),0)</f>
        <v>0</v>
      </c>
      <c r="Y45" s="11"/>
      <c r="Z45" s="11"/>
      <c r="AA45" s="11">
        <v>55</v>
      </c>
    </row>
    <row r="46" spans="1:27" ht="15.6" x14ac:dyDescent="0.3">
      <c r="A46" s="63"/>
      <c r="B46" s="102"/>
      <c r="C46" s="63" t="s">
        <v>396</v>
      </c>
      <c r="D46" s="61" t="s">
        <v>506</v>
      </c>
      <c r="E46" s="61" t="s">
        <v>397</v>
      </c>
      <c r="F46" s="61">
        <v>1</v>
      </c>
      <c r="G46" s="61" t="s">
        <v>390</v>
      </c>
      <c r="H46" s="61" t="s">
        <v>391</v>
      </c>
      <c r="I46" s="104" t="s">
        <v>533</v>
      </c>
      <c r="J46" s="61" t="s">
        <v>398</v>
      </c>
      <c r="K46" s="61" t="s">
        <v>397</v>
      </c>
      <c r="L46" s="61" t="s">
        <v>392</v>
      </c>
      <c r="M46" s="61" t="s">
        <v>399</v>
      </c>
      <c r="N46" s="61"/>
      <c r="O46" s="61">
        <f>+Y46/70</f>
        <v>36</v>
      </c>
      <c r="P46" s="61" t="s">
        <v>524</v>
      </c>
      <c r="Q46" s="62"/>
      <c r="R46" s="62"/>
      <c r="S46" s="62">
        <f>7*70</f>
        <v>490</v>
      </c>
      <c r="T46" s="62">
        <f>13*70</f>
        <v>910</v>
      </c>
      <c r="U46" s="62">
        <f>16*70</f>
        <v>1120</v>
      </c>
      <c r="V46" s="62"/>
      <c r="W46" s="62"/>
      <c r="X46" s="110"/>
      <c r="Y46" s="62">
        <f>SUM(Q46:X46)</f>
        <v>2520</v>
      </c>
      <c r="Z46" s="64" t="s">
        <v>489</v>
      </c>
      <c r="AA46" s="103"/>
    </row>
    <row r="47" spans="1:27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36</v>
      </c>
      <c r="Q47" s="11">
        <f t="shared" ref="Q47:X47" si="21">IFERROR(Q46/70,0)</f>
        <v>0</v>
      </c>
      <c r="R47" s="11">
        <f t="shared" si="21"/>
        <v>0</v>
      </c>
      <c r="S47" s="11">
        <f t="shared" si="21"/>
        <v>7</v>
      </c>
      <c r="T47" s="11">
        <f t="shared" si="21"/>
        <v>13</v>
      </c>
      <c r="U47" s="11">
        <f t="shared" si="21"/>
        <v>16</v>
      </c>
      <c r="V47" s="11">
        <f t="shared" si="21"/>
        <v>0</v>
      </c>
      <c r="W47" s="11">
        <f t="shared" si="21"/>
        <v>0</v>
      </c>
      <c r="X47" s="11">
        <f t="shared" si="21"/>
        <v>0</v>
      </c>
      <c r="Y47" s="11"/>
      <c r="Z47" s="115" t="s">
        <v>515</v>
      </c>
      <c r="AA47" s="11"/>
    </row>
    <row r="48" spans="1:27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10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5</v>
      </c>
      <c r="T48" s="11">
        <f t="shared" si="22"/>
        <v>2</v>
      </c>
      <c r="U48" s="11">
        <f t="shared" si="22"/>
        <v>3</v>
      </c>
      <c r="V48" s="11">
        <f t="shared" si="22"/>
        <v>0</v>
      </c>
      <c r="W48" s="11">
        <f t="shared" si="22"/>
        <v>0</v>
      </c>
      <c r="X48" s="11">
        <f t="shared" si="22"/>
        <v>0</v>
      </c>
      <c r="Y48" s="11"/>
      <c r="Z48" s="115" t="s">
        <v>539</v>
      </c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18">
        <f>SUM(Q49:X49)</f>
        <v>8</v>
      </c>
      <c r="Q49" s="57">
        <f>IF(NOT(ISBLANK(Q46)),COUNTIFS(Data!$C:$C,$C46,Data!$P:$P,"VAL",Data!$E:$E,$E46,Data!$F:$F,$F46,Data!$I:$I,IF(ISBLANK($I46),"",$I46),Data!$J:$J,$J46,Data!$K:$K,$K46,Data!$R:$R,"",Data!$L:$L,IF(ISBLANK($P46),"",$P46),Data!$G:$G,"ZF",Data!$H:$H,"A15C",Data!$M:$M,36),0)-Q51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IF(NOT(ISBLANK(R46)),COUNTIFS(Data!$C:$C,$C46,Data!$P:$P,"VAL",Data!$E:$E,$E46,Data!$F:$F,$F46,Data!$I:$I,IF(ISBLANK($I46),"",$I46),Data!$J:$J,$J46,Data!$K:$K,$K46,Data!$R:$R,"",Data!$L:$L,IF(ISBLANK($P46),"",$P46),Data!$G:$G,"ZF",Data!$H:$H,"A15C",Data!$M:$M,40),0)-R51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IF(NOT(ISBLANK(S46)),COUNTIFS(Data!$C:$C,$C46,Data!$P:$P,"VAL",Data!$E:$E,$E46,Data!$F:$F,$F46,Data!$I:$I,IF(ISBLANK($I46),"",$I46),Data!$J:$J,$J46,Data!$K:$K,$K46,Data!$R:$R,"",Data!$L:$L,IF(ISBLANK($P46),"",$P46),Data!$G:$G,"ZF",Data!$H:$H,"A15C",Data!$M:$M,48),0)-S51</f>
        <v>2</v>
      </c>
      <c r="T49" s="57">
        <f>IF(NOT(ISBLANK(T46)),COUNTIFS(Data!$C:$C,$C46,Data!$P:$P,"VAL",Data!$E:$E,$E46,Data!$F:$F,$F46,Data!$I:$I,IF(ISBLANK($I46),"",$I46),Data!$J:$J,$J46,Data!$K:$K,$K46,Data!$R:$R,"",Data!$L:$L,IF(ISBLANK($P46),"",$P46),Data!$G:$G,"ZF",Data!$H:$H,"A15C",Data!$M:$M,56),0)-T51</f>
        <v>3</v>
      </c>
      <c r="U49" s="57">
        <f>IF(NOT(ISBLANK(U46)),COUNTIFS(Data!$C:$C,$C46,Data!$P:$P,"VAL",Data!$E:$E,$E46,Data!$F:$F,$F46,Data!$I:$I,IF(ISBLANK($I46),"",$I46),Data!$J:$J,$J46,Data!$K:$K,$K46,Data!$R:$R,"",Data!$L:$L,IF(ISBLANK($P46),"",$P46),Data!$G:$G,"ZF",Data!$H:$H,"A15C",Data!$M:$M,64),0)-U51</f>
        <v>3</v>
      </c>
      <c r="V49" s="57">
        <f>IF(NOT(ISBLANK(V46)),COUNTIFS(Data!$C:$C,$C46,Data!$P:$P,"VAL",Data!$E:$E,$E46,Data!$F:$F,$F46,Data!$I:$I,IF(ISBLANK($I46),"",$I46),Data!$J:$J,$J46,Data!$K:$K,$K46,Data!$R:$R,"",Data!$L:$L,IF(ISBLANK($P46),"",$P46),Data!$G:$G,"ZF",Data!$H:$H,"A15C",Data!$M:$M,72),0)-V51</f>
        <v>0</v>
      </c>
      <c r="W49" s="57">
        <f>IF(NOT(ISBLANK(W46)),COUNTIFS(Data!$C:$C,$C46,Data!$P:$P,"VAL",Data!$E:$E,$E46,Data!$F:$F,$F46,Data!$I:$I,IF(ISBLANK($I46),"",$I46),Data!$J:$J,$J46,Data!$K:$K,$K46,Data!$R:$R,"",Data!$L:$L,IF(ISBLANK($P46),"",$P46),Data!$G:$G,"ZF",Data!$H:$H,"A15C",Data!$M:$M,88),0)-W51</f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IF(NOT(ISBLANK(X46)),COUNTIFS(Data!$C:$C,$C46,Data!$P:$P,"VAL",Data!$E:$E,$E46,Data!$F:$F,$F46,Data!$I:$I,IF(ISBLANK($I46),"",$I46),Data!$J:$J,$J46,Data!$K:$K,$K46,Data!$R:$R,"",Data!$L:$L,IF(ISBLANK($P46),"",$P46),Data!$G:$G,"ZF",Data!$H:$H,"A15C",Data!$M:$M,105),0)-X51</f>
        <v>0</v>
      </c>
      <c r="Y49" s="11"/>
      <c r="Z49" s="115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 t="shared" ref="Q50:X50" si="23">IF(($P49+$P51)&gt;$P47,IF((Q49+Q51)-Q47&gt;0,(Q49+Q51)-Q47,0),0)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/>
      <c r="Z50" s="115"/>
      <c r="AA50" s="11"/>
    </row>
    <row r="51" spans="1:27" ht="15" thickBot="1" x14ac:dyDescent="0.35">
      <c r="A51" s="26"/>
      <c r="B51" s="26"/>
      <c r="C51" s="27"/>
      <c r="D51" s="27"/>
      <c r="E51" s="27"/>
      <c r="F51" s="27"/>
      <c r="G51" s="27"/>
      <c r="H51" s="27"/>
      <c r="I51" s="27"/>
      <c r="J51" s="27"/>
      <c r="K51" s="27"/>
      <c r="L51" s="28" t="s">
        <v>417</v>
      </c>
      <c r="M51" s="28"/>
      <c r="N51" s="28"/>
      <c r="O51" s="28"/>
      <c r="P51" s="119">
        <f>SUM(Q51:X51)</f>
        <v>18</v>
      </c>
      <c r="Q51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IF(NOT(ISBLANK(Q46)),COUNTIFS(Data!$C:$C,$C46,Data!$P:$P,"VAL",Data!$E:$E,$E46,Data!$F:$F,$F46,Data!$I:$I,IF(ISBLANK($I46),"",$I46),Data!$J:$J,$J46,Data!$K:$K,$K46,Data!$R:$R,"",Data!$L:$L,IF(ISBLANK($P46),"",$P46),Data!$G:$G,"ZF",Data!$H:$H,"A15C",Data!$M:$M,36, Data!$Q:$Q,1),0)</f>
        <v>0</v>
      </c>
      <c r="R51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IF(NOT(ISBLANK(R46)),COUNTIFS(Data!$C:$C,$C46,Data!$P:$P,"VAL",Data!$E:$E,$E46,Data!$F:$F,$F46,Data!$I:$I,IF(ISBLANK($I46),"",$I46),Data!$J:$J,$J46,Data!$K:$K,$K46,Data!$R:$R,"",Data!$L:$L,IF(ISBLANK($P46),"",$P46),Data!$G:$G,"ZF",Data!$H:$H,"A15C",Data!$M:$M,40, Data!$Q:$Q,1),0)</f>
        <v>0</v>
      </c>
      <c r="S51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IF(NOT(ISBLANK(S46)),COUNTIFS(Data!$C:$C,$C46,Data!$P:$P,"VAL",Data!$E:$E,$E46,Data!$F:$F,$F46,Data!$I:$I,IF(ISBLANK($I46),"",$I46),Data!$J:$J,$J46,Data!$K:$K,$K46,Data!$R:$R,"",Data!$L:$L,IF(ISBLANK($P46),"",$P46),Data!$G:$G,"ZF",Data!$H:$H,"A15C",Data!$M:$M,48, Data!$Q:$Q,1),0)</f>
        <v>0</v>
      </c>
      <c r="T51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IF(NOT(ISBLANK(T46)),COUNTIFS(Data!$C:$C,$C46,Data!$P:$P,"VAL",Data!$E:$E,$E46,Data!$F:$F,$F46,Data!$I:$I,IF(ISBLANK($I46),"",$I46),Data!$J:$J,$J46,Data!$K:$K,$K46,Data!$R:$R,"",Data!$L:$L,IF(ISBLANK($P46),"",$P46),Data!$G:$G,"ZF",Data!$H:$H,"A15C",Data!$M:$M,56, Data!$Q:$Q,1),0)</f>
        <v>8</v>
      </c>
      <c r="U51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IF(NOT(ISBLANK(U46)),COUNTIFS(Data!$C:$C,$C46,Data!$P:$P,"VAL",Data!$E:$E,$E46,Data!$F:$F,$F46,Data!$I:$I,IF(ISBLANK($I46),"",$I46),Data!$J:$J,$J46,Data!$K:$K,$K46,Data!$R:$R,"",Data!$L:$L,IF(ISBLANK($P46),"",$P46),Data!$G:$G,"ZF",Data!$H:$H,"A15C",Data!$M:$M,64, Data!$Q:$Q,1),0)</f>
        <v>10</v>
      </c>
      <c r="V51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IF(NOT(ISBLANK(V46)),COUNTIFS(Data!$C:$C,$C46,Data!$P:$P,"VAL",Data!$E:$E,$E46,Data!$F:$F,$F46,Data!$I:$I,IF(ISBLANK($I46),"",$I46),Data!$J:$J,$J46,Data!$K:$K,$K46,Data!$R:$R,"",Data!$L:$L,IF(ISBLANK($P46),"",$P46),Data!$G:$G,"ZF",Data!$H:$H,"A15C",Data!$M:$M,72, Data!$Q:$Q,1),0)</f>
        <v>0</v>
      </c>
      <c r="W51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IF(NOT(ISBLANK(W46)),COUNTIFS(Data!$C:$C,$C46,Data!$P:$P,"VAL",Data!$E:$E,$E46,Data!$F:$F,$F46,Data!$I:$I,IF(ISBLANK($I46),"",$I46),Data!$J:$J,$J46,Data!$K:$K,$K46,Data!$R:$R,"",Data!$L:$L,IF(ISBLANK($P46),"",$P46),Data!$G:$G,"ZF",Data!$H:$H,"A15C",Data!$M:$M,88, Data!$Q:$Q,1),0)</f>
        <v>0</v>
      </c>
      <c r="X51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IF(NOT(ISBLANK(X46)),COUNTIFS(Data!$C:$C,$C46,Data!$P:$P,"VAL",Data!$E:$E,$E46,Data!$F:$F,$F46,Data!$I:$I,IF(ISBLANK($I46),"",$I46),Data!$J:$J,$J46,Data!$K:$K,$K46,Data!$R:$R,"",Data!$L:$L,IF(ISBLANK($P46),"",$P46),Data!$G:$G,"ZF",Data!$H:$H,"A15C",Data!$M:$M,105, Data!$Q:$Q,1),0)</f>
        <v>0</v>
      </c>
      <c r="Y51" s="29"/>
      <c r="Z51" s="29"/>
      <c r="AA51" s="29">
        <v>70</v>
      </c>
    </row>
    <row r="52" spans="1:27" x14ac:dyDescent="0.3">
      <c r="A52" s="20" t="s">
        <v>407</v>
      </c>
      <c r="B52" s="20"/>
      <c r="C52" s="21"/>
      <c r="D52" s="21"/>
      <c r="E52" s="21"/>
      <c r="F52" s="21"/>
      <c r="G52" s="21"/>
      <c r="H52" s="21"/>
      <c r="I52" s="21"/>
      <c r="J52" s="21"/>
      <c r="K52" s="21"/>
      <c r="L52" s="22"/>
      <c r="M52" s="22"/>
      <c r="N52" s="22">
        <f>SUMIFS(N$1:N$51,$Y$1:$Y$51,"&gt;0")</f>
        <v>206</v>
      </c>
      <c r="O52" s="22">
        <f>SUMIFS(O$1:O$51,$Y$1:$Y$51,"&gt;0")</f>
        <v>55</v>
      </c>
      <c r="P52" s="21"/>
      <c r="Q52" s="23">
        <f t="shared" ref="Q52:Y52" si="24">SUMIFS(Q$1:Q$51,$Y$1:$Y$51,"&gt;0")</f>
        <v>275</v>
      </c>
      <c r="R52" s="23">
        <f t="shared" si="24"/>
        <v>550</v>
      </c>
      <c r="S52" s="23">
        <f t="shared" si="24"/>
        <v>710</v>
      </c>
      <c r="T52" s="23">
        <f t="shared" si="24"/>
        <v>910</v>
      </c>
      <c r="U52" s="23">
        <f t="shared" si="24"/>
        <v>1120</v>
      </c>
      <c r="V52" s="23">
        <f t="shared" si="24"/>
        <v>9200</v>
      </c>
      <c r="W52" s="23">
        <f t="shared" si="24"/>
        <v>4960</v>
      </c>
      <c r="X52" s="23">
        <f t="shared" si="24"/>
        <v>2320</v>
      </c>
      <c r="Y52" s="23">
        <f t="shared" si="24"/>
        <v>20045</v>
      </c>
      <c r="Z52" s="23"/>
      <c r="AA52" s="23"/>
    </row>
    <row r="53" spans="1:27" x14ac:dyDescent="0.3">
      <c r="A53" s="16"/>
      <c r="B53" s="16"/>
      <c r="C53" s="17"/>
      <c r="D53" s="17"/>
      <c r="E53" s="17"/>
      <c r="F53" s="17"/>
      <c r="G53" s="17"/>
      <c r="H53" s="17"/>
      <c r="I53" s="17"/>
      <c r="J53" s="17"/>
      <c r="K53" s="17"/>
      <c r="L53" s="18" t="s">
        <v>413</v>
      </c>
      <c r="M53" s="18"/>
      <c r="N53" s="18"/>
      <c r="O53" s="18"/>
      <c r="P53" s="17">
        <f>SUM(Q53:X53)</f>
        <v>261</v>
      </c>
      <c r="Q53" s="19">
        <f t="shared" ref="Q53:X57" si="25">SUMIFS(Q$1:Q$51,$L$1:$L$51,$L53)</f>
        <v>5</v>
      </c>
      <c r="R53" s="19">
        <f t="shared" si="25"/>
        <v>10</v>
      </c>
      <c r="S53" s="19">
        <f t="shared" si="25"/>
        <v>11</v>
      </c>
      <c r="T53" s="19">
        <f t="shared" si="25"/>
        <v>13</v>
      </c>
      <c r="U53" s="19">
        <f t="shared" si="25"/>
        <v>16</v>
      </c>
      <c r="V53" s="19">
        <f t="shared" si="25"/>
        <v>115</v>
      </c>
      <c r="W53" s="19">
        <f t="shared" si="25"/>
        <v>62</v>
      </c>
      <c r="X53" s="19">
        <f t="shared" si="25"/>
        <v>29</v>
      </c>
      <c r="Y53" s="19"/>
      <c r="Z53" s="19"/>
      <c r="AA53" s="19"/>
    </row>
    <row r="54" spans="1:27" x14ac:dyDescent="0.3">
      <c r="A54" s="12"/>
      <c r="B54" s="12"/>
      <c r="C54" s="13"/>
      <c r="D54" s="13"/>
      <c r="E54" s="13"/>
      <c r="F54" s="13"/>
      <c r="G54" s="13"/>
      <c r="H54" s="13"/>
      <c r="I54" s="13"/>
      <c r="J54" s="13"/>
      <c r="K54" s="13"/>
      <c r="L54" s="14" t="s">
        <v>414</v>
      </c>
      <c r="M54" s="14"/>
      <c r="N54" s="14"/>
      <c r="O54" s="14"/>
      <c r="P54" s="13">
        <f>SUM(Q54:X54)</f>
        <v>200</v>
      </c>
      <c r="Q54" s="15">
        <f t="shared" si="25"/>
        <v>3</v>
      </c>
      <c r="R54" s="15">
        <f t="shared" si="25"/>
        <v>4</v>
      </c>
      <c r="S54" s="15">
        <f t="shared" si="25"/>
        <v>5</v>
      </c>
      <c r="T54" s="15">
        <f t="shared" si="25"/>
        <v>2</v>
      </c>
      <c r="U54" s="15">
        <f t="shared" si="25"/>
        <v>3</v>
      </c>
      <c r="V54" s="15">
        <f t="shared" si="25"/>
        <v>97</v>
      </c>
      <c r="W54" s="15">
        <f t="shared" si="25"/>
        <v>59</v>
      </c>
      <c r="X54" s="15">
        <f t="shared" si="25"/>
        <v>27</v>
      </c>
      <c r="Y54" s="15"/>
      <c r="Z54" s="15"/>
      <c r="AA54" s="15"/>
    </row>
    <row r="55" spans="1:27" x14ac:dyDescent="0.3">
      <c r="A55" s="12"/>
      <c r="B55" s="12"/>
      <c r="C55" s="13"/>
      <c r="D55" s="13"/>
      <c r="E55" s="13"/>
      <c r="F55" s="13"/>
      <c r="G55" s="13"/>
      <c r="H55" s="13"/>
      <c r="I55" s="13"/>
      <c r="J55" s="13"/>
      <c r="K55" s="13"/>
      <c r="L55" s="14" t="s">
        <v>415</v>
      </c>
      <c r="M55" s="14"/>
      <c r="N55" s="14"/>
      <c r="O55" s="14"/>
      <c r="P55" s="117">
        <f>SUM(Q55:X55)</f>
        <v>12</v>
      </c>
      <c r="Q55" s="56">
        <f t="shared" si="25"/>
        <v>1</v>
      </c>
      <c r="R55" s="56">
        <f t="shared" si="25"/>
        <v>2</v>
      </c>
      <c r="S55" s="56">
        <f t="shared" si="25"/>
        <v>2</v>
      </c>
      <c r="T55" s="56">
        <f t="shared" si="25"/>
        <v>3</v>
      </c>
      <c r="U55" s="56">
        <f t="shared" si="25"/>
        <v>3</v>
      </c>
      <c r="V55" s="56">
        <f t="shared" si="25"/>
        <v>1</v>
      </c>
      <c r="W55" s="56">
        <f t="shared" si="25"/>
        <v>0</v>
      </c>
      <c r="X55" s="56">
        <f t="shared" si="25"/>
        <v>0</v>
      </c>
      <c r="Y55" s="15"/>
      <c r="Z55" s="15"/>
      <c r="AA55" s="15"/>
    </row>
    <row r="56" spans="1:27" x14ac:dyDescent="0.3">
      <c r="A56" s="12"/>
      <c r="B56" s="12"/>
      <c r="C56" s="13"/>
      <c r="D56" s="13"/>
      <c r="E56" s="13"/>
      <c r="F56" s="13"/>
      <c r="G56" s="13"/>
      <c r="H56" s="13"/>
      <c r="I56" s="13"/>
      <c r="J56" s="13"/>
      <c r="K56" s="13"/>
      <c r="L56" s="14" t="s">
        <v>416</v>
      </c>
      <c r="M56" s="14"/>
      <c r="N56" s="14"/>
      <c r="O56" s="14"/>
      <c r="P56" s="13">
        <f>SUMIFS(P$1:P$51,$L$1:$L$51,$L56,$P$1:$P$51,"&gt;0")</f>
        <v>0</v>
      </c>
      <c r="Q56" s="15">
        <f t="shared" si="25"/>
        <v>0</v>
      </c>
      <c r="R56" s="15">
        <f t="shared" si="25"/>
        <v>0</v>
      </c>
      <c r="S56" s="15">
        <f t="shared" si="25"/>
        <v>0</v>
      </c>
      <c r="T56" s="15">
        <f t="shared" si="25"/>
        <v>0</v>
      </c>
      <c r="U56" s="15">
        <f t="shared" si="25"/>
        <v>0</v>
      </c>
      <c r="V56" s="15">
        <f t="shared" si="25"/>
        <v>0</v>
      </c>
      <c r="W56" s="15">
        <f t="shared" si="25"/>
        <v>0</v>
      </c>
      <c r="X56" s="15">
        <f t="shared" si="25"/>
        <v>0</v>
      </c>
      <c r="Y56" s="15"/>
      <c r="Z56" s="15"/>
      <c r="AA56" s="15"/>
    </row>
    <row r="57" spans="1:27" x14ac:dyDescent="0.3">
      <c r="A57" s="12"/>
      <c r="B57" s="12"/>
      <c r="C57" s="13"/>
      <c r="D57" s="13"/>
      <c r="E57" s="13"/>
      <c r="F57" s="13"/>
      <c r="G57" s="13"/>
      <c r="H57" s="13"/>
      <c r="I57" s="13"/>
      <c r="J57" s="13"/>
      <c r="K57" s="13"/>
      <c r="L57" s="14" t="s">
        <v>417</v>
      </c>
      <c r="M57" s="14"/>
      <c r="N57" s="14"/>
      <c r="O57" s="14"/>
      <c r="P57" s="117">
        <f>SUM(Q57:X57)</f>
        <v>49</v>
      </c>
      <c r="Q57" s="56">
        <f t="shared" si="25"/>
        <v>1</v>
      </c>
      <c r="R57" s="56">
        <f t="shared" si="25"/>
        <v>4</v>
      </c>
      <c r="S57" s="56">
        <f t="shared" si="25"/>
        <v>4</v>
      </c>
      <c r="T57" s="56">
        <f t="shared" si="25"/>
        <v>8</v>
      </c>
      <c r="U57" s="56">
        <f t="shared" si="25"/>
        <v>10</v>
      </c>
      <c r="V57" s="56">
        <f t="shared" si="25"/>
        <v>17</v>
      </c>
      <c r="W57" s="56">
        <f t="shared" si="25"/>
        <v>3</v>
      </c>
      <c r="X57" s="56">
        <f t="shared" si="25"/>
        <v>2</v>
      </c>
      <c r="Y57" s="15"/>
      <c r="Z57" s="15"/>
      <c r="AA57" s="15"/>
    </row>
  </sheetData>
  <conditionalFormatting sqref="P6">
    <cfRule type="cellIs" dxfId="47" priority="1" stopIfTrue="1" operator="equal">
      <formula>0</formula>
    </cfRule>
    <cfRule type="cellIs" dxfId="46" priority="2" stopIfTrue="1" operator="lessThan">
      <formula>0</formula>
    </cfRule>
    <cfRule type="cellIs" dxfId="45" priority="3" stopIfTrue="1" operator="greaterThan">
      <formula>0</formula>
    </cfRule>
  </conditionalFormatting>
  <conditionalFormatting sqref="P8">
    <cfRule type="cellIs" dxfId="44" priority="4" stopIfTrue="1" operator="equal">
      <formula>0</formula>
    </cfRule>
    <cfRule type="cellIs" dxfId="43" priority="5" stopIfTrue="1" operator="lessThan">
      <formula>0</formula>
    </cfRule>
    <cfRule type="cellIs" dxfId="42" priority="6" stopIfTrue="1" operator="greaterThan">
      <formula>0</formula>
    </cfRule>
  </conditionalFormatting>
  <conditionalFormatting sqref="P12">
    <cfRule type="cellIs" dxfId="41" priority="7" stopIfTrue="1" operator="equal">
      <formula>0</formula>
    </cfRule>
    <cfRule type="cellIs" dxfId="40" priority="8" stopIfTrue="1" operator="lessThan">
      <formula>0</formula>
    </cfRule>
    <cfRule type="cellIs" dxfId="39" priority="9" stopIfTrue="1" operator="greaterThan">
      <formula>0</formula>
    </cfRule>
  </conditionalFormatting>
  <conditionalFormatting sqref="P14">
    <cfRule type="cellIs" dxfId="38" priority="10" stopIfTrue="1" operator="equal">
      <formula>0</formula>
    </cfRule>
    <cfRule type="cellIs" dxfId="37" priority="11" stopIfTrue="1" operator="lessThan">
      <formula>0</formula>
    </cfRule>
    <cfRule type="cellIs" dxfId="36" priority="12" stopIfTrue="1" operator="greaterThan">
      <formula>0</formula>
    </cfRule>
  </conditionalFormatting>
  <conditionalFormatting sqref="P18">
    <cfRule type="cellIs" dxfId="35" priority="13" stopIfTrue="1" operator="equal">
      <formula>0</formula>
    </cfRule>
    <cfRule type="cellIs" dxfId="34" priority="14" stopIfTrue="1" operator="lessThan">
      <formula>0</formula>
    </cfRule>
    <cfRule type="cellIs" dxfId="33" priority="15" stopIfTrue="1" operator="greaterThan">
      <formula>0</formula>
    </cfRule>
  </conditionalFormatting>
  <conditionalFormatting sqref="P20">
    <cfRule type="cellIs" dxfId="32" priority="16" stopIfTrue="1" operator="equal">
      <formula>0</formula>
    </cfRule>
    <cfRule type="cellIs" dxfId="31" priority="17" stopIfTrue="1" operator="lessThan">
      <formula>0</formula>
    </cfRule>
    <cfRule type="cellIs" dxfId="30" priority="18" stopIfTrue="1" operator="greaterThan">
      <formula>0</formula>
    </cfRule>
  </conditionalFormatting>
  <conditionalFormatting sqref="P24">
    <cfRule type="cellIs" dxfId="29" priority="19" stopIfTrue="1" operator="equal">
      <formula>0</formula>
    </cfRule>
    <cfRule type="cellIs" dxfId="28" priority="20" stopIfTrue="1" operator="lessThan">
      <formula>0</formula>
    </cfRule>
    <cfRule type="cellIs" dxfId="27" priority="21" stopIfTrue="1" operator="greaterThan">
      <formula>0</formula>
    </cfRule>
  </conditionalFormatting>
  <conditionalFormatting sqref="P26">
    <cfRule type="cellIs" dxfId="26" priority="22" stopIfTrue="1" operator="equal">
      <formula>0</formula>
    </cfRule>
    <cfRule type="cellIs" dxfId="25" priority="23" stopIfTrue="1" operator="lessThan">
      <formula>0</formula>
    </cfRule>
    <cfRule type="cellIs" dxfId="24" priority="24" stopIfTrue="1" operator="greaterThan">
      <formula>0</formula>
    </cfRule>
  </conditionalFormatting>
  <conditionalFormatting sqref="P30">
    <cfRule type="cellIs" dxfId="23" priority="25" stopIfTrue="1" operator="equal">
      <formula>0</formula>
    </cfRule>
    <cfRule type="cellIs" dxfId="22" priority="26" stopIfTrue="1" operator="lessThan">
      <formula>0</formula>
    </cfRule>
    <cfRule type="cellIs" dxfId="21" priority="27" stopIfTrue="1" operator="greaterThan">
      <formula>0</formula>
    </cfRule>
  </conditionalFormatting>
  <conditionalFormatting sqref="P32">
    <cfRule type="cellIs" dxfId="20" priority="28" stopIfTrue="1" operator="equal">
      <formula>0</formula>
    </cfRule>
    <cfRule type="cellIs" dxfId="19" priority="29" stopIfTrue="1" operator="lessThan">
      <formula>0</formula>
    </cfRule>
    <cfRule type="cellIs" dxfId="18" priority="30" stopIfTrue="1" operator="greaterThan">
      <formula>0</formula>
    </cfRule>
  </conditionalFormatting>
  <conditionalFormatting sqref="P36">
    <cfRule type="cellIs" dxfId="17" priority="31" stopIfTrue="1" operator="equal">
      <formula>0</formula>
    </cfRule>
    <cfRule type="cellIs" dxfId="16" priority="32" stopIfTrue="1" operator="lessThan">
      <formula>0</formula>
    </cfRule>
    <cfRule type="cellIs" dxfId="15" priority="33" stopIfTrue="1" operator="greaterThan">
      <formula>0</formula>
    </cfRule>
  </conditionalFormatting>
  <conditionalFormatting sqref="P38">
    <cfRule type="cellIs" dxfId="14" priority="34" stopIfTrue="1" operator="equal">
      <formula>0</formula>
    </cfRule>
    <cfRule type="cellIs" dxfId="13" priority="35" stopIfTrue="1" operator="lessThan">
      <formula>0</formula>
    </cfRule>
    <cfRule type="cellIs" dxfId="12" priority="36" stopIfTrue="1" operator="greaterThan">
      <formula>0</formula>
    </cfRule>
  </conditionalFormatting>
  <conditionalFormatting sqref="P42">
    <cfRule type="cellIs" dxfId="11" priority="37" stopIfTrue="1" operator="equal">
      <formula>0</formula>
    </cfRule>
    <cfRule type="cellIs" dxfId="10" priority="38" stopIfTrue="1" operator="lessThan">
      <formula>0</formula>
    </cfRule>
    <cfRule type="cellIs" dxfId="9" priority="39" stopIfTrue="1" operator="greaterThan">
      <formula>0</formula>
    </cfRule>
  </conditionalFormatting>
  <conditionalFormatting sqref="P44">
    <cfRule type="cellIs" dxfId="8" priority="40" stopIfTrue="1" operator="equal">
      <formula>0</formula>
    </cfRule>
    <cfRule type="cellIs" dxfId="7" priority="41" stopIfTrue="1" operator="lessThan">
      <formula>0</formula>
    </cfRule>
    <cfRule type="cellIs" dxfId="6" priority="42" stopIfTrue="1" operator="greaterThan">
      <formula>0</formula>
    </cfRule>
  </conditionalFormatting>
  <conditionalFormatting sqref="P48">
    <cfRule type="cellIs" dxfId="5" priority="43" stopIfTrue="1" operator="equal">
      <formula>0</formula>
    </cfRule>
    <cfRule type="cellIs" dxfId="4" priority="44" stopIfTrue="1" operator="lessThan">
      <formula>0</formula>
    </cfRule>
    <cfRule type="cellIs" dxfId="3" priority="45" stopIfTrue="1" operator="greaterThan">
      <formula>0</formula>
    </cfRule>
  </conditionalFormatting>
  <conditionalFormatting sqref="P50">
    <cfRule type="cellIs" dxfId="2" priority="46" stopIfTrue="1" operator="equal">
      <formula>0</formula>
    </cfRule>
    <cfRule type="cellIs" dxfId="1" priority="47" stopIfTrue="1" operator="lessThan">
      <formula>0</formula>
    </cfRule>
    <cfRule type="cellIs" dxfId="0" priority="48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11"/>
  <sheetViews>
    <sheetView zoomScale="85" zoomScaleNormal="85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1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20" t="s">
        <v>365</v>
      </c>
      <c r="B1" s="121" t="s">
        <v>374</v>
      </c>
      <c r="C1" s="122" t="s">
        <v>375</v>
      </c>
      <c r="D1" s="122" t="s">
        <v>376</v>
      </c>
      <c r="E1" s="122" t="s">
        <v>377</v>
      </c>
      <c r="F1" s="122" t="s">
        <v>378</v>
      </c>
      <c r="G1" s="122" t="s">
        <v>379</v>
      </c>
      <c r="H1" s="122" t="s">
        <v>360</v>
      </c>
      <c r="I1" s="122" t="s">
        <v>380</v>
      </c>
      <c r="J1" s="123" t="s">
        <v>381</v>
      </c>
      <c r="K1" s="123" t="s">
        <v>382</v>
      </c>
      <c r="L1" s="123" t="s">
        <v>477</v>
      </c>
      <c r="M1" s="122" t="s">
        <v>384</v>
      </c>
      <c r="N1" s="124" t="s">
        <v>385</v>
      </c>
      <c r="O1" s="124" t="s">
        <v>386</v>
      </c>
      <c r="P1" s="123" t="s">
        <v>387</v>
      </c>
      <c r="Q1" s="125" t="s">
        <v>502</v>
      </c>
      <c r="R1" s="125" t="s">
        <v>503</v>
      </c>
      <c r="S1" s="125" t="s">
        <v>504</v>
      </c>
      <c r="T1" s="125" t="s">
        <v>505</v>
      </c>
      <c r="U1" s="125">
        <v>64</v>
      </c>
      <c r="V1" s="126">
        <v>72</v>
      </c>
      <c r="W1" s="126">
        <v>88</v>
      </c>
      <c r="X1" s="126">
        <v>105</v>
      </c>
      <c r="Y1" s="125" t="s">
        <v>418</v>
      </c>
    </row>
    <row r="2" spans="1:25" x14ac:dyDescent="0.3">
      <c r="A2" s="127" t="s">
        <v>490</v>
      </c>
      <c r="B2" s="127" t="s">
        <v>484</v>
      </c>
      <c r="C2" s="127" t="s">
        <v>478</v>
      </c>
      <c r="D2" s="127" t="s">
        <v>506</v>
      </c>
      <c r="E2" s="127" t="s">
        <v>491</v>
      </c>
      <c r="F2" s="127">
        <v>1</v>
      </c>
      <c r="G2" s="127" t="s">
        <v>394</v>
      </c>
      <c r="H2" s="127" t="s">
        <v>391</v>
      </c>
      <c r="I2" s="127" t="s">
        <v>536</v>
      </c>
      <c r="J2" s="127" t="s">
        <v>487</v>
      </c>
      <c r="K2" s="127" t="s">
        <v>491</v>
      </c>
      <c r="L2" s="127" t="s">
        <v>392</v>
      </c>
      <c r="M2" s="127" t="s">
        <v>393</v>
      </c>
      <c r="N2" s="127">
        <v>20</v>
      </c>
      <c r="O2" s="127"/>
      <c r="P2" s="128" t="s">
        <v>537</v>
      </c>
      <c r="Q2" s="129"/>
      <c r="R2" s="129"/>
      <c r="S2" s="129"/>
      <c r="T2" s="129"/>
      <c r="U2" s="129"/>
      <c r="V2" s="129">
        <v>3</v>
      </c>
      <c r="W2" s="129">
        <v>1</v>
      </c>
      <c r="X2" s="129"/>
      <c r="Y2" s="130">
        <v>16</v>
      </c>
    </row>
    <row r="3" spans="1:25" x14ac:dyDescent="0.3">
      <c r="A3" s="127"/>
      <c r="B3" s="127"/>
      <c r="C3" s="127" t="s">
        <v>478</v>
      </c>
      <c r="D3" s="127" t="s">
        <v>506</v>
      </c>
      <c r="E3" s="127" t="s">
        <v>491</v>
      </c>
      <c r="F3" s="127">
        <v>1</v>
      </c>
      <c r="G3" s="127" t="s">
        <v>394</v>
      </c>
      <c r="H3" s="127" t="s">
        <v>391</v>
      </c>
      <c r="I3" s="127" t="s">
        <v>529</v>
      </c>
      <c r="J3" s="127" t="s">
        <v>487</v>
      </c>
      <c r="K3" s="127" t="s">
        <v>491</v>
      </c>
      <c r="L3" s="127" t="s">
        <v>392</v>
      </c>
      <c r="M3" s="127" t="s">
        <v>393</v>
      </c>
      <c r="N3" s="127">
        <v>12</v>
      </c>
      <c r="O3" s="127"/>
      <c r="P3" s="128" t="s">
        <v>527</v>
      </c>
      <c r="Q3" s="129"/>
      <c r="R3" s="129"/>
      <c r="S3" s="129"/>
      <c r="T3" s="129"/>
      <c r="U3" s="129"/>
      <c r="V3" s="129"/>
      <c r="W3" s="129"/>
      <c r="X3" s="129"/>
      <c r="Y3" s="130">
        <v>12</v>
      </c>
    </row>
    <row r="4" spans="1:25" x14ac:dyDescent="0.3">
      <c r="A4" s="127" t="s">
        <v>449</v>
      </c>
      <c r="B4" s="127" t="s">
        <v>484</v>
      </c>
      <c r="C4" s="127" t="s">
        <v>478</v>
      </c>
      <c r="D4" s="127" t="s">
        <v>506</v>
      </c>
      <c r="E4" s="127" t="s">
        <v>450</v>
      </c>
      <c r="F4" s="127">
        <v>1</v>
      </c>
      <c r="G4" s="127" t="s">
        <v>394</v>
      </c>
      <c r="H4" s="127" t="s">
        <v>391</v>
      </c>
      <c r="I4" s="127" t="s">
        <v>493</v>
      </c>
      <c r="J4" s="127" t="s">
        <v>439</v>
      </c>
      <c r="K4" s="127" t="s">
        <v>450</v>
      </c>
      <c r="L4" s="127" t="s">
        <v>392</v>
      </c>
      <c r="M4" s="127" t="s">
        <v>393</v>
      </c>
      <c r="N4" s="127">
        <v>20</v>
      </c>
      <c r="O4" s="127"/>
      <c r="P4" s="128" t="s">
        <v>537</v>
      </c>
      <c r="Q4" s="129"/>
      <c r="R4" s="129"/>
      <c r="S4" s="129"/>
      <c r="T4" s="129"/>
      <c r="U4" s="129"/>
      <c r="V4" s="129"/>
      <c r="W4" s="129"/>
      <c r="X4" s="129"/>
      <c r="Y4" s="130">
        <v>20</v>
      </c>
    </row>
    <row r="5" spans="1:25" x14ac:dyDescent="0.3">
      <c r="A5" s="127" t="s">
        <v>485</v>
      </c>
      <c r="B5" s="127" t="s">
        <v>389</v>
      </c>
      <c r="C5" s="127" t="s">
        <v>396</v>
      </c>
      <c r="D5" s="127" t="s">
        <v>506</v>
      </c>
      <c r="E5" s="127" t="s">
        <v>486</v>
      </c>
      <c r="F5" s="127">
        <v>1</v>
      </c>
      <c r="G5" s="127" t="s">
        <v>390</v>
      </c>
      <c r="H5" s="127" t="s">
        <v>391</v>
      </c>
      <c r="I5" s="127"/>
      <c r="J5" s="127" t="s">
        <v>487</v>
      </c>
      <c r="K5" s="127" t="s">
        <v>486</v>
      </c>
      <c r="L5" s="127" t="s">
        <v>481</v>
      </c>
      <c r="M5" s="127" t="s">
        <v>393</v>
      </c>
      <c r="N5" s="127">
        <v>14</v>
      </c>
      <c r="O5" s="127"/>
      <c r="P5" s="128" t="s">
        <v>524</v>
      </c>
      <c r="Q5" s="129"/>
      <c r="R5" s="129"/>
      <c r="S5" s="129"/>
      <c r="T5" s="129"/>
      <c r="U5" s="129"/>
      <c r="V5" s="129">
        <v>10</v>
      </c>
      <c r="W5" s="129">
        <v>2</v>
      </c>
      <c r="X5" s="129">
        <v>1</v>
      </c>
      <c r="Y5" s="130">
        <v>1</v>
      </c>
    </row>
    <row r="6" spans="1:25" x14ac:dyDescent="0.3">
      <c r="A6" s="127"/>
      <c r="B6" s="127" t="s">
        <v>484</v>
      </c>
      <c r="C6" s="127" t="s">
        <v>478</v>
      </c>
      <c r="D6" s="127" t="s">
        <v>506</v>
      </c>
      <c r="E6" s="127" t="s">
        <v>486</v>
      </c>
      <c r="F6" s="127">
        <v>1</v>
      </c>
      <c r="G6" s="127" t="s">
        <v>411</v>
      </c>
      <c r="H6" s="127" t="s">
        <v>391</v>
      </c>
      <c r="I6" s="127"/>
      <c r="J6" s="127" t="s">
        <v>487</v>
      </c>
      <c r="K6" s="127" t="s">
        <v>486</v>
      </c>
      <c r="L6" s="127" t="s">
        <v>481</v>
      </c>
      <c r="M6" s="127" t="s">
        <v>393</v>
      </c>
      <c r="N6" s="127">
        <v>120</v>
      </c>
      <c r="O6" s="127"/>
      <c r="P6" s="128" t="s">
        <v>537</v>
      </c>
      <c r="Q6" s="129"/>
      <c r="R6" s="129"/>
      <c r="S6" s="129"/>
      <c r="T6" s="129"/>
      <c r="U6" s="129"/>
      <c r="V6" s="129">
        <v>5</v>
      </c>
      <c r="W6" s="129"/>
      <c r="X6" s="129"/>
      <c r="Y6" s="130">
        <v>115</v>
      </c>
    </row>
    <row r="7" spans="1:25" x14ac:dyDescent="0.3">
      <c r="A7" s="127"/>
      <c r="B7" s="127" t="s">
        <v>389</v>
      </c>
      <c r="C7" s="127" t="s">
        <v>396</v>
      </c>
      <c r="D7" s="127" t="s">
        <v>506</v>
      </c>
      <c r="E7" s="127" t="s">
        <v>486</v>
      </c>
      <c r="F7" s="127">
        <v>1</v>
      </c>
      <c r="G7" s="127" t="s">
        <v>390</v>
      </c>
      <c r="H7" s="127" t="s">
        <v>391</v>
      </c>
      <c r="I7" s="127"/>
      <c r="J7" s="127" t="s">
        <v>487</v>
      </c>
      <c r="K7" s="127" t="s">
        <v>486</v>
      </c>
      <c r="L7" s="127" t="s">
        <v>481</v>
      </c>
      <c r="M7" s="127" t="s">
        <v>393</v>
      </c>
      <c r="N7" s="127">
        <v>20</v>
      </c>
      <c r="O7" s="127"/>
      <c r="P7" s="128" t="s">
        <v>538</v>
      </c>
      <c r="Q7" s="129"/>
      <c r="R7" s="129"/>
      <c r="S7" s="129"/>
      <c r="T7" s="129"/>
      <c r="U7" s="129"/>
      <c r="V7" s="129"/>
      <c r="W7" s="129"/>
      <c r="X7" s="129">
        <v>1</v>
      </c>
      <c r="Y7" s="130">
        <v>19</v>
      </c>
    </row>
    <row r="8" spans="1:25" x14ac:dyDescent="0.3">
      <c r="A8" s="127" t="s">
        <v>395</v>
      </c>
      <c r="B8" s="127" t="s">
        <v>389</v>
      </c>
      <c r="C8" s="127" t="s">
        <v>396</v>
      </c>
      <c r="D8" s="127" t="s">
        <v>506</v>
      </c>
      <c r="E8" s="127" t="s">
        <v>397</v>
      </c>
      <c r="F8" s="127">
        <v>1</v>
      </c>
      <c r="G8" s="127" t="s">
        <v>561</v>
      </c>
      <c r="H8" s="127" t="s">
        <v>419</v>
      </c>
      <c r="I8" s="127" t="s">
        <v>533</v>
      </c>
      <c r="J8" s="127" t="s">
        <v>398</v>
      </c>
      <c r="K8" s="127" t="s">
        <v>397</v>
      </c>
      <c r="L8" s="127" t="s">
        <v>392</v>
      </c>
      <c r="M8" s="127" t="s">
        <v>399</v>
      </c>
      <c r="N8" s="127"/>
      <c r="O8" s="127">
        <v>19</v>
      </c>
      <c r="P8" s="128" t="s">
        <v>524</v>
      </c>
      <c r="Q8" s="129">
        <v>2</v>
      </c>
      <c r="R8" s="129">
        <v>6</v>
      </c>
      <c r="S8" s="129">
        <v>4</v>
      </c>
      <c r="T8" s="129"/>
      <c r="U8" s="129"/>
      <c r="V8" s="129"/>
      <c r="W8" s="129"/>
      <c r="X8" s="129"/>
      <c r="Y8" s="130">
        <v>7</v>
      </c>
    </row>
    <row r="9" spans="1:25" ht="15" thickBot="1" x14ac:dyDescent="0.35">
      <c r="A9" s="127"/>
      <c r="B9" s="127"/>
      <c r="C9" s="127" t="s">
        <v>396</v>
      </c>
      <c r="D9" s="127" t="s">
        <v>506</v>
      </c>
      <c r="E9" s="127" t="s">
        <v>397</v>
      </c>
      <c r="F9" s="127">
        <v>1</v>
      </c>
      <c r="G9" s="127" t="s">
        <v>390</v>
      </c>
      <c r="H9" s="127" t="s">
        <v>391</v>
      </c>
      <c r="I9" s="127" t="s">
        <v>533</v>
      </c>
      <c r="J9" s="127" t="s">
        <v>398</v>
      </c>
      <c r="K9" s="127" t="s">
        <v>397</v>
      </c>
      <c r="L9" s="127" t="s">
        <v>392</v>
      </c>
      <c r="M9" s="127" t="s">
        <v>399</v>
      </c>
      <c r="N9" s="127"/>
      <c r="O9" s="127">
        <v>36</v>
      </c>
      <c r="P9" s="128" t="s">
        <v>524</v>
      </c>
      <c r="Q9" s="129"/>
      <c r="R9" s="129"/>
      <c r="S9" s="129">
        <v>2</v>
      </c>
      <c r="T9" s="129">
        <v>11</v>
      </c>
      <c r="U9" s="129">
        <v>13</v>
      </c>
      <c r="V9" s="129"/>
      <c r="W9" s="129"/>
      <c r="X9" s="129"/>
      <c r="Y9" s="130">
        <v>10</v>
      </c>
    </row>
    <row r="10" spans="1:25" ht="15" thickBot="1" x14ac:dyDescent="0.35">
      <c r="A10" s="131" t="s">
        <v>407</v>
      </c>
      <c r="B10" s="131"/>
      <c r="C10" s="131"/>
      <c r="D10" s="131"/>
      <c r="E10" s="131"/>
      <c r="F10" s="131"/>
      <c r="G10" s="131"/>
      <c r="H10" s="131"/>
      <c r="I10" s="131"/>
      <c r="J10" s="131"/>
      <c r="K10" s="131"/>
      <c r="L10" s="131"/>
      <c r="M10" s="131"/>
      <c r="N10" s="131">
        <v>206</v>
      </c>
      <c r="O10" s="131">
        <v>55</v>
      </c>
      <c r="P10" s="132"/>
      <c r="Q10" s="133">
        <v>2</v>
      </c>
      <c r="R10" s="133">
        <v>6</v>
      </c>
      <c r="S10" s="133">
        <v>6</v>
      </c>
      <c r="T10" s="133">
        <v>11</v>
      </c>
      <c r="U10" s="133">
        <v>13</v>
      </c>
      <c r="V10" s="133">
        <v>18</v>
      </c>
      <c r="W10" s="133">
        <v>3</v>
      </c>
      <c r="X10" s="133">
        <v>2</v>
      </c>
      <c r="Y10" s="134">
        <v>200</v>
      </c>
    </row>
    <row r="11" spans="1:25" x14ac:dyDescent="0.3">
      <c r="A11" s="110"/>
      <c r="B11" s="110"/>
      <c r="C11" s="110"/>
      <c r="D11" s="110"/>
      <c r="E11" s="110"/>
      <c r="F11" s="110"/>
      <c r="G11" s="110"/>
      <c r="H11" s="110"/>
      <c r="I11" s="110"/>
      <c r="J11" s="110"/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10"/>
      <c r="Y11" s="110"/>
    </row>
  </sheetData>
  <pageMargins left="0.7" right="0.7" top="0.75" bottom="0.75" header="0.3" footer="0.3"/>
  <pageSetup paperSize="9" scale="61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button id="btnRevertUpdate" label="Revert Last Update" onAction="RevertLastUpdate_R" imageMso="Undo" size="large" screentip="Revert Last Update" supertip="Reverts back to the version Module1 had before your last update, and asks whether to email Tiaan the reason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2026-09-29T04:53:30Z</cp:lastPrinted>
  <dcterms:created xsi:type="dcterms:W3CDTF">2024-02-27T12:12:19Z</dcterms:created>
  <dcterms:modified xsi:type="dcterms:W3CDTF">2026-09-30T12:58:18Z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0304</vt:lpwstr>
  </property>
  <property fmtid="{D5CDD505-2E9C-101B-9397-08002B2CF9AE}" pid="6" name="PickRef1">
    <vt:lpwstr>0104</vt:lpwstr>
  </property>
  <property fmtid="{D5CDD505-2E9C-101B-9397-08002B2CF9AE}" pid="7" name="LastUpdated">
    <vt:lpwstr>Last Updated: 29/09/2026 15:35:00</vt:lpwstr>
  </property>
  <property fmtid="{D5CDD505-2E9C-101B-9397-08002B2CF9AE}" pid="8" name="LastSent">
    <vt:lpwstr>Last Sent: 29/09/2026 15:10:57</vt:lpwstr>
  </property>
  <property fmtid="{D5CDD505-2E9C-101B-9397-08002B2CF9AE}" pid="9" name="EntitlementStatus">
    <vt:lpwstr>active</vt:lpwstr>
  </property>
  <property fmtid="{D5CDD505-2E9C-101B-9397-08002B2CF9AE}" pid="10" name="EntitlementCheckedAt">
    <vt:lpwstr>29/09/2026 08:37:20</vt:lpwstr>
  </property>
</Properties>
</file>