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d1ebc0992dc4adc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ClaudeCode\Pakplan Vordering\"/>
    </mc:Choice>
  </mc:AlternateContent>
  <xr:revisionPtr revIDLastSave="0" documentId="13_ncr:1_{CBE8CCDE-74F9-4C57-8DEA-98383FDB9AE8}" xr6:coauthVersionLast="47" xr6:coauthVersionMax="47" xr10:uidLastSave="{00000000-0000-0000-0000-000000000000}"/>
  <bookViews>
    <workbookView xWindow="28680" yWindow="-5745" windowWidth="29040" windowHeight="15720" activeTab="3" xr2:uid="{BFF45E8A-C419-4143-A69A-7BB6777DFFDE}"/>
  </bookViews>
  <sheets>
    <sheet name="Pakplan" sheetId="13" r:id="rId1"/>
    <sheet name="Data" sheetId="25" r:id="rId2"/>
    <sheet name="Agreement Codes" sheetId="2" state="hidden" r:id="rId3"/>
    <sheet name="Vordering" sheetId="29" r:id="rId4"/>
    <sheet name="Opsomming" sheetId="30" r:id="rId5"/>
    <sheet name="Grafieke" sheetId="31" r:id="rId6"/>
  </sheets>
  <functionGroups builtInGroupCount="19"/>
  <definedNames>
    <definedName name="_xlnm._FilterDatabase" localSheetId="4" hidden="1">Opsomming!#REF!</definedName>
    <definedName name="_xlnm._FilterDatabase" localSheetId="0" hidden="1">Pakplan!#REF!</definedName>
    <definedName name="ExternalData_1" localSheetId="1" hidden="1">Data!$A$1:$R$158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Query_e8541de2-a3fc-45a6-b506-3c46ef73e729" name="DataQuery" connection="Query - DataQuery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05" i="29" l="1"/>
  <c r="W105" i="29"/>
  <c r="V105" i="29"/>
  <c r="U105" i="29"/>
  <c r="T105" i="29"/>
  <c r="T103" i="29" s="1"/>
  <c r="S105" i="29"/>
  <c r="R105" i="29"/>
  <c r="Q105" i="29"/>
  <c r="X103" i="29"/>
  <c r="W103" i="29"/>
  <c r="V103" i="29"/>
  <c r="U103" i="29"/>
  <c r="P103" i="29" s="1"/>
  <c r="V104" i="29" s="1"/>
  <c r="S103" i="29"/>
  <c r="R103" i="29"/>
  <c r="Q103" i="29"/>
  <c r="X99" i="29"/>
  <c r="X97" i="29" s="1"/>
  <c r="W99" i="29"/>
  <c r="V99" i="29"/>
  <c r="U99" i="29"/>
  <c r="T99" i="29"/>
  <c r="T97" i="29" s="1"/>
  <c r="S99" i="29"/>
  <c r="S97" i="29" s="1"/>
  <c r="R99" i="29"/>
  <c r="R97" i="29" s="1"/>
  <c r="Q99" i="29"/>
  <c r="Q97" i="29" s="1"/>
  <c r="P97" i="29" s="1"/>
  <c r="W97" i="29"/>
  <c r="V97" i="29"/>
  <c r="U97" i="29"/>
  <c r="U96" i="29" s="1"/>
  <c r="X93" i="29"/>
  <c r="X91" i="29" s="1"/>
  <c r="W93" i="29"/>
  <c r="W91" i="29" s="1"/>
  <c r="V93" i="29"/>
  <c r="V91" i="29" s="1"/>
  <c r="U93" i="29"/>
  <c r="U91" i="29" s="1"/>
  <c r="T93" i="29"/>
  <c r="S93" i="29"/>
  <c r="R93" i="29"/>
  <c r="R91" i="29" s="1"/>
  <c r="Q93" i="29"/>
  <c r="Q91" i="29" s="1"/>
  <c r="T91" i="29"/>
  <c r="S91" i="29"/>
  <c r="X87" i="29"/>
  <c r="U87" i="29"/>
  <c r="U85" i="29" s="1"/>
  <c r="T87" i="29"/>
  <c r="S87" i="29"/>
  <c r="R87" i="29"/>
  <c r="Q87" i="29"/>
  <c r="X85" i="29"/>
  <c r="T85" i="29"/>
  <c r="S85" i="29"/>
  <c r="R85" i="29"/>
  <c r="Q85" i="29"/>
  <c r="Q84" i="29" s="1"/>
  <c r="U81" i="29"/>
  <c r="T81" i="29"/>
  <c r="T79" i="29" s="1"/>
  <c r="T78" i="29" s="1"/>
  <c r="S81" i="29"/>
  <c r="S79" i="29" s="1"/>
  <c r="R81" i="29"/>
  <c r="R79" i="29" s="1"/>
  <c r="R78" i="29" s="1"/>
  <c r="Q81" i="29"/>
  <c r="W79" i="29"/>
  <c r="U79" i="29"/>
  <c r="X75" i="29"/>
  <c r="X73" i="29" s="1"/>
  <c r="T75" i="29"/>
  <c r="S75" i="29"/>
  <c r="R75" i="29"/>
  <c r="R73" i="29" s="1"/>
  <c r="R72" i="29" s="1"/>
  <c r="Q75" i="29"/>
  <c r="T73" i="29"/>
  <c r="S73" i="29"/>
  <c r="X69" i="29"/>
  <c r="W69" i="29"/>
  <c r="W87" i="29" s="1"/>
  <c r="W85" i="29" s="1"/>
  <c r="W84" i="29" s="1"/>
  <c r="V69" i="29"/>
  <c r="V67" i="29" s="1"/>
  <c r="U69" i="29"/>
  <c r="U67" i="29" s="1"/>
  <c r="T69" i="29"/>
  <c r="S69" i="29"/>
  <c r="R69" i="29"/>
  <c r="Q69" i="29"/>
  <c r="X67" i="29"/>
  <c r="W67" i="29"/>
  <c r="T67" i="29"/>
  <c r="S67" i="29"/>
  <c r="R67" i="29"/>
  <c r="R66" i="29" s="1"/>
  <c r="Q67" i="29"/>
  <c r="X63" i="29"/>
  <c r="X81" i="29" s="1"/>
  <c r="X79" i="29" s="1"/>
  <c r="W63" i="29"/>
  <c r="W81" i="29" s="1"/>
  <c r="V63" i="29"/>
  <c r="V81" i="29" s="1"/>
  <c r="V79" i="29" s="1"/>
  <c r="U63" i="29"/>
  <c r="T63" i="29"/>
  <c r="T61" i="29" s="1"/>
  <c r="S63" i="29"/>
  <c r="S61" i="29" s="1"/>
  <c r="S60" i="29" s="1"/>
  <c r="R63" i="29"/>
  <c r="R61" i="29" s="1"/>
  <c r="Q63" i="29"/>
  <c r="Q61" i="29" s="1"/>
  <c r="X61" i="29"/>
  <c r="W61" i="29"/>
  <c r="V61" i="29"/>
  <c r="U61" i="29"/>
  <c r="X57" i="29"/>
  <c r="X55" i="29" s="1"/>
  <c r="W57" i="29"/>
  <c r="V57" i="29"/>
  <c r="U57" i="29"/>
  <c r="T57" i="29"/>
  <c r="T55" i="29" s="1"/>
  <c r="S57" i="29"/>
  <c r="S55" i="29" s="1"/>
  <c r="R57" i="29"/>
  <c r="Q57" i="29"/>
  <c r="R55" i="29"/>
  <c r="Q55" i="29"/>
  <c r="X51" i="29"/>
  <c r="X49" i="29" s="1"/>
  <c r="W51" i="29"/>
  <c r="W49" i="29" s="1"/>
  <c r="V51" i="29"/>
  <c r="V49" i="29" s="1"/>
  <c r="U51" i="29"/>
  <c r="U49" i="29" s="1"/>
  <c r="T51" i="29"/>
  <c r="S51" i="29"/>
  <c r="R51" i="29"/>
  <c r="Q51" i="29"/>
  <c r="T49" i="29"/>
  <c r="S49" i="29"/>
  <c r="S48" i="29" s="1"/>
  <c r="S50" i="29" s="1"/>
  <c r="R49" i="29"/>
  <c r="Q49" i="29"/>
  <c r="X45" i="29"/>
  <c r="W45" i="29"/>
  <c r="V45" i="29"/>
  <c r="U45" i="29"/>
  <c r="T45" i="29"/>
  <c r="T43" i="29" s="1"/>
  <c r="S45" i="29"/>
  <c r="S43" i="29" s="1"/>
  <c r="R45" i="29"/>
  <c r="R43" i="29" s="1"/>
  <c r="Q45" i="29"/>
  <c r="Q43" i="29" s="1"/>
  <c r="Q42" i="29" s="1"/>
  <c r="X43" i="29"/>
  <c r="W43" i="29"/>
  <c r="V43" i="29"/>
  <c r="U43" i="29"/>
  <c r="U42" i="29" s="1"/>
  <c r="U44" i="29" s="1"/>
  <c r="X39" i="29"/>
  <c r="X37" i="29" s="1"/>
  <c r="W39" i="29"/>
  <c r="W37" i="29" s="1"/>
  <c r="P37" i="29" s="1"/>
  <c r="V39" i="29"/>
  <c r="V37" i="29" s="1"/>
  <c r="U39" i="29"/>
  <c r="U37" i="29" s="1"/>
  <c r="T39" i="29"/>
  <c r="S39" i="29"/>
  <c r="R39" i="29"/>
  <c r="Q39" i="29"/>
  <c r="T37" i="29"/>
  <c r="T36" i="29" s="1"/>
  <c r="T38" i="29" s="1"/>
  <c r="S37" i="29"/>
  <c r="R37" i="29"/>
  <c r="Q37" i="29"/>
  <c r="X33" i="29"/>
  <c r="X31" i="29" s="1"/>
  <c r="W33" i="29"/>
  <c r="W31" i="29" s="1"/>
  <c r="W30" i="29" s="1"/>
  <c r="W32" i="29" s="1"/>
  <c r="V33" i="29"/>
  <c r="U33" i="29"/>
  <c r="T33" i="29"/>
  <c r="S33" i="29"/>
  <c r="R33" i="29"/>
  <c r="Q33" i="29"/>
  <c r="U31" i="29"/>
  <c r="T31" i="29"/>
  <c r="S31" i="29"/>
  <c r="S30" i="29" s="1"/>
  <c r="S32" i="29" s="1"/>
  <c r="R31" i="29"/>
  <c r="Q31" i="29"/>
  <c r="X27" i="29"/>
  <c r="W27" i="29"/>
  <c r="V27" i="29"/>
  <c r="U27" i="29"/>
  <c r="T27" i="29"/>
  <c r="T25" i="29" s="1"/>
  <c r="S27" i="29"/>
  <c r="S25" i="29" s="1"/>
  <c r="R27" i="29"/>
  <c r="R25" i="29" s="1"/>
  <c r="R24" i="29" s="1"/>
  <c r="R26" i="29" s="1"/>
  <c r="Q27" i="29"/>
  <c r="X25" i="29"/>
  <c r="W25" i="29"/>
  <c r="V25" i="29"/>
  <c r="V24" i="29" s="1"/>
  <c r="V26" i="29" s="1"/>
  <c r="U25" i="29"/>
  <c r="X21" i="29"/>
  <c r="X19" i="29" s="1"/>
  <c r="W21" i="29"/>
  <c r="W19" i="29" s="1"/>
  <c r="V21" i="29"/>
  <c r="V19" i="29" s="1"/>
  <c r="U21" i="29"/>
  <c r="U19" i="29" s="1"/>
  <c r="U18" i="29" s="1"/>
  <c r="T21" i="29"/>
  <c r="S21" i="29"/>
  <c r="R21" i="29"/>
  <c r="Q21" i="29"/>
  <c r="Q19" i="29" s="1"/>
  <c r="T19" i="29"/>
  <c r="S19" i="29"/>
  <c r="S18" i="29" s="1"/>
  <c r="R19" i="29"/>
  <c r="X15" i="29"/>
  <c r="W15" i="29"/>
  <c r="V15" i="29"/>
  <c r="U15" i="29"/>
  <c r="U13" i="29" s="1"/>
  <c r="U12" i="29" s="1"/>
  <c r="T15" i="29"/>
  <c r="S15" i="29"/>
  <c r="R15" i="29"/>
  <c r="Q15" i="29"/>
  <c r="X13" i="29"/>
  <c r="W13" i="29"/>
  <c r="V13" i="29"/>
  <c r="T13" i="29"/>
  <c r="S13" i="29"/>
  <c r="S12" i="29" s="1"/>
  <c r="R13" i="29"/>
  <c r="Q13" i="29"/>
  <c r="X9" i="29"/>
  <c r="W9" i="29"/>
  <c r="V9" i="29"/>
  <c r="U9" i="29"/>
  <c r="T9" i="29"/>
  <c r="S9" i="29"/>
  <c r="R9" i="29"/>
  <c r="R7" i="29" s="1"/>
  <c r="Q9" i="29"/>
  <c r="Q7" i="29" s="1"/>
  <c r="X7" i="29"/>
  <c r="W7" i="29"/>
  <c r="V7" i="29"/>
  <c r="U7" i="29"/>
  <c r="X101" i="29"/>
  <c r="X102" i="29" s="1"/>
  <c r="W101" i="29"/>
  <c r="W102" i="29" s="1"/>
  <c r="V102" i="29"/>
  <c r="V101" i="29"/>
  <c r="U101" i="29"/>
  <c r="T101" i="29"/>
  <c r="S101" i="29"/>
  <c r="R102" i="29"/>
  <c r="R101" i="29"/>
  <c r="Q101" i="29"/>
  <c r="P101" i="29" s="1"/>
  <c r="P105" i="29"/>
  <c r="U100" i="29"/>
  <c r="T100" i="29"/>
  <c r="Y100" i="29" s="1"/>
  <c r="O100" i="29" s="1"/>
  <c r="X95" i="29"/>
  <c r="X96" i="29" s="1"/>
  <c r="W95" i="29"/>
  <c r="V95" i="29"/>
  <c r="U95" i="29"/>
  <c r="T95" i="29"/>
  <c r="T96" i="29" s="1"/>
  <c r="R95" i="29"/>
  <c r="S94" i="29"/>
  <c r="Y94" i="29" s="1"/>
  <c r="O94" i="29" s="1"/>
  <c r="R94" i="29"/>
  <c r="Q94" i="29"/>
  <c r="Q95" i="29" s="1"/>
  <c r="X89" i="29"/>
  <c r="X90" i="29" s="1"/>
  <c r="W90" i="29"/>
  <c r="W89" i="29"/>
  <c r="V89" i="29"/>
  <c r="R89" i="29"/>
  <c r="P89" i="29" s="1"/>
  <c r="Q89" i="29"/>
  <c r="U88" i="29"/>
  <c r="U89" i="29" s="1"/>
  <c r="T88" i="29"/>
  <c r="T89" i="29" s="1"/>
  <c r="S88" i="29"/>
  <c r="S89" i="29" s="1"/>
  <c r="X83" i="29"/>
  <c r="W83" i="29"/>
  <c r="V83" i="29"/>
  <c r="U83" i="29"/>
  <c r="T83" i="29"/>
  <c r="T84" i="29" s="1"/>
  <c r="S84" i="29"/>
  <c r="S83" i="29"/>
  <c r="R83" i="29"/>
  <c r="P83" i="29" s="1"/>
  <c r="Q83" i="29"/>
  <c r="Y82" i="29"/>
  <c r="W82" i="29"/>
  <c r="V82" i="29"/>
  <c r="N82" i="29"/>
  <c r="W77" i="29"/>
  <c r="W78" i="29" s="1"/>
  <c r="U77" i="29"/>
  <c r="U78" i="29" s="1"/>
  <c r="T77" i="29"/>
  <c r="S77" i="29"/>
  <c r="R77" i="29"/>
  <c r="Q77" i="29"/>
  <c r="P77" i="29" s="1"/>
  <c r="X76" i="29"/>
  <c r="X77" i="29" s="1"/>
  <c r="W76" i="29"/>
  <c r="Y76" i="29" s="1"/>
  <c r="N76" i="29" s="1"/>
  <c r="V76" i="29"/>
  <c r="V77" i="29" s="1"/>
  <c r="X71" i="29"/>
  <c r="X72" i="29" s="1"/>
  <c r="T71" i="29"/>
  <c r="T72" i="29" s="1"/>
  <c r="S71" i="29"/>
  <c r="R71" i="29"/>
  <c r="Q71" i="29"/>
  <c r="W70" i="29"/>
  <c r="W71" i="29" s="1"/>
  <c r="V70" i="29"/>
  <c r="V71" i="29" s="1"/>
  <c r="U70" i="29"/>
  <c r="Y70" i="29" s="1"/>
  <c r="N70" i="29" s="1"/>
  <c r="X66" i="29"/>
  <c r="X68" i="29" s="1"/>
  <c r="X65" i="29"/>
  <c r="W65" i="29"/>
  <c r="U65" i="29"/>
  <c r="T66" i="29"/>
  <c r="T65" i="29"/>
  <c r="S65" i="29"/>
  <c r="P65" i="29" s="1"/>
  <c r="R65" i="29"/>
  <c r="Q65" i="29"/>
  <c r="Q66" i="29" s="1"/>
  <c r="P69" i="29"/>
  <c r="Y64" i="29"/>
  <c r="N64" i="29" s="1"/>
  <c r="W64" i="29"/>
  <c r="V64" i="29"/>
  <c r="V65" i="29" s="1"/>
  <c r="U60" i="29"/>
  <c r="U59" i="29"/>
  <c r="T59" i="29"/>
  <c r="S59" i="29"/>
  <c r="R59" i="29"/>
  <c r="Q60" i="29"/>
  <c r="Q59" i="29"/>
  <c r="X58" i="29"/>
  <c r="X59" i="29" s="1"/>
  <c r="X60" i="29" s="1"/>
  <c r="W58" i="29"/>
  <c r="W59" i="29" s="1"/>
  <c r="W60" i="29" s="1"/>
  <c r="V58" i="29"/>
  <c r="V59" i="29" s="1"/>
  <c r="V60" i="29" s="1"/>
  <c r="X53" i="29"/>
  <c r="X54" i="29" s="1"/>
  <c r="V53" i="29"/>
  <c r="T53" i="29"/>
  <c r="S53" i="29"/>
  <c r="R53" i="29"/>
  <c r="P53" i="29" s="1"/>
  <c r="Q54" i="29"/>
  <c r="Q53" i="29"/>
  <c r="W52" i="29"/>
  <c r="W53" i="29" s="1"/>
  <c r="W54" i="29" s="1"/>
  <c r="V52" i="29"/>
  <c r="U52" i="29"/>
  <c r="U53" i="29" s="1"/>
  <c r="U54" i="29" s="1"/>
  <c r="U56" i="29" s="1"/>
  <c r="U47" i="29"/>
  <c r="T47" i="29"/>
  <c r="S47" i="29"/>
  <c r="R47" i="29"/>
  <c r="Q47" i="29"/>
  <c r="X46" i="29"/>
  <c r="X47" i="29" s="1"/>
  <c r="W46" i="29"/>
  <c r="W47" i="29" s="1"/>
  <c r="V46" i="29"/>
  <c r="Y46" i="29" s="1"/>
  <c r="N46" i="29" s="1"/>
  <c r="X41" i="29"/>
  <c r="X42" i="29" s="1"/>
  <c r="X44" i="29" s="1"/>
  <c r="V41" i="29"/>
  <c r="V42" i="29" s="1"/>
  <c r="V44" i="29" s="1"/>
  <c r="U41" i="29"/>
  <c r="T41" i="29"/>
  <c r="S41" i="29"/>
  <c r="R41" i="29"/>
  <c r="Q41" i="29"/>
  <c r="P45" i="29"/>
  <c r="W40" i="29"/>
  <c r="W41" i="29" s="1"/>
  <c r="W42" i="29" s="1"/>
  <c r="W44" i="29" s="1"/>
  <c r="V40" i="29"/>
  <c r="X36" i="29"/>
  <c r="X38" i="29" s="1"/>
  <c r="X35" i="29"/>
  <c r="W35" i="29"/>
  <c r="V35" i="29"/>
  <c r="U35" i="29"/>
  <c r="U36" i="29" s="1"/>
  <c r="U38" i="29" s="1"/>
  <c r="T35" i="29"/>
  <c r="S35" i="29"/>
  <c r="R35" i="29"/>
  <c r="Q35" i="29"/>
  <c r="Y34" i="29"/>
  <c r="N34" i="29" s="1"/>
  <c r="W34" i="29"/>
  <c r="V34" i="29"/>
  <c r="X29" i="29"/>
  <c r="W29" i="29"/>
  <c r="V29" i="29"/>
  <c r="T29" i="29"/>
  <c r="S29" i="29"/>
  <c r="R29" i="29"/>
  <c r="Q29" i="29"/>
  <c r="Q30" i="29" s="1"/>
  <c r="V28" i="29"/>
  <c r="U28" i="29"/>
  <c r="U29" i="29" s="1"/>
  <c r="W23" i="29"/>
  <c r="V23" i="29"/>
  <c r="U23" i="29"/>
  <c r="U24" i="29" s="1"/>
  <c r="U26" i="29" s="1"/>
  <c r="T23" i="29"/>
  <c r="S23" i="29"/>
  <c r="R23" i="29"/>
  <c r="Q23" i="29"/>
  <c r="Y22" i="29"/>
  <c r="N22" i="29" s="1"/>
  <c r="X22" i="29"/>
  <c r="X23" i="29" s="1"/>
  <c r="X24" i="29" s="1"/>
  <c r="X26" i="29" s="1"/>
  <c r="W22" i="29"/>
  <c r="X17" i="29"/>
  <c r="X18" i="29" s="1"/>
  <c r="V17" i="29"/>
  <c r="U17" i="29"/>
  <c r="T17" i="29"/>
  <c r="S17" i="29"/>
  <c r="R17" i="29"/>
  <c r="P17" i="29" s="1"/>
  <c r="Q17" i="29"/>
  <c r="P21" i="29"/>
  <c r="X16" i="29"/>
  <c r="W16" i="29"/>
  <c r="W17" i="29" s="1"/>
  <c r="W18" i="29" s="1"/>
  <c r="V16" i="29"/>
  <c r="Y16" i="29" s="1"/>
  <c r="N16" i="29" s="1"/>
  <c r="X11" i="29"/>
  <c r="V11" i="29"/>
  <c r="U11" i="29"/>
  <c r="T11" i="29"/>
  <c r="S11" i="29"/>
  <c r="R11" i="29"/>
  <c r="R12" i="29" s="1"/>
  <c r="Q12" i="29"/>
  <c r="Q11" i="29"/>
  <c r="P15" i="29"/>
  <c r="W10" i="29"/>
  <c r="W11" i="29" s="1"/>
  <c r="V10" i="29"/>
  <c r="Y10" i="29" s="1"/>
  <c r="N10" i="29" s="1"/>
  <c r="W5" i="29"/>
  <c r="W107" i="29" s="1"/>
  <c r="U5" i="29"/>
  <c r="U6" i="29" s="1"/>
  <c r="T5" i="29"/>
  <c r="T107" i="29" s="1"/>
  <c r="S5" i="29"/>
  <c r="R5" i="29"/>
  <c r="R107" i="29" s="1"/>
  <c r="Q5" i="29"/>
  <c r="Q6" i="29" s="1"/>
  <c r="X4" i="29"/>
  <c r="X5" i="29" s="1"/>
  <c r="V4" i="29"/>
  <c r="V5" i="29" s="1"/>
  <c r="U49" i="13"/>
  <c r="T49" i="13"/>
  <c r="Y49" i="13" s="1"/>
  <c r="O49" i="13" s="1"/>
  <c r="S48" i="13"/>
  <c r="R48" i="13"/>
  <c r="R53" i="13" s="1"/>
  <c r="Q48" i="13"/>
  <c r="Y48" i="13" s="1"/>
  <c r="O48" i="13" s="1"/>
  <c r="U45" i="13"/>
  <c r="T45" i="13"/>
  <c r="T53" i="13" s="1"/>
  <c r="S45" i="13"/>
  <c r="S53" i="13" s="1"/>
  <c r="W42" i="13"/>
  <c r="V42" i="13"/>
  <c r="Y42" i="13" s="1"/>
  <c r="N42" i="13" s="1"/>
  <c r="Y39" i="13"/>
  <c r="N39" i="13" s="1"/>
  <c r="X39" i="13"/>
  <c r="W39" i="13"/>
  <c r="V39" i="13"/>
  <c r="W36" i="13"/>
  <c r="V36" i="13"/>
  <c r="U36" i="13"/>
  <c r="Y36" i="13" s="1"/>
  <c r="N36" i="13" s="1"/>
  <c r="W33" i="13"/>
  <c r="V33" i="13"/>
  <c r="Y33" i="13" s="1"/>
  <c r="N33" i="13" s="1"/>
  <c r="X30" i="13"/>
  <c r="W30" i="13"/>
  <c r="Y30" i="13" s="1"/>
  <c r="N30" i="13" s="1"/>
  <c r="V30" i="13"/>
  <c r="Y27" i="13"/>
  <c r="N27" i="13" s="1"/>
  <c r="W27" i="13"/>
  <c r="V27" i="13"/>
  <c r="U27" i="13"/>
  <c r="Y25" i="13"/>
  <c r="N25" i="13" s="1"/>
  <c r="X25" i="13"/>
  <c r="W25" i="13"/>
  <c r="V25" i="13"/>
  <c r="W23" i="13"/>
  <c r="V23" i="13"/>
  <c r="Y23" i="13" s="1"/>
  <c r="N23" i="13" s="1"/>
  <c r="Y19" i="13"/>
  <c r="W19" i="13"/>
  <c r="V19" i="13"/>
  <c r="N19" i="13"/>
  <c r="Y15" i="13"/>
  <c r="N15" i="13" s="1"/>
  <c r="V15" i="13"/>
  <c r="U15" i="13"/>
  <c r="U53" i="13" s="1"/>
  <c r="X12" i="13"/>
  <c r="W12" i="13"/>
  <c r="Y12" i="13" s="1"/>
  <c r="N12" i="13" s="1"/>
  <c r="X10" i="13"/>
  <c r="W10" i="13"/>
  <c r="V10" i="13"/>
  <c r="Y10" i="13" s="1"/>
  <c r="N10" i="13" s="1"/>
  <c r="W8" i="13"/>
  <c r="W53" i="13" s="1"/>
  <c r="V8" i="13"/>
  <c r="Y8" i="13" s="1"/>
  <c r="N8" i="13" s="1"/>
  <c r="X4" i="13"/>
  <c r="X53" i="13" s="1"/>
  <c r="V4" i="13"/>
  <c r="V53" i="13" s="1"/>
  <c r="P13" i="29" l="1"/>
  <c r="S54" i="29"/>
  <c r="P55" i="29"/>
  <c r="X56" i="29" s="1"/>
  <c r="P67" i="29"/>
  <c r="T68" i="29" s="1"/>
  <c r="R109" i="29"/>
  <c r="X109" i="29"/>
  <c r="Q18" i="29"/>
  <c r="P19" i="29"/>
  <c r="P91" i="29"/>
  <c r="Q90" i="29"/>
  <c r="U84" i="29"/>
  <c r="P49" i="29"/>
  <c r="R6" i="29"/>
  <c r="R108" i="29" s="1"/>
  <c r="P39" i="29"/>
  <c r="W48" i="29"/>
  <c r="W50" i="29" s="1"/>
  <c r="P61" i="29"/>
  <c r="V31" i="29"/>
  <c r="V30" i="29" s="1"/>
  <c r="V32" i="29" s="1"/>
  <c r="P33" i="29"/>
  <c r="V78" i="29"/>
  <c r="T7" i="29"/>
  <c r="T111" i="29"/>
  <c r="P9" i="29"/>
  <c r="V66" i="29"/>
  <c r="S7" i="29"/>
  <c r="S6" i="29" s="1"/>
  <c r="S111" i="29"/>
  <c r="Q36" i="29"/>
  <c r="P43" i="29"/>
  <c r="X48" i="29"/>
  <c r="X50" i="29" s="1"/>
  <c r="P57" i="29"/>
  <c r="P63" i="29"/>
  <c r="X84" i="29"/>
  <c r="X86" i="29" s="1"/>
  <c r="U48" i="29"/>
  <c r="U50" i="29" s="1"/>
  <c r="W66" i="29"/>
  <c r="Q24" i="29"/>
  <c r="Q26" i="29" s="1"/>
  <c r="P26" i="29" s="1"/>
  <c r="W96" i="29"/>
  <c r="P27" i="29"/>
  <c r="Q25" i="29"/>
  <c r="P25" i="29" s="1"/>
  <c r="T18" i="29"/>
  <c r="T24" i="29"/>
  <c r="T26" i="29" s="1"/>
  <c r="T30" i="29"/>
  <c r="T32" i="29" s="1"/>
  <c r="S36" i="29"/>
  <c r="S38" i="29" s="1"/>
  <c r="P51" i="29"/>
  <c r="T90" i="29"/>
  <c r="U75" i="29"/>
  <c r="V12" i="29"/>
  <c r="P12" i="29" s="1"/>
  <c r="P14" i="29" s="1"/>
  <c r="S78" i="29"/>
  <c r="U90" i="29"/>
  <c r="Q111" i="29"/>
  <c r="V75" i="29"/>
  <c r="V73" i="29" s="1"/>
  <c r="V72" i="29" s="1"/>
  <c r="V87" i="29"/>
  <c r="W75" i="29"/>
  <c r="W73" i="29" s="1"/>
  <c r="W72" i="29" s="1"/>
  <c r="P81" i="29"/>
  <c r="Q79" i="29"/>
  <c r="P79" i="29" s="1"/>
  <c r="V80" i="29" s="1"/>
  <c r="S24" i="29"/>
  <c r="S26" i="29" s="1"/>
  <c r="R36" i="29"/>
  <c r="R38" i="29" s="1"/>
  <c r="S90" i="29"/>
  <c r="X111" i="29"/>
  <c r="X12" i="29"/>
  <c r="R48" i="29"/>
  <c r="R50" i="29" s="1"/>
  <c r="V18" i="29"/>
  <c r="S42" i="29"/>
  <c r="S44" i="29" s="1"/>
  <c r="T60" i="29"/>
  <c r="P93" i="29"/>
  <c r="X92" i="29" s="1"/>
  <c r="P99" i="29"/>
  <c r="R111" i="29"/>
  <c r="W24" i="29"/>
  <c r="W26" i="29" s="1"/>
  <c r="V54" i="29"/>
  <c r="U66" i="29"/>
  <c r="S72" i="29"/>
  <c r="R96" i="29"/>
  <c r="Q73" i="29"/>
  <c r="U30" i="29"/>
  <c r="U32" i="29" s="1"/>
  <c r="X30" i="29"/>
  <c r="X32" i="29" s="1"/>
  <c r="V36" i="29"/>
  <c r="V38" i="29" s="1"/>
  <c r="T42" i="29"/>
  <c r="T44" i="29" s="1"/>
  <c r="R60" i="29"/>
  <c r="X78" i="29"/>
  <c r="S102" i="29"/>
  <c r="W36" i="29"/>
  <c r="W38" i="29" s="1"/>
  <c r="V90" i="29"/>
  <c r="T102" i="29"/>
  <c r="T12" i="29"/>
  <c r="T48" i="29"/>
  <c r="T50" i="29" s="1"/>
  <c r="T54" i="29"/>
  <c r="V96" i="29"/>
  <c r="U102" i="29"/>
  <c r="P60" i="29"/>
  <c r="P62" i="29" s="1"/>
  <c r="V92" i="29"/>
  <c r="R92" i="29"/>
  <c r="U68" i="29"/>
  <c r="P29" i="29"/>
  <c r="Q96" i="29"/>
  <c r="V6" i="29"/>
  <c r="X107" i="29"/>
  <c r="X6" i="29"/>
  <c r="X108" i="29" s="1"/>
  <c r="W12" i="29"/>
  <c r="P11" i="29"/>
  <c r="Q38" i="29"/>
  <c r="Q32" i="29"/>
  <c r="U92" i="29"/>
  <c r="S104" i="29"/>
  <c r="W104" i="29"/>
  <c r="W20" i="29"/>
  <c r="P41" i="29"/>
  <c r="P35" i="29"/>
  <c r="S66" i="29"/>
  <c r="P66" i="29" s="1"/>
  <c r="S95" i="29"/>
  <c r="S96" i="29" s="1"/>
  <c r="T20" i="29"/>
  <c r="R30" i="29"/>
  <c r="R32" i="29" s="1"/>
  <c r="T80" i="29"/>
  <c r="Y4" i="29"/>
  <c r="Q48" i="29"/>
  <c r="P5" i="29"/>
  <c r="W6" i="29"/>
  <c r="Y28" i="29"/>
  <c r="N28" i="29" s="1"/>
  <c r="R54" i="29"/>
  <c r="P54" i="29" s="1"/>
  <c r="Y58" i="29"/>
  <c r="N58" i="29" s="1"/>
  <c r="Q78" i="29"/>
  <c r="P78" i="29" s="1"/>
  <c r="P80" i="29" s="1"/>
  <c r="R84" i="29"/>
  <c r="Y88" i="29"/>
  <c r="O88" i="29" s="1"/>
  <c r="T104" i="29"/>
  <c r="X104" i="29"/>
  <c r="R90" i="29"/>
  <c r="T14" i="29"/>
  <c r="X14" i="29"/>
  <c r="V47" i="29"/>
  <c r="V48" i="29" s="1"/>
  <c r="V50" i="29" s="1"/>
  <c r="P59" i="29"/>
  <c r="U71" i="29"/>
  <c r="Q80" i="29"/>
  <c r="U80" i="29"/>
  <c r="Q107" i="29"/>
  <c r="U107" i="29"/>
  <c r="X20" i="29"/>
  <c r="Q20" i="29"/>
  <c r="U20" i="29"/>
  <c r="Q44" i="29"/>
  <c r="Y52" i="29"/>
  <c r="N52" i="29" s="1"/>
  <c r="S92" i="29"/>
  <c r="W92" i="29"/>
  <c r="Q102" i="29"/>
  <c r="Q104" i="29"/>
  <c r="U104" i="29"/>
  <c r="Q14" i="29"/>
  <c r="U14" i="29"/>
  <c r="R18" i="29"/>
  <c r="P18" i="29" s="1"/>
  <c r="P20" i="29" s="1"/>
  <c r="P23" i="29"/>
  <c r="R42" i="29"/>
  <c r="R44" i="29" s="1"/>
  <c r="R80" i="29"/>
  <c r="X62" i="29"/>
  <c r="T92" i="29"/>
  <c r="R20" i="29"/>
  <c r="Y40" i="29"/>
  <c r="N40" i="29" s="1"/>
  <c r="R104" i="29"/>
  <c r="V14" i="29"/>
  <c r="T56" i="29"/>
  <c r="S80" i="29"/>
  <c r="V20" i="29"/>
  <c r="S20" i="29"/>
  <c r="Y4" i="13"/>
  <c r="Y45" i="13"/>
  <c r="O45" i="13" s="1"/>
  <c r="O53" i="13" s="1"/>
  <c r="Q53" i="13"/>
  <c r="Q56" i="29" l="1"/>
  <c r="V56" i="29"/>
  <c r="W56" i="29"/>
  <c r="R56" i="29"/>
  <c r="S56" i="29"/>
  <c r="P44" i="29"/>
  <c r="V68" i="29"/>
  <c r="P24" i="29"/>
  <c r="W108" i="29"/>
  <c r="Q109" i="29"/>
  <c r="V85" i="29"/>
  <c r="P87" i="29"/>
  <c r="Q92" i="29"/>
  <c r="X80" i="29"/>
  <c r="W80" i="29"/>
  <c r="Q72" i="29"/>
  <c r="Q108" i="29" s="1"/>
  <c r="W111" i="29"/>
  <c r="R68" i="29"/>
  <c r="P90" i="29"/>
  <c r="P92" i="29" s="1"/>
  <c r="W68" i="29"/>
  <c r="P36" i="29"/>
  <c r="S68" i="29"/>
  <c r="P31" i="29"/>
  <c r="U73" i="29"/>
  <c r="U109" i="29" s="1"/>
  <c r="U111" i="29"/>
  <c r="P111" i="29" s="1"/>
  <c r="P102" i="29"/>
  <c r="P104" i="29" s="1"/>
  <c r="P42" i="29"/>
  <c r="P38" i="29"/>
  <c r="Q68" i="29"/>
  <c r="W109" i="29"/>
  <c r="S109" i="29"/>
  <c r="P7" i="29"/>
  <c r="Q8" i="29" s="1"/>
  <c r="P75" i="29"/>
  <c r="V111" i="29"/>
  <c r="P56" i="29"/>
  <c r="T6" i="29"/>
  <c r="T108" i="29" s="1"/>
  <c r="T109" i="29"/>
  <c r="P32" i="29"/>
  <c r="V62" i="29"/>
  <c r="R62" i="29"/>
  <c r="S14" i="29"/>
  <c r="W14" i="29"/>
  <c r="V107" i="29"/>
  <c r="S108" i="29"/>
  <c r="P47" i="29"/>
  <c r="P95" i="29"/>
  <c r="T62" i="29"/>
  <c r="W8" i="29"/>
  <c r="R8" i="29"/>
  <c r="V8" i="29"/>
  <c r="U62" i="29"/>
  <c r="R14" i="29"/>
  <c r="P96" i="29"/>
  <c r="P98" i="29" s="1"/>
  <c r="W62" i="29"/>
  <c r="P48" i="29"/>
  <c r="Q50" i="29"/>
  <c r="P50" i="29" s="1"/>
  <c r="P71" i="29"/>
  <c r="Q62" i="29"/>
  <c r="S62" i="29"/>
  <c r="N4" i="29"/>
  <c r="N106" i="29" s="1"/>
  <c r="W106" i="29"/>
  <c r="U106" i="29"/>
  <c r="S106" i="29"/>
  <c r="Q106" i="29"/>
  <c r="Y106" i="29"/>
  <c r="O106" i="29"/>
  <c r="X106" i="29"/>
  <c r="V106" i="29"/>
  <c r="T106" i="29"/>
  <c r="R106" i="29"/>
  <c r="P30" i="29"/>
  <c r="S107" i="29"/>
  <c r="P107" i="29" s="1"/>
  <c r="Y53" i="13"/>
  <c r="N4" i="13"/>
  <c r="N53" i="13" s="1"/>
  <c r="P73" i="29" l="1"/>
  <c r="S74" i="29" s="1"/>
  <c r="U72" i="29"/>
  <c r="P6" i="29"/>
  <c r="P8" i="29" s="1"/>
  <c r="V84" i="29"/>
  <c r="P85" i="29"/>
  <c r="S8" i="29"/>
  <c r="X8" i="29"/>
  <c r="T8" i="29"/>
  <c r="U8" i="29"/>
  <c r="P68" i="29"/>
  <c r="V109" i="29"/>
  <c r="P109" i="29" s="1"/>
  <c r="V98" i="29"/>
  <c r="R98" i="29"/>
  <c r="S98" i="29"/>
  <c r="W98" i="29"/>
  <c r="Q98" i="29"/>
  <c r="T98" i="29"/>
  <c r="U98" i="29"/>
  <c r="X98" i="29"/>
  <c r="U74" i="29" l="1"/>
  <c r="U110" i="29" s="1"/>
  <c r="U108" i="29"/>
  <c r="P72" i="29"/>
  <c r="X74" i="29"/>
  <c r="X110" i="29" s="1"/>
  <c r="T74" i="29"/>
  <c r="Q74" i="29"/>
  <c r="V74" i="29"/>
  <c r="T86" i="29"/>
  <c r="R86" i="29"/>
  <c r="V86" i="29"/>
  <c r="S86" i="29"/>
  <c r="S110" i="29" s="1"/>
  <c r="Q86" i="29"/>
  <c r="P86" i="29" s="1"/>
  <c r="W86" i="29"/>
  <c r="U86" i="29"/>
  <c r="R74" i="29"/>
  <c r="P84" i="29"/>
  <c r="V108" i="29"/>
  <c r="W74" i="29"/>
  <c r="P74" i="29"/>
  <c r="P108" i="29" l="1"/>
  <c r="P110" i="29"/>
  <c r="V110" i="29"/>
  <c r="W110" i="29"/>
  <c r="Q110" i="29"/>
  <c r="T110" i="29"/>
  <c r="R110" i="29"/>
  <c r="AV31" i="25" l="1"/>
  <c r="AV32" i="25"/>
  <c r="AV33" i="25"/>
  <c r="AV34" i="25"/>
  <c r="AV35" i="25"/>
  <c r="AV36" i="25"/>
  <c r="AV37" i="25"/>
  <c r="AV5" i="25"/>
  <c r="AV6" i="25"/>
  <c r="AV7" i="25"/>
  <c r="AV8" i="25"/>
  <c r="AV9" i="25"/>
  <c r="AV10" i="25"/>
  <c r="AV11" i="25"/>
  <c r="AV12" i="25"/>
  <c r="AV13" i="25"/>
  <c r="AV14" i="25"/>
  <c r="AV15" i="25"/>
  <c r="AV16" i="25"/>
  <c r="AV17" i="25"/>
  <c r="AV18" i="25"/>
  <c r="AV19" i="25"/>
  <c r="AV20" i="25"/>
  <c r="AV21" i="25"/>
  <c r="AV22" i="25"/>
  <c r="AV23" i="25"/>
  <c r="AV24" i="25"/>
  <c r="AV25" i="25"/>
  <c r="AV26" i="25"/>
  <c r="AV27" i="25"/>
  <c r="AV28" i="25"/>
  <c r="AV29" i="25"/>
  <c r="AV30" i="25"/>
  <c r="AV38" i="25"/>
  <c r="AV4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FC50E7-099F-4464-A676-8C22C449F624}" keepAlive="1" name="ModelConnection_ExternalData_1" description="Data Model" type="5" refreshedVersion="8" minRefreshableVersion="5" saveData="1">
    <dbPr connection="Data Model Connection" command="DataQue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5E89F1C4-46CA-48DA-9C63-81096588D5FA}" name="Query - DataQuery" description="Connection to the 'DataQuery' query in the workbook." type="100" refreshedVersion="8" minRefreshableVersion="5" saveData="1">
    <extLst>
      <ext xmlns:x15="http://schemas.microsoft.com/office/spreadsheetml/2010/11/main" uri="{DE250136-89BD-433C-8126-D09CA5730AF9}">
        <x15:connection id="2a2046d2-cff1-4254-8788-b104cd6339ec"/>
      </ext>
    </extLst>
  </connection>
  <connection id="3" xr16:uid="{37644854-E007-4B09-A616-F707F1C79136}" keepAlive="1" name="Query - Dispatches" description="Connection to the 'Dispatches' query in the workbook." type="5" refreshedVersion="8" background="1" saveData="1">
    <dbPr connection="Provider=Microsoft.Mashup.OleDb.1;Data Source=$Workbook$;Location=Dispatches;Extended Properties=&quot;&quot;" command="SELECT * FROM [Dispatches]"/>
  </connection>
  <connection id="4" xr16:uid="{C0D3130B-EE12-4948-BE7F-3A93B26DF52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<sst xmlns="http://schemas.openxmlformats.org/spreadsheetml/2006/main" count="4413" uniqueCount="743">
  <si>
    <t>AGM0114</t>
  </si>
  <si>
    <t>AGM0014</t>
  </si>
  <si>
    <t>AgreementId</t>
  </si>
  <si>
    <t>AgreementCode</t>
  </si>
  <si>
    <t>AgreementName</t>
  </si>
  <si>
    <t>AGM0001</t>
  </si>
  <si>
    <t>TABLE GRAPES_EU</t>
  </si>
  <si>
    <t>AGM0002</t>
  </si>
  <si>
    <t>TABLE GRAPES_CHINA</t>
  </si>
  <si>
    <t>AGM0003</t>
  </si>
  <si>
    <t>TABLE GRAPES_ISRAEL</t>
  </si>
  <si>
    <t>AGM0004</t>
  </si>
  <si>
    <t>TABLE GRAPES_JAPAN</t>
  </si>
  <si>
    <t>AGM0005</t>
  </si>
  <si>
    <t>TABLE GRAPES_SOUTH KOREA</t>
  </si>
  <si>
    <t>AGM0006</t>
  </si>
  <si>
    <t>TABLE GRAPES_THAILAND</t>
  </si>
  <si>
    <t>AGM0007</t>
  </si>
  <si>
    <t>TABLE GRAPES_USA</t>
  </si>
  <si>
    <t>AGM0008</t>
  </si>
  <si>
    <t>GENERAL_SERBIA</t>
  </si>
  <si>
    <t>AGM0009</t>
  </si>
  <si>
    <t>GENERAL_AFGHANISTAN</t>
  </si>
  <si>
    <t>AGM0010</t>
  </si>
  <si>
    <t>GENERAL_MONTENEGRO</t>
  </si>
  <si>
    <t>AGM0011</t>
  </si>
  <si>
    <t>TABLE GRAPES_TAIWAN</t>
  </si>
  <si>
    <t>AGM0012</t>
  </si>
  <si>
    <t>GENERAL_PAKISTAN</t>
  </si>
  <si>
    <t>AGM0013</t>
  </si>
  <si>
    <t>GENERAL_ZIMBABWE</t>
  </si>
  <si>
    <t>CITRUS_EU</t>
  </si>
  <si>
    <t>AGM0015</t>
  </si>
  <si>
    <t>GENERAL_SIERRA LEONE</t>
  </si>
  <si>
    <t>AGM0016</t>
  </si>
  <si>
    <t>GENERAL_SRI LANKA</t>
  </si>
  <si>
    <t>AGM0017</t>
  </si>
  <si>
    <t>GENERAL_BOSNIA AND HERZEGOVINA</t>
  </si>
  <si>
    <t>AGM0018</t>
  </si>
  <si>
    <t>GENERAL_IRAN</t>
  </si>
  <si>
    <t>AGM0019</t>
  </si>
  <si>
    <t>GENERAL_NIGERIA</t>
  </si>
  <si>
    <t>AGM0020</t>
  </si>
  <si>
    <t>GENERAL_KENYA</t>
  </si>
  <si>
    <t>AGM0021</t>
  </si>
  <si>
    <t>GENERAL_EGYPT</t>
  </si>
  <si>
    <t>AGM0022</t>
  </si>
  <si>
    <t>GENERAL_SENEGAL</t>
  </si>
  <si>
    <t>AGM0023</t>
  </si>
  <si>
    <t>GENERAL_GHANA</t>
  </si>
  <si>
    <t>AGM0024</t>
  </si>
  <si>
    <t>GENERAL_ANGOLA</t>
  </si>
  <si>
    <t>AGM0025</t>
  </si>
  <si>
    <t>GENERAL_CÔTE D'IVOIRE</t>
  </si>
  <si>
    <t>AGM0026</t>
  </si>
  <si>
    <t>GENERAL_CAMEROON</t>
  </si>
  <si>
    <t>AGM0027</t>
  </si>
  <si>
    <t>GENERAL_TOGO</t>
  </si>
  <si>
    <t>AGM0028</t>
  </si>
  <si>
    <t>GENERAL_GABON</t>
  </si>
  <si>
    <t>AGM0029</t>
  </si>
  <si>
    <t>GENERAL_CONGO</t>
  </si>
  <si>
    <t>AGM0030</t>
  </si>
  <si>
    <t>GENERAL_DRC</t>
  </si>
  <si>
    <t>AGM0031</t>
  </si>
  <si>
    <t>GENERAL_DJIBOUTI</t>
  </si>
  <si>
    <t>AGM0032</t>
  </si>
  <si>
    <t>GENERAL_BURKINA FASO</t>
  </si>
  <si>
    <t>AGM0033</t>
  </si>
  <si>
    <t>GENERAL_BENIN</t>
  </si>
  <si>
    <t>AGM0034</t>
  </si>
  <si>
    <t>GENERAL_TANZANIA</t>
  </si>
  <si>
    <t>AGM0035</t>
  </si>
  <si>
    <t>GENERAL_MALDIVES</t>
  </si>
  <si>
    <t>AGM0036</t>
  </si>
  <si>
    <t>GENERAL_MAURITANIA</t>
  </si>
  <si>
    <t>AGM0037</t>
  </si>
  <si>
    <t>GENERAL_MALI</t>
  </si>
  <si>
    <t>AGM0040</t>
  </si>
  <si>
    <t>GENERAL_GAMBIA</t>
  </si>
  <si>
    <t>AGM0041</t>
  </si>
  <si>
    <t>GENERAL_SOMALIA</t>
  </si>
  <si>
    <t>AGM0042</t>
  </si>
  <si>
    <t>GENERAL_LIBERIA</t>
  </si>
  <si>
    <t>AGM0043</t>
  </si>
  <si>
    <t>GENERAL_GUINEA</t>
  </si>
  <si>
    <t>AGM0044</t>
  </si>
  <si>
    <t>GENERAL_GUINEA-BISSAU</t>
  </si>
  <si>
    <t>AGM0045</t>
  </si>
  <si>
    <t>GENERAL_NIGER</t>
  </si>
  <si>
    <t>AGM0046</t>
  </si>
  <si>
    <t>GENERAL_ZAMBIA</t>
  </si>
  <si>
    <t>AGM0047</t>
  </si>
  <si>
    <t>GENERAL_BOTSWANA</t>
  </si>
  <si>
    <t>AGM0048</t>
  </si>
  <si>
    <t>GENERAL_REUNION</t>
  </si>
  <si>
    <t>AGM0049</t>
  </si>
  <si>
    <t>GENERAL_MAYOTTE</t>
  </si>
  <si>
    <t>AGM0050</t>
  </si>
  <si>
    <t>GENERAL_NAMIBIA</t>
  </si>
  <si>
    <t>AGM0051</t>
  </si>
  <si>
    <t>GENERAL_MADAGASCAR</t>
  </si>
  <si>
    <t>AGM0052</t>
  </si>
  <si>
    <t>GENERAL_SEYSHELLES</t>
  </si>
  <si>
    <t>AGM0053</t>
  </si>
  <si>
    <t>GENERAL_MAURITIUS</t>
  </si>
  <si>
    <t>AGM0054</t>
  </si>
  <si>
    <t>GENERAL_COMOROS</t>
  </si>
  <si>
    <t>AGM0055</t>
  </si>
  <si>
    <t>GENERAL_MEXICO</t>
  </si>
  <si>
    <t>AGM0056</t>
  </si>
  <si>
    <t>GENERAL_ST HELENA</t>
  </si>
  <si>
    <t>AGM0057</t>
  </si>
  <si>
    <t>GENERAL_ALGERIA</t>
  </si>
  <si>
    <t>AGM0058</t>
  </si>
  <si>
    <t>TABLE GRAPES_MAURITIUS</t>
  </si>
  <si>
    <t>AGM0062</t>
  </si>
  <si>
    <t>GENERAL_UGANDA</t>
  </si>
  <si>
    <t>AGM0064</t>
  </si>
  <si>
    <t>GENERAL_MOLDOVA</t>
  </si>
  <si>
    <t>AGM0065</t>
  </si>
  <si>
    <t>CITRUS_CHINA</t>
  </si>
  <si>
    <t>AGM0066</t>
  </si>
  <si>
    <t>GENERAL_BAHRAIN</t>
  </si>
  <si>
    <t>AGM0067</t>
  </si>
  <si>
    <t>CITRUS_THAILAND</t>
  </si>
  <si>
    <t>AGM0068</t>
  </si>
  <si>
    <t>CITRUS_JAPAN</t>
  </si>
  <si>
    <t>AGM0069</t>
  </si>
  <si>
    <t>CITRUS_USA</t>
  </si>
  <si>
    <t>AGM0070</t>
  </si>
  <si>
    <t>CITRUS_SOUTH KOREA</t>
  </si>
  <si>
    <t>AGM0071</t>
  </si>
  <si>
    <t>GENERAL_INDONESIA</t>
  </si>
  <si>
    <t>AGM0072</t>
  </si>
  <si>
    <t>GENERAL_TAIWAN</t>
  </si>
  <si>
    <t>AGM0073</t>
  </si>
  <si>
    <t>GENERAL_BRAZIL</t>
  </si>
  <si>
    <t>AGM0074</t>
  </si>
  <si>
    <t>GENERAL_INDIA</t>
  </si>
  <si>
    <t>AGM0075</t>
  </si>
  <si>
    <t>GENERAL_THAILAND</t>
  </si>
  <si>
    <t>AGM0076</t>
  </si>
  <si>
    <t>APPLES_TAIWAN</t>
  </si>
  <si>
    <t>AGM0077</t>
  </si>
  <si>
    <t>GENERAL_SEYCHELLES</t>
  </si>
  <si>
    <t>AGM0078</t>
  </si>
  <si>
    <t>GENERAL_VIETNAM</t>
  </si>
  <si>
    <t>AGM0079</t>
  </si>
  <si>
    <t>GENERAL_SINGAPORE</t>
  </si>
  <si>
    <t>AGM0080</t>
  </si>
  <si>
    <t>GENERAL_BANGLADESH</t>
  </si>
  <si>
    <t>AGM0081</t>
  </si>
  <si>
    <t>GENERAL_CANADA</t>
  </si>
  <si>
    <t>AGM0082</t>
  </si>
  <si>
    <t>GENERAL_IRAQ</t>
  </si>
  <si>
    <t>AGM0083</t>
  </si>
  <si>
    <t>GENERAL_UZBEKISTAN</t>
  </si>
  <si>
    <t>AGM0084</t>
  </si>
  <si>
    <t>GENERAL_HONG KONG</t>
  </si>
  <si>
    <t>AGM0085</t>
  </si>
  <si>
    <t>GENERAL_MALAYSIA</t>
  </si>
  <si>
    <t>AGM0086</t>
  </si>
  <si>
    <t>GENERAL_UNITED KINGDOM</t>
  </si>
  <si>
    <t>AGM0087</t>
  </si>
  <si>
    <t>GENERAL_MYANMAR</t>
  </si>
  <si>
    <t>AGM0088</t>
  </si>
  <si>
    <t>GENERAL_SAINT HELENA</t>
  </si>
  <si>
    <t>AGM0089</t>
  </si>
  <si>
    <t>GENERAL_CHAD</t>
  </si>
  <si>
    <t>AGM0090</t>
  </si>
  <si>
    <t>GENERAL_BRUNEI</t>
  </si>
  <si>
    <t>AGM0091</t>
  </si>
  <si>
    <t>GENERAL_LEBANON</t>
  </si>
  <si>
    <t>AGM0092</t>
  </si>
  <si>
    <t>GENERAL_GEORGIA</t>
  </si>
  <si>
    <t>AGM0093</t>
  </si>
  <si>
    <t>GENERAL_AZERBAIJAN</t>
  </si>
  <si>
    <t>AGM0094</t>
  </si>
  <si>
    <t>GENERAL_BELARUS</t>
  </si>
  <si>
    <t>AGM0095</t>
  </si>
  <si>
    <t>GENERAL_MONGOLIA</t>
  </si>
  <si>
    <t>AGM0096</t>
  </si>
  <si>
    <t>GENERAL_LYBIA</t>
  </si>
  <si>
    <t>AGM0097</t>
  </si>
  <si>
    <t>GENERAL_SUDAN</t>
  </si>
  <si>
    <t>AGM0098</t>
  </si>
  <si>
    <t>GENERAL_KAZAKHSTAN</t>
  </si>
  <si>
    <t>AGM0099</t>
  </si>
  <si>
    <t>GENERAL_YEMEN</t>
  </si>
  <si>
    <t>AGM0100</t>
  </si>
  <si>
    <t>GENERAL_ROMANIA</t>
  </si>
  <si>
    <t>AGM0101</t>
  </si>
  <si>
    <t>GENERAL_MOROCCO</t>
  </si>
  <si>
    <t>AGM0102</t>
  </si>
  <si>
    <t>GENERAL_EU</t>
  </si>
  <si>
    <t>AGM0103</t>
  </si>
  <si>
    <t>GENERAL_IVORY COAST</t>
  </si>
  <si>
    <t>AGM0104</t>
  </si>
  <si>
    <t>CITRUS_SWITZERLAND</t>
  </si>
  <si>
    <t>AGM0105</t>
  </si>
  <si>
    <t>GENERAL_KUWAIT</t>
  </si>
  <si>
    <t>AGM0106</t>
  </si>
  <si>
    <t>GENERAL_SYRIAN ARAB REPUBLIC</t>
  </si>
  <si>
    <t>AGM0107</t>
  </si>
  <si>
    <t>GENERAL_ARMENIA</t>
  </si>
  <si>
    <t>AGM0109</t>
  </si>
  <si>
    <t>GENERAL_UKRAINE</t>
  </si>
  <si>
    <t>AGM0110</t>
  </si>
  <si>
    <t>CITRUS_CAMBODIA</t>
  </si>
  <si>
    <t>AGM0111</t>
  </si>
  <si>
    <t>CITRUS_NORWAY</t>
  </si>
  <si>
    <t>AGM0112</t>
  </si>
  <si>
    <t>GENERAL_JORDAN</t>
  </si>
  <si>
    <t>AGM0113</t>
  </si>
  <si>
    <t>GENERAL_UNITED ARAB EMIRATES</t>
  </si>
  <si>
    <t>GENERAL_ SAUDI ARABIA</t>
  </si>
  <si>
    <t>AGM0115</t>
  </si>
  <si>
    <t>GENERAL_QATAR</t>
  </si>
  <si>
    <t>AGM0116</t>
  </si>
  <si>
    <t>GENERAL_MALAWI</t>
  </si>
  <si>
    <t>AGM0117</t>
  </si>
  <si>
    <t>TEST</t>
  </si>
  <si>
    <t>AGM0118</t>
  </si>
  <si>
    <t>GENERAL_RUSSIA</t>
  </si>
  <si>
    <t>AGM0119</t>
  </si>
  <si>
    <t>GENERAL_CHINA</t>
  </si>
  <si>
    <t>AGM0120</t>
  </si>
  <si>
    <t>GENERAL_USA</t>
  </si>
  <si>
    <t>AGM0124</t>
  </si>
  <si>
    <t>GENERAL_OMAN</t>
  </si>
  <si>
    <t>AGM0125</t>
  </si>
  <si>
    <t>GENERAL_MOZAMBIQUE</t>
  </si>
  <si>
    <t>AGM0126</t>
  </si>
  <si>
    <t>GENERAL_KINGDOM OF ESWATINI</t>
  </si>
  <si>
    <t>AGM0127</t>
  </si>
  <si>
    <t>GENERAL_AUSTRALIA</t>
  </si>
  <si>
    <t>AGM0128</t>
  </si>
  <si>
    <t>GENERAL_EQUATORIAL GUINEA</t>
  </si>
  <si>
    <t>AGM0129</t>
  </si>
  <si>
    <t>GENERAL_ARGENTINA</t>
  </si>
  <si>
    <t>AGM0130</t>
  </si>
  <si>
    <t xml:space="preserve">GENERAL_SWITZERLAND </t>
  </si>
  <si>
    <t>AGM0131</t>
  </si>
  <si>
    <t>GENERAL_JAPAN</t>
  </si>
  <si>
    <t>AGM0132</t>
  </si>
  <si>
    <t>GENERAL_RWANDA</t>
  </si>
  <si>
    <t>AGM0133</t>
  </si>
  <si>
    <t>GENERAL_SOUTH KOREA</t>
  </si>
  <si>
    <t>AGM0134</t>
  </si>
  <si>
    <t>GENERAL_ETHIOPIA</t>
  </si>
  <si>
    <t>AGM0135</t>
  </si>
  <si>
    <t>GENERAL_LESOTHO</t>
  </si>
  <si>
    <t>AGM0136</t>
  </si>
  <si>
    <t>GENERAL_CHILE</t>
  </si>
  <si>
    <t>AGM0137</t>
  </si>
  <si>
    <t>GENERAL_TUNISIA</t>
  </si>
  <si>
    <t>AGM0138</t>
  </si>
  <si>
    <t>GENERAL_VENEZUELA</t>
  </si>
  <si>
    <t>AGM0139</t>
  </si>
  <si>
    <t>POME_CHINA</t>
  </si>
  <si>
    <t>AGM0140</t>
  </si>
  <si>
    <t>POME_MEXICO</t>
  </si>
  <si>
    <t>AGM0142</t>
  </si>
  <si>
    <t>GENERAL_NEW ZEALAND</t>
  </si>
  <si>
    <t>AGM0143</t>
  </si>
  <si>
    <t>GENERAL_TURKEY</t>
  </si>
  <si>
    <t>AGM0144</t>
  </si>
  <si>
    <t>GENERAL_ALBANIA</t>
  </si>
  <si>
    <t>AGM0145</t>
  </si>
  <si>
    <t>GENERAL_ISRAEL</t>
  </si>
  <si>
    <t>AGM0146</t>
  </si>
  <si>
    <t>GENERAL_PHILIPPINES</t>
  </si>
  <si>
    <t>AGM0147</t>
  </si>
  <si>
    <t>GENERAL_COLOMBIA</t>
  </si>
  <si>
    <t>AGM0150</t>
  </si>
  <si>
    <t>GENERAL_TRINIDAD AND TOBAGO</t>
  </si>
  <si>
    <t>AGM0151</t>
  </si>
  <si>
    <t>GENERAL_GUADELOUPE</t>
  </si>
  <si>
    <t>AGM0152</t>
  </si>
  <si>
    <t>AGM0153</t>
  </si>
  <si>
    <t>GENERAL_NORWAY</t>
  </si>
  <si>
    <t>AGM0154</t>
  </si>
  <si>
    <t>GENERAL_CAMBODIA</t>
  </si>
  <si>
    <t>AGM0155</t>
  </si>
  <si>
    <t>GENERAL_NORTH KOREA</t>
  </si>
  <si>
    <t>AGM0156</t>
  </si>
  <si>
    <t>GENERAL_COOK ISLANDS</t>
  </si>
  <si>
    <t>AGM0157</t>
  </si>
  <si>
    <t>GENERAL_PARAGUAY</t>
  </si>
  <si>
    <t>AGM0158</t>
  </si>
  <si>
    <t>GENERAL_URUGUAY</t>
  </si>
  <si>
    <t>AGM0161</t>
  </si>
  <si>
    <t>GENERAL_DEMOCRATIC REPUBLIC OF THE CONGO</t>
  </si>
  <si>
    <t>AGM0163</t>
  </si>
  <si>
    <t>GENERAL_DOMINICAN REPUBLIC</t>
  </si>
  <si>
    <t>AGM0164</t>
  </si>
  <si>
    <t>GENERAL_COSTA RICA</t>
  </si>
  <si>
    <t>AGM0165</t>
  </si>
  <si>
    <t>GENERAL_PERU</t>
  </si>
  <si>
    <t>AGM0166</t>
  </si>
  <si>
    <t>GENERAL_BARBADOS</t>
  </si>
  <si>
    <t>AGM0167</t>
  </si>
  <si>
    <t>GENERAL_SOUTH SUDAN</t>
  </si>
  <si>
    <t>AGM0168</t>
  </si>
  <si>
    <t>GENERAL_NEPAL</t>
  </si>
  <si>
    <t>AGM0169</t>
  </si>
  <si>
    <t>AGM0170</t>
  </si>
  <si>
    <t>GENERAL_HONDURAS</t>
  </si>
  <si>
    <t>AGM0171</t>
  </si>
  <si>
    <t>GENERAL_NICARAGUA</t>
  </si>
  <si>
    <t>AGM0173</t>
  </si>
  <si>
    <t>GENERAL_NEW CALEDONIA</t>
  </si>
  <si>
    <t>AGM0175</t>
  </si>
  <si>
    <t>GENERAL_ECUADOR</t>
  </si>
  <si>
    <t>AGM0179</t>
  </si>
  <si>
    <t>GENERAL_CUBA</t>
  </si>
  <si>
    <t>REC001</t>
  </si>
  <si>
    <t>RE-EXPORT</t>
  </si>
  <si>
    <t>REP001</t>
  </si>
  <si>
    <t>REPLACEMENT</t>
  </si>
  <si>
    <t>AGM0180</t>
  </si>
  <si>
    <t>GENERAL_ICELAND</t>
  </si>
  <si>
    <t>AGM0181</t>
  </si>
  <si>
    <t>GENERAL_NORTH MACEDONIA</t>
  </si>
  <si>
    <t>AGM0182</t>
  </si>
  <si>
    <t>CITRUS_PHILIPPINES</t>
  </si>
  <si>
    <t>AGM0183</t>
  </si>
  <si>
    <t>GENERAL_GIBRALTAR</t>
  </si>
  <si>
    <t>AGM0184</t>
  </si>
  <si>
    <t>GENERAL_CENTRAL AFRICAN REPUBLIC</t>
  </si>
  <si>
    <t>AGM0185</t>
  </si>
  <si>
    <t>GENERAL_KYRGYZSTAN</t>
  </si>
  <si>
    <t>AGM0188</t>
  </si>
  <si>
    <t>GENERAL_ANTARCTICA</t>
  </si>
  <si>
    <t>AGM0189</t>
  </si>
  <si>
    <t>GENERAL_HAITI</t>
  </si>
  <si>
    <t>AGM0190</t>
  </si>
  <si>
    <t>LITCHIS_USA</t>
  </si>
  <si>
    <t>AGM0191</t>
  </si>
  <si>
    <t>AGM0193</t>
  </si>
  <si>
    <t>GENERAL_TURKS AND CAICOS ISLANDS</t>
  </si>
  <si>
    <t>AGM0197</t>
  </si>
  <si>
    <t>GENERAL_MONACO</t>
  </si>
  <si>
    <t>AGM0198</t>
  </si>
  <si>
    <t>AGM0200</t>
  </si>
  <si>
    <t>GENERAL_TIMOR-LESTE</t>
  </si>
  <si>
    <t>AGM0202</t>
  </si>
  <si>
    <t>GENERAL_JAMAICA</t>
  </si>
  <si>
    <t>AGM0203</t>
  </si>
  <si>
    <t>GENERAL_PANAMA</t>
  </si>
  <si>
    <t>AGM0204</t>
  </si>
  <si>
    <t>GENERAL_SAINT LUCIA</t>
  </si>
  <si>
    <t>AGM0205</t>
  </si>
  <si>
    <t>STONEFRUIT_EU</t>
  </si>
  <si>
    <t>AGM0206</t>
  </si>
  <si>
    <t>GENERAL_GUATEMALA</t>
  </si>
  <si>
    <t>AGM0207</t>
  </si>
  <si>
    <t>GENERAL_LAO PEOPLE'S DEMOCRATIC REPUBLIC</t>
  </si>
  <si>
    <t>GENERAL_BURUNDI</t>
  </si>
  <si>
    <t>PACK</t>
  </si>
  <si>
    <t>CONS_NO</t>
  </si>
  <si>
    <t>ORGZN</t>
  </si>
  <si>
    <t>VARIETY</t>
  </si>
  <si>
    <t>GRADE</t>
  </si>
  <si>
    <t>MARK</t>
  </si>
  <si>
    <t>SIZE_COUNT</t>
  </si>
  <si>
    <t>INV_CODE</t>
  </si>
  <si>
    <t>TARG_MKT</t>
  </si>
  <si>
    <t>BATCH_NO</t>
  </si>
  <si>
    <t>TARGET_COUNTRY</t>
  </si>
  <si>
    <t>TARGET_REGION</t>
  </si>
  <si>
    <t>PALLET_ID</t>
  </si>
  <si>
    <t>FARM</t>
  </si>
  <si>
    <t>NAME</t>
  </si>
  <si>
    <t>ORG</t>
  </si>
  <si>
    <t>VAR</t>
  </si>
  <si>
    <t>TM</t>
  </si>
  <si>
    <t>GR</t>
  </si>
  <si>
    <t>BRAND</t>
  </si>
  <si>
    <t>INV</t>
  </si>
  <si>
    <t>REGION CODE</t>
  </si>
  <si>
    <t>COUNTRY CODE</t>
  </si>
  <si>
    <t>DEPOT</t>
  </si>
  <si>
    <t>STACK</t>
  </si>
  <si>
    <t xml:space="preserve">HIGH </t>
  </si>
  <si>
    <t>STD</t>
  </si>
  <si>
    <t>BATCH NR</t>
  </si>
  <si>
    <t>TOTAL</t>
  </si>
  <si>
    <t>ZESTFRUIT</t>
  </si>
  <si>
    <t>ZF</t>
  </si>
  <si>
    <t>A15C</t>
  </si>
  <si>
    <t>FPT DUR</t>
  </si>
  <si>
    <t>H</t>
  </si>
  <si>
    <t>MAHEL</t>
  </si>
  <si>
    <t>RUSSIA</t>
  </si>
  <si>
    <t>ZL</t>
  </si>
  <si>
    <t>RU</t>
  </si>
  <si>
    <t>RUS</t>
  </si>
  <si>
    <t>S</t>
  </si>
  <si>
    <t>SA</t>
  </si>
  <si>
    <t>MEA</t>
  </si>
  <si>
    <t>PICK_REF</t>
  </si>
  <si>
    <t>VARIETY_GROUP</t>
  </si>
  <si>
    <t>COMMENTS</t>
  </si>
  <si>
    <t>TERM</t>
  </si>
  <si>
    <t>FOB</t>
  </si>
  <si>
    <t>GRAND TOTAL</t>
  </si>
  <si>
    <t>All</t>
  </si>
  <si>
    <t>DISPATCH_MATCH</t>
  </si>
  <si>
    <t>REASON</t>
  </si>
  <si>
    <t>MALA</t>
  </si>
  <si>
    <t>RG</t>
  </si>
  <si>
    <t>Pallets Needed</t>
  </si>
  <si>
    <t>Pallets Outstanding</t>
  </si>
  <si>
    <t>Pallets in Stock</t>
  </si>
  <si>
    <t>Pallets Overpacked</t>
  </si>
  <si>
    <t>Pallets Dispatched</t>
  </si>
  <si>
    <t>STILL NEED</t>
  </si>
  <si>
    <t>E15D</t>
  </si>
  <si>
    <t>*</t>
  </si>
  <si>
    <t>LEM</t>
  </si>
  <si>
    <t>DZLW8</t>
  </si>
  <si>
    <t>ZLW8</t>
  </si>
  <si>
    <t>S0</t>
  </si>
  <si>
    <t>TFCW8</t>
  </si>
  <si>
    <t>DTFCW8</t>
  </si>
  <si>
    <t>ME</t>
  </si>
  <si>
    <t>P</t>
  </si>
  <si>
    <t>AE</t>
  </si>
  <si>
    <t>RC</t>
  </si>
  <si>
    <t>Z6</t>
  </si>
  <si>
    <t>AL</t>
  </si>
  <si>
    <t>UKI</t>
  </si>
  <si>
    <t>GB</t>
  </si>
  <si>
    <t>Z6W8</t>
  </si>
  <si>
    <t>GL</t>
  </si>
  <si>
    <t>DZ6W8</t>
  </si>
  <si>
    <t>SG</t>
  </si>
  <si>
    <t>SEA</t>
  </si>
  <si>
    <t>HK</t>
  </si>
  <si>
    <t>VDW8</t>
  </si>
  <si>
    <t>MARKET</t>
  </si>
  <si>
    <t>SINGAPORE</t>
  </si>
  <si>
    <t>CCSEPP</t>
  </si>
  <si>
    <t>CSSEPP</t>
  </si>
  <si>
    <t>HONG KONG</t>
  </si>
  <si>
    <t>SKUTWATER</t>
  </si>
  <si>
    <t>BOERDERY</t>
  </si>
  <si>
    <t>MALAYSIA</t>
  </si>
  <si>
    <t>MY</t>
  </si>
  <si>
    <t>KT</t>
  </si>
  <si>
    <t>UK</t>
  </si>
  <si>
    <t>Z6PFW8</t>
  </si>
  <si>
    <t>EUROPE</t>
  </si>
  <si>
    <t>EU</t>
  </si>
  <si>
    <t>EUN</t>
  </si>
  <si>
    <t>NL</t>
  </si>
  <si>
    <t>HILW8</t>
  </si>
  <si>
    <t>MIDDLE EAST</t>
  </si>
  <si>
    <t>RM</t>
  </si>
  <si>
    <t>MAURITIUS</t>
  </si>
  <si>
    <t>MU</t>
  </si>
  <si>
    <t>IOI</t>
  </si>
  <si>
    <t>FPTDUR</t>
  </si>
  <si>
    <t>ALFW8</t>
  </si>
  <si>
    <t>Utiwerk</t>
  </si>
  <si>
    <t>Veranderlikes is Batch en Pack</t>
  </si>
  <si>
    <t>If 0 then check veranderlikes</t>
  </si>
  <si>
    <t xml:space="preserve">if batch D then count together from one above </t>
  </si>
  <si>
    <t>counts bly dieselfde</t>
  </si>
  <si>
    <t>if pack then where star put count</t>
  </si>
  <si>
    <t>DEL/GSV/VAL</t>
  </si>
  <si>
    <t>LN</t>
  </si>
  <si>
    <t>ZLW33</t>
  </si>
  <si>
    <t>J50B Small 60-55, Medium 50-45, Large 40-35</t>
  </si>
  <si>
    <t>GF 23/27 en 32/35</t>
  </si>
  <si>
    <t>DEPOT (PALTRACK CODE)</t>
  </si>
  <si>
    <t>Z0</t>
  </si>
  <si>
    <t>1</t>
  </si>
  <si>
    <t/>
  </si>
  <si>
    <t>328ICE</t>
  </si>
  <si>
    <t>EXW</t>
  </si>
  <si>
    <t>PACKHOUSE</t>
  </si>
  <si>
    <t>CATO</t>
  </si>
  <si>
    <t>MAHELA BDY</t>
  </si>
  <si>
    <t>BANGLADESH</t>
  </si>
  <si>
    <t>BD</t>
  </si>
  <si>
    <t>ASA</t>
  </si>
  <si>
    <t>WHITE WRAPPER ALTERNATE DIAGONAL ROWS IN TOP</t>
  </si>
  <si>
    <t>ZEST WRAPPER ALTERNATE DIAGONAL ROWS IN TOP</t>
  </si>
  <si>
    <t>LAYER ONLY, PACK ORCHARD RUN</t>
  </si>
  <si>
    <t>INDIA</t>
  </si>
  <si>
    <t>IN</t>
  </si>
  <si>
    <t>MAKUL</t>
  </si>
  <si>
    <t>FP</t>
  </si>
  <si>
    <t>Kindly note that in accordance with the latest SOP we require MRL test results per PUC.</t>
  </si>
  <si>
    <t xml:space="preserve">Kindly ensure that samples of all commodities from relevant PUC’s are submitted for testing. </t>
  </si>
  <si>
    <t xml:space="preserve">*Notes: </t>
  </si>
  <si>
    <t>*Zest Fruit acts as an agent on behalf of our suppliers</t>
  </si>
  <si>
    <t>*Zest Fruit will do it's best to optimize the return for the carton and manage the risk associated with the deal</t>
  </si>
  <si>
    <t>*Zest Fruit cannot be held responsible for "force majeure" incidents where Zest Fruit has no influence over events outside their control.</t>
  </si>
  <si>
    <t>*The risk remains with the carton</t>
  </si>
  <si>
    <t>(D10D)</t>
  </si>
  <si>
    <t>36(45)</t>
  </si>
  <si>
    <t>40(50)</t>
  </si>
  <si>
    <t>48(55)</t>
  </si>
  <si>
    <t>56(60)</t>
  </si>
  <si>
    <t>VAL</t>
  </si>
  <si>
    <t>TFCW38</t>
  </si>
  <si>
    <r>
      <t xml:space="preserve">WHITE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</si>
  <si>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t>MALAYSIA CARTON LABEL</t>
  </si>
  <si>
    <t>PR</t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</si>
  <si>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AS ORDERED</t>
    </r>
  </si>
  <si>
    <t>GY</t>
  </si>
  <si>
    <r>
      <rPr>
        <sz val="12"/>
        <color theme="1"/>
        <rFont val="Calibri"/>
        <family val="2"/>
        <scheme val="minor"/>
      </rPr>
      <t xml:space="preserve">*ON INDIA CARTON LABELS-CHOOSE ONLY </t>
    </r>
    <r>
      <rPr>
        <b/>
        <sz val="12"/>
        <color theme="1"/>
        <rFont val="Calibri"/>
        <family val="2"/>
        <scheme val="minor"/>
      </rPr>
      <t>TREATED WITH WAX</t>
    </r>
  </si>
  <si>
    <r>
      <t xml:space="preserve">ZEST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</si>
  <si>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r>
      <t>LAYER ONLY,</t>
    </r>
    <r>
      <rPr>
        <sz val="12"/>
        <color theme="1"/>
        <rFont val="Calibri"/>
        <family val="2"/>
        <scheme val="minor"/>
      </rPr>
      <t xml:space="preserve">  PACK ORCHARD RUN</t>
    </r>
  </si>
  <si>
    <r>
      <t>LAYER ONLY,</t>
    </r>
    <r>
      <rPr>
        <sz val="12"/>
        <color theme="1"/>
        <rFont val="Calibri"/>
        <family val="2"/>
        <scheme val="minor"/>
      </rPr>
      <t xml:space="preserve">  PACK 72-88 ORCHARD RUN, 105 AS ORDERED</t>
    </r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</si>
  <si>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>, RUSSIA CARTON LABEL</t>
    </r>
  </si>
  <si>
    <t>PACK 60 PLTS CNT 36-64 ORCHARD RUN</t>
  </si>
  <si>
    <t>LAYER ONLY, INDIA STICKER, PACK AS ORDERED</t>
  </si>
  <si>
    <t>*ON INDIA CARTON LABELS-CHOOSE ONLY TREATED WITH WAX</t>
  </si>
  <si>
    <t>LAYER ONLY,  PACK ORCHARD RUN</t>
  </si>
  <si>
    <t>LAYER ONLY,  PACK 72-88 ORCHARD RUN, 105 AS ORDERED</t>
  </si>
  <si>
    <t>LAYER ONLY, RUSSIA CARTON LABEL</t>
  </si>
  <si>
    <t>ON</t>
  </si>
  <si>
    <t>56</t>
  </si>
  <si>
    <t>D0991</t>
  </si>
  <si>
    <t>64</t>
  </si>
  <si>
    <t>72</t>
  </si>
  <si>
    <t>88</t>
  </si>
  <si>
    <t>105</t>
  </si>
  <si>
    <t>50</t>
  </si>
  <si>
    <t>45</t>
  </si>
  <si>
    <t>X5</t>
  </si>
  <si>
    <t>ZLW39</t>
  </si>
  <si>
    <t>Last Updated: 18/09/2026 17:22:46</t>
  </si>
  <si>
    <t>Last Sent: 18/09/2026 17:22:53</t>
  </si>
  <si>
    <t>MAHELA OHRIGSTAD ORANGE PACKING PLAN WEEK 39_2026</t>
  </si>
  <si>
    <r>
      <t>LAYER ONLY</t>
    </r>
    <r>
      <rPr>
        <sz val="12"/>
        <color theme="1"/>
        <rFont val="Calibri"/>
        <family val="2"/>
        <scheme val="minor"/>
      </rPr>
      <t xml:space="preserve">, PACK </t>
    </r>
    <r>
      <rPr>
        <i/>
        <sz val="12"/>
        <color theme="1"/>
        <rFont val="Calibri"/>
        <family val="2"/>
        <scheme val="minor"/>
      </rPr>
      <t>ORCHARD RUN</t>
    </r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</si>
  <si>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ORCHARD RUN</t>
    </r>
  </si>
  <si>
    <t>SRI LANKA</t>
  </si>
  <si>
    <t>LK</t>
  </si>
  <si>
    <t>TFCW39</t>
  </si>
  <si>
    <r>
      <t>LAYER ONLY</t>
    </r>
    <r>
      <rPr>
        <sz val="12"/>
        <color theme="1"/>
        <rFont val="Calibri"/>
        <family val="2"/>
        <scheme val="minor"/>
      </rPr>
      <t>, PACK AS ORDERED</t>
    </r>
  </si>
  <si>
    <t>INDONESIA</t>
  </si>
  <si>
    <t>ID</t>
  </si>
  <si>
    <t>HA</t>
  </si>
  <si>
    <t>** PPECB Q215 FORM SUBMIT</t>
  </si>
  <si>
    <t>INDONESIA CARTON LABEL</t>
  </si>
  <si>
    <t>AR</t>
  </si>
  <si>
    <t>DB</t>
  </si>
  <si>
    <t>VDW39</t>
  </si>
  <si>
    <r>
      <t>LAYER ONLY,</t>
    </r>
    <r>
      <rPr>
        <sz val="12"/>
        <color theme="1"/>
        <rFont val="Calibri"/>
        <family val="2"/>
        <scheme val="minor"/>
      </rPr>
      <t xml:space="preserve">  PACK 64 AS ORDERED, 72-88 ORCHARD RUN</t>
    </r>
  </si>
  <si>
    <t>X5 = NO WRAPPING</t>
  </si>
  <si>
    <t>(Vrydag middag week 38 gegee)</t>
  </si>
  <si>
    <t>RUSSIA CARTON LABEL, PACK ORCHARD RUN</t>
  </si>
  <si>
    <t>ZF/MAHEL/MALA/MAKUL</t>
  </si>
  <si>
    <t>LAYER ONLY, INDIA STICKER, PACK ORCHARD RUN</t>
  </si>
  <si>
    <t>LAYER ONLY, PACK AS ORDERED</t>
  </si>
  <si>
    <t>LAYER ONLY,  PACK 64 AS ORDERED, 72-88 ORCHARD RUN</t>
  </si>
  <si>
    <t>9103</t>
  </si>
  <si>
    <t>IC63601349</t>
  </si>
  <si>
    <t>060099004626840444</t>
  </si>
  <si>
    <t>060099004626840451</t>
  </si>
  <si>
    <t>060099004626840468</t>
  </si>
  <si>
    <t>IC63601355</t>
  </si>
  <si>
    <t>060099004626840475</t>
  </si>
  <si>
    <t>060099004626840482</t>
  </si>
  <si>
    <t>060099004626840512</t>
  </si>
  <si>
    <t>060099004626840536</t>
  </si>
  <si>
    <t>060099004626840543</t>
  </si>
  <si>
    <t>060099004626840604</t>
  </si>
  <si>
    <t>IC63601356</t>
  </si>
  <si>
    <t>060099004626840611</t>
  </si>
  <si>
    <t>060099004626840628</t>
  </si>
  <si>
    <t>060099004626840635</t>
  </si>
  <si>
    <t>060099004626840703</t>
  </si>
  <si>
    <t>060099004626840710</t>
  </si>
  <si>
    <t>060099004626840727</t>
  </si>
  <si>
    <t>060099004626840734</t>
  </si>
  <si>
    <t>060099004626840741</t>
  </si>
  <si>
    <t>060099004626840758</t>
  </si>
  <si>
    <t>060099004626840765</t>
  </si>
  <si>
    <t>060099004626840802</t>
  </si>
  <si>
    <t>060099004626840819</t>
  </si>
  <si>
    <t>060099004626840826</t>
  </si>
  <si>
    <t>060099004626840864</t>
  </si>
  <si>
    <t>D6631</t>
  </si>
  <si>
    <t>060099004626840871</t>
  </si>
  <si>
    <t>IC63601361</t>
  </si>
  <si>
    <t>060099004626840918</t>
  </si>
  <si>
    <t>060099004626840925</t>
  </si>
  <si>
    <t>060099004626840932</t>
  </si>
  <si>
    <t>060099004626840949</t>
  </si>
  <si>
    <t>060099004626840956</t>
  </si>
  <si>
    <t>060099004626840963</t>
  </si>
  <si>
    <t>060099004626840994</t>
  </si>
  <si>
    <t>060099004626841007</t>
  </si>
  <si>
    <t>060099004626841014</t>
  </si>
  <si>
    <t>060099004626841045</t>
  </si>
  <si>
    <t>060099004626841205</t>
  </si>
  <si>
    <t>060099004626841212</t>
  </si>
  <si>
    <t>IC63601357</t>
  </si>
  <si>
    <t>060099004626841274</t>
  </si>
  <si>
    <t>IC63601364</t>
  </si>
  <si>
    <t>060099004626841281</t>
  </si>
  <si>
    <t>060099004626841298</t>
  </si>
  <si>
    <t>060099004626841304</t>
  </si>
  <si>
    <t>060099004626841311</t>
  </si>
  <si>
    <t>060099004626841328</t>
  </si>
  <si>
    <t>060099004626841472</t>
  </si>
  <si>
    <t>060099004626841489</t>
  </si>
  <si>
    <t>060099004626841496</t>
  </si>
  <si>
    <t>060099004626841502</t>
  </si>
  <si>
    <t>060099004626841519</t>
  </si>
  <si>
    <t>IC63601365</t>
  </si>
  <si>
    <t>060099004626841540</t>
  </si>
  <si>
    <t>060099004626841557</t>
  </si>
  <si>
    <t>060099004626841564</t>
  </si>
  <si>
    <t>060099004626841601</t>
  </si>
  <si>
    <t>060099004626841625</t>
  </si>
  <si>
    <t>060099004626841649</t>
  </si>
  <si>
    <t>060099004626841656</t>
  </si>
  <si>
    <t>9203</t>
  </si>
  <si>
    <t>060099004626841663</t>
  </si>
  <si>
    <t>060099004626841670</t>
  </si>
  <si>
    <t>060099004626841731</t>
  </si>
  <si>
    <t>060099004626841748</t>
  </si>
  <si>
    <t>060099004626841755</t>
  </si>
  <si>
    <t>060099004626841762</t>
  </si>
  <si>
    <t>060099004626841793</t>
  </si>
  <si>
    <t>060099004626841809</t>
  </si>
  <si>
    <t>060099004626841823</t>
  </si>
  <si>
    <t>060099004626841830</t>
  </si>
  <si>
    <t>060099004626841847</t>
  </si>
  <si>
    <t>060099004626841991</t>
  </si>
  <si>
    <t>060099004626842004</t>
  </si>
  <si>
    <t>060099004626842011</t>
  </si>
  <si>
    <t>060099004626842028</t>
  </si>
  <si>
    <t>060099004626842035</t>
  </si>
  <si>
    <t>060099004626842042</t>
  </si>
  <si>
    <t>060099004626842059</t>
  </si>
  <si>
    <t>060099004626842066</t>
  </si>
  <si>
    <t>IC63601353</t>
  </si>
  <si>
    <t>060099004626840833</t>
  </si>
  <si>
    <t>060099004626840888</t>
  </si>
  <si>
    <t>IC63601362</t>
  </si>
  <si>
    <t>060099004626840970</t>
  </si>
  <si>
    <t>060099004626841021</t>
  </si>
  <si>
    <t>060099004626841038</t>
  </si>
  <si>
    <t>060099004626841199</t>
  </si>
  <si>
    <t>IC63601363</t>
  </si>
  <si>
    <t>060099004626841465</t>
  </si>
  <si>
    <t>060099004626841571</t>
  </si>
  <si>
    <t>060099004626841632</t>
  </si>
  <si>
    <t>060099004626841687</t>
  </si>
  <si>
    <t>060099004626841779</t>
  </si>
  <si>
    <t>060099004626841786</t>
  </si>
  <si>
    <t>060099004626841816</t>
  </si>
  <si>
    <t>060099004626841960</t>
  </si>
  <si>
    <t>060099004626841977</t>
  </si>
  <si>
    <t>060099004626841984</t>
  </si>
  <si>
    <t>IC63601367</t>
  </si>
  <si>
    <t>060099004626840567</t>
  </si>
  <si>
    <t>060099004626841724</t>
  </si>
  <si>
    <t>060099004626841922</t>
  </si>
  <si>
    <t>IC63601352</t>
  </si>
  <si>
    <t>060099004626840406</t>
  </si>
  <si>
    <t>060099004626840413</t>
  </si>
  <si>
    <t>060099004626840420</t>
  </si>
  <si>
    <t>48</t>
  </si>
  <si>
    <t>060099004626840437</t>
  </si>
  <si>
    <t>060099004626840499</t>
  </si>
  <si>
    <t>IC63601360</t>
  </si>
  <si>
    <t>060099004626840505</t>
  </si>
  <si>
    <t>060099004626840550</t>
  </si>
  <si>
    <t>IC63601351</t>
  </si>
  <si>
    <t>060099004626840574</t>
  </si>
  <si>
    <t>R213</t>
  </si>
  <si>
    <t>060099004626840581</t>
  </si>
  <si>
    <t>060099004626840598</t>
  </si>
  <si>
    <t>IC63601368</t>
  </si>
  <si>
    <t>060099004626840642</t>
  </si>
  <si>
    <t>060099004626840659</t>
  </si>
  <si>
    <t>060099004626840666</t>
  </si>
  <si>
    <t>060099004626840673</t>
  </si>
  <si>
    <t>060099004626840680</t>
  </si>
  <si>
    <t>060099004626840697</t>
  </si>
  <si>
    <t>IC63601370</t>
  </si>
  <si>
    <t>060099004626840772</t>
  </si>
  <si>
    <t>IC63601358</t>
  </si>
  <si>
    <t>060099004626840796</t>
  </si>
  <si>
    <t>IC63601369</t>
  </si>
  <si>
    <t>060099004626840857</t>
  </si>
  <si>
    <t>060099004626840895</t>
  </si>
  <si>
    <t>060099004626840901</t>
  </si>
  <si>
    <t>060099004626840987</t>
  </si>
  <si>
    <t>060099004626841052</t>
  </si>
  <si>
    <t>060099004626841069</t>
  </si>
  <si>
    <t>060099004626841076</t>
  </si>
  <si>
    <t>060099004626841083</t>
  </si>
  <si>
    <t>060099004626841090</t>
  </si>
  <si>
    <t>060099004626841106</t>
  </si>
  <si>
    <t>060099004626841113</t>
  </si>
  <si>
    <t>060099004626841120</t>
  </si>
  <si>
    <t>060099004626841182</t>
  </si>
  <si>
    <t>060099004626841229</t>
  </si>
  <si>
    <t>060099004626841250</t>
  </si>
  <si>
    <t>060099004626841267</t>
  </si>
  <si>
    <t>060099004626841335</t>
  </si>
  <si>
    <t>060099004626841342</t>
  </si>
  <si>
    <t>060099004626841359</t>
  </si>
  <si>
    <t>IC63601366</t>
  </si>
  <si>
    <t>060099004626841366</t>
  </si>
  <si>
    <t>060099004626841373</t>
  </si>
  <si>
    <t>060099004626841380</t>
  </si>
  <si>
    <t>060099004626841397</t>
  </si>
  <si>
    <t>060099004626841403</t>
  </si>
  <si>
    <t>060099004626841410</t>
  </si>
  <si>
    <t>060099004626841427</t>
  </si>
  <si>
    <t>060099004626841434</t>
  </si>
  <si>
    <t>060099004626841441</t>
  </si>
  <si>
    <t>060099004626841458</t>
  </si>
  <si>
    <t>060099004626841526</t>
  </si>
  <si>
    <t>060099004626841533</t>
  </si>
  <si>
    <t>060099004626841588</t>
  </si>
  <si>
    <t>060099004626841595</t>
  </si>
  <si>
    <t>060099004626841618</t>
  </si>
  <si>
    <t>060099004626841694</t>
  </si>
  <si>
    <t>060099004626841700</t>
  </si>
  <si>
    <t>060099004626841717</t>
  </si>
  <si>
    <t>060099004626841854</t>
  </si>
  <si>
    <t>060099004626841861</t>
  </si>
  <si>
    <t>060099004626841878</t>
  </si>
  <si>
    <t>060099004626841885</t>
  </si>
  <si>
    <t>060099004626841892</t>
  </si>
  <si>
    <t>060099004626841908</t>
  </si>
  <si>
    <t>060099004626841915</t>
  </si>
  <si>
    <t>060099004626841939</t>
  </si>
  <si>
    <t>060099004626841946</t>
  </si>
  <si>
    <t>060099004626841953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</si>
</sst>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b/>
      <u/>
      <sz val="10"/>
      <name val="Calibri"/>
      <family val="2"/>
      <scheme val="minor"/>
    </font>
    <font>
      <sz val="8"/>
      <name val="Calibri"/>
      <family val="2"/>
      <scheme val="minor"/>
    </font>
    <font>
      <sz val="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name val="Calibri"/>
      <family val="2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A5AFC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46AA64"/>
        <bgColor indexed="64"/>
      </patternFill>
    </fill>
    <fill>
      <patternFill patternType="solid">
        <fgColor theme="7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</borders>
  <cellStyleXfs count="5">
    <xf numFmtId="0" fontId="0" fillId="0" borderId="0"/>
    <xf numFmtId="0" fontId="2" fillId="0" borderId="0"/>
    <xf numFmtId="0" fontId="1" fillId="0" borderId="0"/>
    <xf numFmtId="0" fontId="3" fillId="0" borderId="0">
      <alignment vertical="center"/>
    </xf>
    <xf numFmtId="9" fontId="1" fillId="0" borderId="0" applyFont="0" applyFill="0" applyBorder="0" applyAlignment="0" applyProtection="0"/>
  </cellStyleXfs>
  <cellXfs count="180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164" fontId="0" fillId="0" borderId="0" xfId="0" applyNumberFormat="1" applyAlignment="1">
      <alignment horizontal="center"/>
    </xf>
    <xf numFmtId="0" fontId="0" fillId="4" borderId="7" xfId="0" applyFill="1" applyBorder="1"/>
    <xf numFmtId="0" fontId="0" fillId="4" borderId="7" xfId="0" applyFill="1" applyBorder="1" applyAlignment="1">
      <alignment horizontal="center"/>
    </xf>
    <xf numFmtId="0" fontId="0" fillId="4" borderId="7" xfId="0" applyFill="1" applyBorder="1" applyAlignment="1">
      <alignment horizontal="centerContinuous" vertical="center"/>
    </xf>
    <xf numFmtId="164" fontId="0" fillId="4" borderId="7" xfId="0" applyNumberFormat="1" applyFill="1" applyBorder="1" applyAlignment="1">
      <alignment horizontal="center"/>
    </xf>
    <xf numFmtId="0" fontId="4" fillId="5" borderId="7" xfId="0" applyFont="1" applyFill="1" applyBorder="1"/>
    <xf numFmtId="0" fontId="4" fillId="5" borderId="7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Continuous" vertical="center"/>
    </xf>
    <xf numFmtId="164" fontId="4" fillId="5" borderId="7" xfId="0" applyNumberFormat="1" applyFont="1" applyFill="1" applyBorder="1" applyAlignment="1">
      <alignment horizontal="center"/>
    </xf>
    <xf numFmtId="0" fontId="4" fillId="5" borderId="15" xfId="0" applyFont="1" applyFill="1" applyBorder="1"/>
    <xf numFmtId="0" fontId="4" fillId="5" borderId="15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Continuous" vertical="center"/>
    </xf>
    <xf numFmtId="164" fontId="4" fillId="5" borderId="15" xfId="0" applyNumberFormat="1" applyFont="1" applyFill="1" applyBorder="1" applyAlignment="1">
      <alignment horizontal="center"/>
    </xf>
    <xf numFmtId="0" fontId="4" fillId="5" borderId="8" xfId="0" applyFont="1" applyFill="1" applyBorder="1"/>
    <xf numFmtId="0" fontId="4" fillId="5" borderId="8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Continuous" vertical="center"/>
    </xf>
    <xf numFmtId="164" fontId="4" fillId="5" borderId="8" xfId="0" applyNumberFormat="1" applyFont="1" applyFill="1" applyBorder="1" applyAlignment="1">
      <alignment horizontal="center"/>
    </xf>
    <xf numFmtId="164" fontId="8" fillId="0" borderId="0" xfId="0" applyNumberFormat="1" applyFont="1" applyAlignment="1">
      <alignment horizontal="center"/>
    </xf>
    <xf numFmtId="0" fontId="0" fillId="7" borderId="0" xfId="0" applyFill="1"/>
    <xf numFmtId="0" fontId="0" fillId="4" borderId="16" xfId="0" applyFill="1" applyBorder="1"/>
    <xf numFmtId="0" fontId="0" fillId="4" borderId="16" xfId="0" applyFill="1" applyBorder="1" applyAlignment="1">
      <alignment horizontal="center"/>
    </xf>
    <xf numFmtId="0" fontId="0" fillId="4" borderId="16" xfId="0" applyFill="1" applyBorder="1" applyAlignment="1">
      <alignment horizontal="centerContinuous" vertical="center"/>
    </xf>
    <xf numFmtId="164" fontId="0" fillId="4" borderId="16" xfId="0" applyNumberFormat="1" applyFill="1" applyBorder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0" fontId="9" fillId="0" borderId="1" xfId="0" applyFont="1" applyBorder="1"/>
    <xf numFmtId="0" fontId="11" fillId="0" borderId="2" xfId="0" applyFont="1" applyBorder="1"/>
    <xf numFmtId="0" fontId="11" fillId="0" borderId="3" xfId="0" applyFont="1" applyBorder="1" applyAlignment="1">
      <alignment horizontal="center"/>
    </xf>
    <xf numFmtId="3" fontId="11" fillId="0" borderId="3" xfId="0" applyNumberFormat="1" applyFont="1" applyBorder="1" applyAlignment="1">
      <alignment horizontal="center"/>
    </xf>
    <xf numFmtId="0" fontId="13" fillId="0" borderId="4" xfId="0" applyFont="1" applyBorder="1"/>
    <xf numFmtId="0" fontId="12" fillId="0" borderId="4" xfId="0" applyFont="1" applyBorder="1" applyAlignment="1">
      <alignment horizontal="left" vertical="center"/>
    </xf>
    <xf numFmtId="0" fontId="11" fillId="6" borderId="4" xfId="0" applyFont="1" applyFill="1" applyBorder="1" applyAlignment="1">
      <alignment horizontal="center"/>
    </xf>
    <xf numFmtId="0" fontId="11" fillId="0" borderId="4" xfId="0" applyFont="1" applyBorder="1" applyAlignment="1">
      <alignment horizontal="center"/>
    </xf>
    <xf numFmtId="3" fontId="11" fillId="0" borderId="4" xfId="0" applyNumberFormat="1" applyFont="1" applyBorder="1" applyAlignment="1">
      <alignment horizontal="center"/>
    </xf>
    <xf numFmtId="0" fontId="11" fillId="0" borderId="4" xfId="0" applyFont="1" applyBorder="1"/>
    <xf numFmtId="0" fontId="11" fillId="6" borderId="2" xfId="0" applyFont="1" applyFill="1" applyBorder="1"/>
    <xf numFmtId="0" fontId="11" fillId="6" borderId="2" xfId="0" applyFont="1" applyFill="1" applyBorder="1" applyAlignment="1">
      <alignment horizontal="center"/>
    </xf>
    <xf numFmtId="0" fontId="11" fillId="0" borderId="2" xfId="0" applyFont="1" applyBorder="1" applyAlignment="1">
      <alignment horizontal="center"/>
    </xf>
    <xf numFmtId="3" fontId="11" fillId="0" borderId="2" xfId="0" applyNumberFormat="1" applyFont="1" applyBorder="1" applyAlignment="1">
      <alignment horizontal="center"/>
    </xf>
    <xf numFmtId="0" fontId="11" fillId="0" borderId="3" xfId="0" applyFont="1" applyBorder="1"/>
    <xf numFmtId="0" fontId="9" fillId="0" borderId="4" xfId="0" applyFont="1" applyBorder="1"/>
    <xf numFmtId="0" fontId="11" fillId="0" borderId="5" xfId="0" applyFont="1" applyBorder="1" applyAlignment="1">
      <alignment horizontal="center"/>
    </xf>
    <xf numFmtId="3" fontId="11" fillId="0" borderId="5" xfId="0" applyNumberFormat="1" applyFont="1" applyBorder="1" applyAlignment="1">
      <alignment horizontal="center"/>
    </xf>
    <xf numFmtId="3" fontId="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4" xfId="0" applyBorder="1"/>
    <xf numFmtId="0" fontId="14" fillId="0" borderId="4" xfId="0" applyFont="1" applyBorder="1"/>
    <xf numFmtId="0" fontId="9" fillId="6" borderId="2" xfId="0" applyFont="1" applyFill="1" applyBorder="1" applyAlignment="1">
      <alignment horizontal="center"/>
    </xf>
    <xf numFmtId="164" fontId="4" fillId="8" borderId="7" xfId="0" applyNumberFormat="1" applyFont="1" applyFill="1" applyBorder="1" applyAlignment="1">
      <alignment horizontal="center"/>
    </xf>
    <xf numFmtId="164" fontId="0" fillId="9" borderId="7" xfId="0" applyNumberFormat="1" applyFill="1" applyBorder="1" applyAlignment="1">
      <alignment horizontal="center"/>
    </xf>
    <xf numFmtId="164" fontId="0" fillId="9" borderId="16" xfId="0" applyNumberFormat="1" applyFill="1" applyBorder="1" applyAlignment="1">
      <alignment horizontal="center"/>
    </xf>
    <xf numFmtId="0" fontId="11" fillId="10" borderId="4" xfId="0" applyFont="1" applyFill="1" applyBorder="1" applyAlignment="1">
      <alignment horizontal="center"/>
    </xf>
    <xf numFmtId="0" fontId="0" fillId="0" borderId="2" xfId="0" applyBorder="1"/>
    <xf numFmtId="0" fontId="11" fillId="0" borderId="5" xfId="0" applyFont="1" applyBorder="1"/>
    <xf numFmtId="0" fontId="11" fillId="0" borderId="6" xfId="0" applyFont="1" applyBorder="1" applyAlignment="1">
      <alignment horizontal="center"/>
    </xf>
    <xf numFmtId="3" fontId="11" fillId="0" borderId="6" xfId="0" applyNumberFormat="1" applyFont="1" applyBorder="1" applyAlignment="1">
      <alignment horizontal="center"/>
    </xf>
    <xf numFmtId="0" fontId="11" fillId="0" borderId="6" xfId="0" applyFont="1" applyBorder="1"/>
    <xf numFmtId="0" fontId="11" fillId="0" borderId="6" xfId="0" applyFont="1" applyBorder="1" applyAlignment="1">
      <alignment horizontal="left"/>
    </xf>
    <xf numFmtId="0" fontId="0" fillId="0" borderId="6" xfId="0" applyBorder="1"/>
    <xf numFmtId="3" fontId="16" fillId="0" borderId="0" xfId="0" applyNumberFormat="1" applyFont="1" applyAlignment="1">
      <alignment horizontal="left"/>
    </xf>
    <xf numFmtId="9" fontId="0" fillId="0" borderId="0" xfId="4" applyFont="1" applyAlignment="1">
      <alignment horizontal="center"/>
    </xf>
    <xf numFmtId="0" fontId="4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3" fontId="17" fillId="0" borderId="0" xfId="0" applyNumberFormat="1" applyFont="1" applyAlignment="1">
      <alignment horizontal="center"/>
    </xf>
    <xf numFmtId="0" fontId="9" fillId="0" borderId="2" xfId="0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0" fillId="0" borderId="2" xfId="0" applyFont="1" applyBorder="1" applyAlignment="1">
      <alignment horizontal="center" wrapText="1"/>
    </xf>
    <xf numFmtId="3" fontId="10" fillId="0" borderId="2" xfId="0" applyNumberFormat="1" applyFont="1" applyBorder="1" applyAlignment="1">
      <alignment horizontal="center"/>
    </xf>
    <xf numFmtId="3" fontId="10" fillId="0" borderId="2" xfId="0" applyNumberFormat="1" applyFont="1" applyBorder="1" applyAlignment="1">
      <alignment horizontal="center" wrapText="1"/>
    </xf>
    <xf numFmtId="0" fontId="9" fillId="0" borderId="2" xfId="0" applyFont="1" applyBorder="1" applyAlignment="1">
      <alignment horizontal="center"/>
    </xf>
    <xf numFmtId="0" fontId="11" fillId="6" borderId="4" xfId="0" applyFont="1" applyFill="1" applyBorder="1"/>
    <xf numFmtId="0" fontId="18" fillId="0" borderId="4" xfId="0" applyFont="1" applyBorder="1" applyAlignment="1">
      <alignment horizontal="left"/>
    </xf>
    <xf numFmtId="0" fontId="0" fillId="0" borderId="17" xfId="0" applyBorder="1"/>
    <xf numFmtId="0" fontId="11" fillId="6" borderId="3" xfId="0" applyFont="1" applyFill="1" applyBorder="1" applyAlignment="1">
      <alignment horizontal="center"/>
    </xf>
    <xf numFmtId="0" fontId="9" fillId="6" borderId="3" xfId="0" applyFont="1" applyFill="1" applyBorder="1" applyAlignment="1">
      <alignment horizontal="center"/>
    </xf>
    <xf numFmtId="3" fontId="0" fillId="0" borderId="0" xfId="0" applyNumberFormat="1"/>
    <xf numFmtId="0" fontId="9" fillId="0" borderId="4" xfId="0" applyFont="1" applyBorder="1" applyAlignment="1">
      <alignment horizontal="center"/>
    </xf>
    <xf numFmtId="0" fontId="11" fillId="0" borderId="4" xfId="0" applyFont="1" applyBorder="1" applyAlignment="1">
      <alignment horizontal="left"/>
    </xf>
    <xf numFmtId="0" fontId="14" fillId="6" borderId="4" xfId="0" applyFont="1" applyFill="1" applyBorder="1"/>
    <xf numFmtId="0" fontId="11" fillId="6" borderId="3" xfId="0" applyFont="1" applyFill="1" applyBorder="1"/>
    <xf numFmtId="0" fontId="0" fillId="0" borderId="3" xfId="0" applyBorder="1"/>
    <xf numFmtId="3" fontId="11" fillId="0" borderId="4" xfId="0" applyNumberFormat="1" applyFont="1" applyBorder="1"/>
    <xf numFmtId="0" fontId="9" fillId="0" borderId="4" xfId="0" quotePrefix="1" applyFont="1" applyBorder="1"/>
    <xf numFmtId="0" fontId="18" fillId="0" borderId="4" xfId="0" applyFont="1" applyBorder="1"/>
    <xf numFmtId="0" fontId="11" fillId="6" borderId="5" xfId="0" applyFont="1" applyFill="1" applyBorder="1"/>
    <xf numFmtId="0" fontId="11" fillId="6" borderId="5" xfId="0" applyFont="1" applyFill="1" applyBorder="1" applyAlignment="1">
      <alignment horizontal="center"/>
    </xf>
    <xf numFmtId="0" fontId="15" fillId="0" borderId="0" xfId="0" applyFont="1" applyAlignment="1">
      <alignment vertic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5" fillId="0" borderId="0" xfId="0" applyFont="1"/>
    <xf numFmtId="9" fontId="11" fillId="0" borderId="0" xfId="4" applyFont="1"/>
    <xf numFmtId="0" fontId="10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3" fontId="16" fillId="0" borderId="0" xfId="0" applyNumberFormat="1" applyFont="1" applyAlignment="1">
      <alignment horizontal="center"/>
    </xf>
    <xf numFmtId="164" fontId="0" fillId="0" borderId="0" xfId="4" applyNumberFormat="1" applyFont="1" applyAlignment="1">
      <alignment horizontal="center"/>
    </xf>
    <xf numFmtId="164" fontId="10" fillId="0" borderId="2" xfId="0" applyNumberFormat="1" applyFont="1" applyBorder="1" applyAlignment="1">
      <alignment horizontal="center" wrapText="1"/>
    </xf>
    <xf numFmtId="164" fontId="10" fillId="0" borderId="2" xfId="0" applyNumberFormat="1" applyFont="1" applyBorder="1" applyAlignment="1">
      <alignment horizontal="center"/>
    </xf>
    <xf numFmtId="0" fontId="11" fillId="6" borderId="6" xfId="0" applyFont="1" applyFill="1" applyBorder="1"/>
    <xf numFmtId="0" fontId="11" fillId="6" borderId="6" xfId="0" applyFont="1" applyFill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11" fillId="6" borderId="6" xfId="0" applyFont="1" applyFill="1" applyBorder="1" applyAlignment="1">
      <alignment horizontal="left"/>
    </xf>
    <xf numFmtId="0" fontId="0" fillId="11" borderId="11" xfId="0" applyFill="1" applyBorder="1" applyAlignment="1">
      <alignment horizontal="center"/>
    </xf>
    <xf numFmtId="0" fontId="11" fillId="10" borderId="2" xfId="0" applyFont="1" applyFill="1" applyBorder="1" applyAlignment="1">
      <alignment horizontal="center"/>
    </xf>
    <xf numFmtId="0" fontId="11" fillId="10" borderId="6" xfId="0" applyFont="1" applyFill="1" applyBorder="1" applyAlignment="1">
      <alignment horizontal="center"/>
    </xf>
    <xf numFmtId="0" fontId="11" fillId="10" borderId="2" xfId="0" applyFont="1" applyFill="1" applyBorder="1"/>
    <xf numFmtId="0" fontId="9" fillId="10" borderId="2" xfId="0" applyFont="1" applyFill="1" applyBorder="1" applyAlignment="1">
      <alignment horizontal="center"/>
    </xf>
    <xf numFmtId="3" fontId="11" fillId="10" borderId="2" xfId="0" applyNumberFormat="1" applyFont="1" applyFill="1" applyBorder="1" applyAlignment="1">
      <alignment horizontal="center"/>
    </xf>
    <xf numFmtId="0" fontId="0" fillId="10" borderId="2" xfId="0" applyFill="1" applyBorder="1"/>
    <xf numFmtId="0" fontId="11" fillId="10" borderId="4" xfId="0" applyFont="1" applyFill="1" applyBorder="1"/>
    <xf numFmtId="0" fontId="0" fillId="10" borderId="4" xfId="0" applyFill="1" applyBorder="1"/>
    <xf numFmtId="0" fontId="14" fillId="10" borderId="4" xfId="0" applyFont="1" applyFill="1" applyBorder="1"/>
    <xf numFmtId="0" fontId="18" fillId="10" borderId="4" xfId="0" applyFont="1" applyFill="1" applyBorder="1" applyAlignment="1">
      <alignment horizontal="left"/>
    </xf>
    <xf numFmtId="3" fontId="11" fillId="10" borderId="4" xfId="0" applyNumberFormat="1" applyFont="1" applyFill="1" applyBorder="1" applyAlignment="1">
      <alignment horizontal="center"/>
    </xf>
    <xf numFmtId="0" fontId="9" fillId="10" borderId="4" xfId="0" applyFont="1" applyFill="1" applyBorder="1"/>
    <xf numFmtId="0" fontId="0" fillId="10" borderId="17" xfId="0" applyFill="1" applyBorder="1"/>
    <xf numFmtId="0" fontId="11" fillId="10" borderId="3" xfId="0" applyFont="1" applyFill="1" applyBorder="1" applyAlignment="1">
      <alignment horizontal="center"/>
    </xf>
    <xf numFmtId="0" fontId="9" fillId="10" borderId="3" xfId="0" applyFont="1" applyFill="1" applyBorder="1" applyAlignment="1">
      <alignment horizontal="center"/>
    </xf>
    <xf numFmtId="3" fontId="11" fillId="10" borderId="3" xfId="0" applyNumberFormat="1" applyFont="1" applyFill="1" applyBorder="1" applyAlignment="1">
      <alignment horizontal="center"/>
    </xf>
    <xf numFmtId="3" fontId="14" fillId="10" borderId="3" xfId="0" applyNumberFormat="1" applyFont="1" applyFill="1" applyBorder="1" applyAlignment="1">
      <alignment horizontal="center"/>
    </xf>
    <xf numFmtId="0" fontId="18" fillId="10" borderId="4" xfId="0" applyFont="1" applyFill="1" applyBorder="1"/>
    <xf numFmtId="0" fontId="11" fillId="12" borderId="2" xfId="0" applyFont="1" applyFill="1" applyBorder="1"/>
    <xf numFmtId="0" fontId="11" fillId="12" borderId="2" xfId="0" applyFont="1" applyFill="1" applyBorder="1" applyAlignment="1">
      <alignment horizontal="center"/>
    </xf>
    <xf numFmtId="0" fontId="9" fillId="12" borderId="2" xfId="0" applyFont="1" applyFill="1" applyBorder="1" applyAlignment="1">
      <alignment horizontal="center"/>
    </xf>
    <xf numFmtId="3" fontId="11" fillId="12" borderId="2" xfId="0" applyNumberFormat="1" applyFont="1" applyFill="1" applyBorder="1" applyAlignment="1">
      <alignment horizontal="center"/>
    </xf>
    <xf numFmtId="0" fontId="11" fillId="12" borderId="4" xfId="0" applyFont="1" applyFill="1" applyBorder="1"/>
    <xf numFmtId="0" fontId="11" fillId="12" borderId="4" xfId="0" applyFont="1" applyFill="1" applyBorder="1" applyAlignment="1">
      <alignment horizontal="center"/>
    </xf>
    <xf numFmtId="3" fontId="11" fillId="12" borderId="4" xfId="0" applyNumberFormat="1" applyFont="1" applyFill="1" applyBorder="1" applyAlignment="1">
      <alignment horizontal="center"/>
    </xf>
    <xf numFmtId="0" fontId="0" fillId="12" borderId="4" xfId="0" applyFill="1" applyBorder="1"/>
    <xf numFmtId="0" fontId="14" fillId="12" borderId="4" xfId="0" applyFont="1" applyFill="1" applyBorder="1"/>
    <xf numFmtId="0" fontId="9" fillId="12" borderId="4" xfId="0" applyFont="1" applyFill="1" applyBorder="1"/>
    <xf numFmtId="0" fontId="19" fillId="12" borderId="4" xfId="0" quotePrefix="1" applyFont="1" applyFill="1" applyBorder="1"/>
    <xf numFmtId="0" fontId="18" fillId="12" borderId="4" xfId="0" applyFont="1" applyFill="1" applyBorder="1" applyAlignment="1">
      <alignment horizontal="left"/>
    </xf>
    <xf numFmtId="0" fontId="9" fillId="10" borderId="2" xfId="0" applyFont="1" applyFill="1" applyBorder="1"/>
    <xf numFmtId="0" fontId="9" fillId="10" borderId="4" xfId="0" applyFont="1" applyFill="1" applyBorder="1" applyAlignment="1">
      <alignment horizontal="center"/>
    </xf>
    <xf numFmtId="0" fontId="11" fillId="10" borderId="4" xfId="0" applyFont="1" applyFill="1" applyBorder="1" applyAlignment="1">
      <alignment horizontal="left"/>
    </xf>
    <xf numFmtId="3" fontId="11" fillId="10" borderId="4" xfId="0" applyNumberFormat="1" applyFont="1" applyFill="1" applyBorder="1"/>
    <xf numFmtId="0" fontId="9" fillId="10" borderId="4" xfId="0" quotePrefix="1" applyFont="1" applyFill="1" applyBorder="1"/>
    <xf numFmtId="0" fontId="11" fillId="10" borderId="17" xfId="0" applyFont="1" applyFill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11" fillId="10" borderId="6" xfId="0" applyFont="1" applyFill="1" applyBorder="1"/>
    <xf numFmtId="0" fontId="9" fillId="10" borderId="6" xfId="0" applyFont="1" applyFill="1" applyBorder="1" applyAlignment="1">
      <alignment horizontal="center"/>
    </xf>
    <xf numFmtId="3" fontId="11" fillId="10" borderId="6" xfId="0" applyNumberFormat="1" applyFont="1" applyFill="1" applyBorder="1" applyAlignment="1">
      <alignment horizontal="center"/>
    </xf>
    <xf numFmtId="0" fontId="0" fillId="10" borderId="6" xfId="0" applyFill="1" applyBorder="1"/>
    <xf numFmtId="0" fontId="0" fillId="0" borderId="7" xfId="0" applyBorder="1"/>
    <xf numFmtId="0" fontId="0" fillId="0" borderId="7" xfId="0" applyBorder="1" applyAlignment="1">
      <alignment horizontal="center"/>
    </xf>
    <xf numFmtId="0" fontId="11" fillId="10" borderId="6" xfId="0" applyFont="1" applyFill="1" applyBorder="1" applyAlignment="1">
      <alignment horizontal="left"/>
    </xf>
    <xf numFmtId="164" fontId="0" fillId="4" borderId="7" xfId="0" applyNumberFormat="1" applyFill="1" applyBorder="1" applyAlignment="1">
      <alignment horizontal="left"/>
    </xf>
    <xf numFmtId="3" fontId="14" fillId="10" borderId="6" xfId="0" applyNumberFormat="1" applyFont="1" applyFill="1" applyBorder="1" applyAlignment="1">
      <alignment horizontal="center"/>
    </xf>
    <xf numFmtId="0" fontId="11" fillId="12" borderId="6" xfId="0" applyFont="1" applyFill="1" applyBorder="1"/>
    <xf numFmtId="0" fontId="11" fillId="12" borderId="6" xfId="0" applyFont="1" applyFill="1" applyBorder="1" applyAlignment="1">
      <alignment horizontal="center"/>
    </xf>
    <xf numFmtId="0" fontId="9" fillId="12" borderId="6" xfId="0" applyFont="1" applyFill="1" applyBorder="1" applyAlignment="1">
      <alignment horizontal="center"/>
    </xf>
    <xf numFmtId="3" fontId="11" fillId="12" borderId="6" xfId="0" applyNumberFormat="1" applyFont="1" applyFill="1" applyBorder="1" applyAlignment="1">
      <alignment horizontal="center"/>
    </xf>
    <xf numFmtId="0" fontId="11" fillId="12" borderId="6" xfId="0" applyFont="1" applyFill="1" applyBorder="1" applyAlignment="1">
      <alignment horizontal="left"/>
    </xf>
    <xf numFmtId="0" fontId="4" fillId="8" borderId="7" xfId="0" applyFont="1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9" fillId="0" borderId="9" xfId="0" applyFont="1" applyBorder="1"/>
    <xf numFmtId="0" fontId="10" fillId="0" borderId="9" xfId="0" applyFont="1" applyBorder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 wrapText="1"/>
    </xf>
    <xf numFmtId="3" fontId="10" fillId="0" borderId="9" xfId="0" applyNumberFormat="1" applyFont="1" applyBorder="1" applyAlignment="1">
      <alignment horizontal="center"/>
    </xf>
    <xf numFmtId="164" fontId="10" fillId="0" borderId="9" xfId="0" applyNumberFormat="1" applyFont="1" applyBorder="1" applyAlignment="1">
      <alignment horizontal="center" wrapText="1"/>
    </xf>
    <xf numFmtId="164" fontId="10" fillId="0" borderId="9" xfId="0" applyNumberFormat="1" applyFont="1" applyBorder="1" applyAlignment="1">
      <alignment horizontal="center"/>
    </xf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8" xfId="0" applyBorder="1"/>
    <xf numFmtId="0" fontId="0" fillId="0" borderId="12" xfId="0" applyBorder="1"/>
    <xf numFmtId="0" fontId="0" fillId="0" borderId="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/>
  </cellXfs>
  <cellStyles count="5">
    <cellStyle name="Normal" xfId="0" builtinId="0"/>
    <cellStyle name="Normal 2" xfId="1" xr:uid="{BF7BA70D-8630-4068-9839-1415E45A5ED9}"/>
    <cellStyle name="Normal 2 4" xfId="2" xr:uid="{5B0B22D0-F7E9-4CE5-9E92-72FC219E20FF}"/>
    <cellStyle name="Normal 4" xfId="3" xr:uid="{2BA5256A-AA98-49BF-A8AE-16479D5F50A8}"/>
    <cellStyle name="Percent" xfId="4" builtinId="5"/>
  </cellStyles>
  <dxfs count="102"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</dxfs>
  <tableStyles count="0" defaultTableStyle="TableStyleMedium2" defaultPivotStyle="PivotStyleLight16"/>
  <colors>
    <mruColors>
      <color rgb="FFD2D2D2"/>
      <color rgb="FFE6E6E6"/>
      <color rgb="FFFFCCCC"/>
      <color rgb="FFFF5050"/>
      <color rgb="FFFF9999"/>
      <color rgb="FF00FF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TFCW38 -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79D6-4E1C-90E0-F5FC80AB8DDD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79D6-4E1C-90E0-F5FC80AB8DDD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79D6-4E1C-90E0-F5FC80AB8DDD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D6-4E1C-90E0-F5FC80AB8D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</c:v>
              </c:pt>
              <c:pt idx="1">
                <c:v>1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9D6-4E1C-90E0-F5FC80AB8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PR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7B38-4BB1-8203-4E0855284AE9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7B38-4BB1-8203-4E0855284AE9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7B38-4BB1-8203-4E0855284AE9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38-4BB1-8203-4E085528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38-4BB1-8203-4E085528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4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B38-4BB1-8203-4E0855284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GY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D0EC-4F2A-9F7F-B1B5274C91A5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D0EC-4F2A-9F7F-B1B5274C91A5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D0EC-4F2A-9F7F-B1B5274C91A5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EC-4F2A-9F7F-B1B5274C91A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EC-4F2A-9F7F-B1B5274C91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8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0EC-4F2A-9F7F-B1B5274C9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LK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924-4241-9EAB-15B48EE5A8E7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924-4241-9EAB-15B48EE5A8E7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924-4241-9EAB-15B48EE5A8E7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24-4241-9EAB-15B48EE5A8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</c:v>
              </c:pt>
              <c:pt idx="1">
                <c:v>17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924-4241-9EAB-15B48EE5A8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ID - Grade 1 - TFCW39 - HA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170E-4C56-B30E-4D42C30D8ADB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170E-4C56-B30E-4D42C30D8ADB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170E-4C56-B30E-4D42C30D8ADB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0E-4C56-B30E-4D42C30D8A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8</c:v>
              </c:pt>
              <c:pt idx="1">
                <c:v>12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70E-4C56-B30E-4D42C30D8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TFCW39 -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865D-471A-821B-D5D9193757DF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865D-471A-821B-D5D9193757DF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865D-471A-821B-D5D9193757DF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5D-471A-821B-D5D9193757D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5D-471A-821B-D5D9193757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65D-471A-821B-D5D9193757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TFCW39 - AR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22E1-4FF0-AC1D-17E46EB2D3D6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22E1-4FF0-AC1D-17E46EB2D3D6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22E1-4FF0-AC1D-17E46EB2D3D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2E1-4FF0-AC1D-17E46EB2D3D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2E1-4FF0-AC1D-17E46EB2D3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22E1-4FF0-AC1D-17E46EB2D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TFCW39 - DB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4B38-44E1-B6F0-DD9208E86E12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4B38-44E1-B6F0-DD9208E86E12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4B38-44E1-B6F0-DD9208E86E1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B38-44E1-B6F0-DD9208E86E1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38-44E1-B6F0-DD9208E86E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4B38-44E1-B6F0-DD9208E86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C630-4890-9BE8-4CC238458B3E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C630-4890-9BE8-4CC238458B3E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C630-4890-9BE8-4CC238458B3E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630-4890-9BE8-4CC238458B3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30-4890-9BE8-4CC238458B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50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630-4890-9BE8-4CC238458B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88DC-4227-AC98-745AA4E3C220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88DC-4227-AC98-745AA4E3C220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88DC-4227-AC98-745AA4E3C220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8DC-4227-AC98-745AA4E3C2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16</c:v>
              </c:pt>
              <c:pt idx="1">
                <c:v>14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8DC-4227-AC98-745AA4E3C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ACFB-45F8-8CE6-2A17B2C1B234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ACFB-45F8-8CE6-2A17B2C1B234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ACFB-45F8-8CE6-2A17B2C1B234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CFB-45F8-8CE6-2A17B2C1B23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FB-45F8-8CE6-2A17B2C1B23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CFB-45F8-8CE6-2A17B2C1B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5B03-4AD9-B6E0-A33AB2026DF9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5B03-4AD9-B6E0-A33AB2026DF9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5B03-4AD9-B6E0-A33AB2026DF9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03-4AD9-B6E0-A33AB2026D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23</c:v>
              </c:pt>
              <c:pt idx="1">
                <c:v>27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B03-4AD9-B6E0-A33AB2026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237D-4616-9180-E27E3A787BBC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237D-4616-9180-E27E3A787BBC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237D-4616-9180-E27E3A787BBC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37D-4616-9180-E27E3A787B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37D-4616-9180-E27E3A787B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237D-4616-9180-E27E3A787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5FC9-497C-BAFF-3A13CEFE1E73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5FC9-497C-BAFF-3A13CEFE1E73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5FC9-497C-BAFF-3A13CEFE1E73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FC9-497C-BAFF-3A13CEFE1E7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FC9-497C-BAFF-3A13CEFE1E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FC9-497C-BAFF-3A13CEFE1E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X5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D08C-4434-8C40-9C7F7C28A452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D08C-4434-8C40-9C7F7C28A452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D08C-4434-8C40-9C7F7C28A452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8C-4434-8C40-9C7F7C28A4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33</c:v>
              </c:pt>
              <c:pt idx="1">
                <c:v>41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08C-4434-8C40-9C7F7C28A4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E28F-42FE-9103-E13B4B9FDEC3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E28F-42FE-9103-E13B4B9FDEC3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E28F-42FE-9103-E13B4B9FDEC3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8F-42FE-9103-E13B4B9FDE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</c:v>
              </c:pt>
              <c:pt idx="1">
                <c:v>27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28F-42FE-9103-E13B4B9FD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7C28-46DC-A98F-4BEAF2466BD2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7C28-46DC-A98F-4BEAF2466BD2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7C28-46DC-A98F-4BEAF2466BD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C28-46DC-A98F-4BEAF2466BD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28-46DC-A98F-4BEAF2466B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C28-46DC-A98F-4BEAF2466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457200</xdr:colOff>
      <xdr:row>9</xdr:row>
      <xdr:rowOff>132080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8E768-C823-234B-3FA4-0DDF23BB4A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520700</xdr:colOff>
      <xdr:row>0</xdr:row>
      <xdr:rowOff>0</xdr:rowOff>
    </xdr:from>
    <xdr:to>
      <xdr:col>7</xdr:col>
      <xdr:colOff>368300</xdr:colOff>
      <xdr:row>9</xdr:row>
      <xdr:rowOff>132080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E1321F6-AAF2-7AD5-4850-71A5F7488F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431800</xdr:colOff>
      <xdr:row>0</xdr:row>
      <xdr:rowOff>0</xdr:rowOff>
    </xdr:from>
    <xdr:to>
      <xdr:col>11</xdr:col>
      <xdr:colOff>279400</xdr:colOff>
      <xdr:row>9</xdr:row>
      <xdr:rowOff>132080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6DFBB1A-CB7A-88E9-865B-4D15581B05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342900</xdr:colOff>
      <xdr:row>0</xdr:row>
      <xdr:rowOff>0</xdr:rowOff>
    </xdr:from>
    <xdr:to>
      <xdr:col>15</xdr:col>
      <xdr:colOff>190500</xdr:colOff>
      <xdr:row>9</xdr:row>
      <xdr:rowOff>132080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9D072F5-0729-F54F-2A6F-B10604D65B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254000</xdr:colOff>
      <xdr:row>0</xdr:row>
      <xdr:rowOff>0</xdr:rowOff>
    </xdr:from>
    <xdr:to>
      <xdr:col>19</xdr:col>
      <xdr:colOff>101600</xdr:colOff>
      <xdr:row>9</xdr:row>
      <xdr:rowOff>132080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08951E9-B441-8FF0-563F-A57C69EC52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165100</xdr:colOff>
      <xdr:row>0</xdr:row>
      <xdr:rowOff>0</xdr:rowOff>
    </xdr:from>
    <xdr:to>
      <xdr:col>23</xdr:col>
      <xdr:colOff>12700</xdr:colOff>
      <xdr:row>9</xdr:row>
      <xdr:rowOff>132080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8AC0DB7-194F-9622-9FCE-72A2A0102B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10</xdr:row>
      <xdr:rowOff>12700</xdr:rowOff>
    </xdr:from>
    <xdr:to>
      <xdr:col>3</xdr:col>
      <xdr:colOff>457200</xdr:colOff>
      <xdr:row>19</xdr:row>
      <xdr:rowOff>144780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4AF572E-67A9-6434-BF92-6639105F19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520700</xdr:colOff>
      <xdr:row>10</xdr:row>
      <xdr:rowOff>12700</xdr:rowOff>
    </xdr:from>
    <xdr:to>
      <xdr:col>7</xdr:col>
      <xdr:colOff>368300</xdr:colOff>
      <xdr:row>19</xdr:row>
      <xdr:rowOff>144780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65F2AD8-0F55-75BE-1002-7E5F082726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431800</xdr:colOff>
      <xdr:row>10</xdr:row>
      <xdr:rowOff>12700</xdr:rowOff>
    </xdr:from>
    <xdr:to>
      <xdr:col>11</xdr:col>
      <xdr:colOff>279400</xdr:colOff>
      <xdr:row>19</xdr:row>
      <xdr:rowOff>144780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1B6688D-31AB-DFB4-EC50-AC351074E4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342900</xdr:colOff>
      <xdr:row>10</xdr:row>
      <xdr:rowOff>12700</xdr:rowOff>
    </xdr:from>
    <xdr:to>
      <xdr:col>15</xdr:col>
      <xdr:colOff>190500</xdr:colOff>
      <xdr:row>19</xdr:row>
      <xdr:rowOff>144780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2E8F69A-7708-2B89-EBA8-C343C5A97D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254000</xdr:colOff>
      <xdr:row>10</xdr:row>
      <xdr:rowOff>12700</xdr:rowOff>
    </xdr:from>
    <xdr:to>
      <xdr:col>19</xdr:col>
      <xdr:colOff>101600</xdr:colOff>
      <xdr:row>19</xdr:row>
      <xdr:rowOff>144780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E45E66CD-D044-90E0-5939-FA984A420B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165100</xdr:colOff>
      <xdr:row>10</xdr:row>
      <xdr:rowOff>12700</xdr:rowOff>
    </xdr:from>
    <xdr:to>
      <xdr:col>23</xdr:col>
      <xdr:colOff>12700</xdr:colOff>
      <xdr:row>19</xdr:row>
      <xdr:rowOff>144780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13F1754E-7649-193F-40FB-C715479432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20</xdr:row>
      <xdr:rowOff>25400</xdr:rowOff>
    </xdr:from>
    <xdr:to>
      <xdr:col>3</xdr:col>
      <xdr:colOff>457200</xdr:colOff>
      <xdr:row>29</xdr:row>
      <xdr:rowOff>157480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CF0A8DB0-E74A-8283-2B2E-23DB0E924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520700</xdr:colOff>
      <xdr:row>20</xdr:row>
      <xdr:rowOff>25400</xdr:rowOff>
    </xdr:from>
    <xdr:to>
      <xdr:col>7</xdr:col>
      <xdr:colOff>368300</xdr:colOff>
      <xdr:row>29</xdr:row>
      <xdr:rowOff>157480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896B83D3-DFBE-DDAC-E104-0BFA659102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431800</xdr:colOff>
      <xdr:row>20</xdr:row>
      <xdr:rowOff>25400</xdr:rowOff>
    </xdr:from>
    <xdr:to>
      <xdr:col>11</xdr:col>
      <xdr:colOff>279400</xdr:colOff>
      <xdr:row>29</xdr:row>
      <xdr:rowOff>157480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4EFC827B-CCDA-B776-D3C5-E2AC543F92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342900</xdr:colOff>
      <xdr:row>20</xdr:row>
      <xdr:rowOff>25400</xdr:rowOff>
    </xdr:from>
    <xdr:to>
      <xdr:col>15</xdr:col>
      <xdr:colOff>190500</xdr:colOff>
      <xdr:row>29</xdr:row>
      <xdr:rowOff>157480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AF06D8D7-3F21-1DD1-B6CA-6A5D98BD48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15</xdr:col>
      <xdr:colOff>254000</xdr:colOff>
      <xdr:row>20</xdr:row>
      <xdr:rowOff>25400</xdr:rowOff>
    </xdr:from>
    <xdr:to>
      <xdr:col>19</xdr:col>
      <xdr:colOff>101600</xdr:colOff>
      <xdr:row>29</xdr:row>
      <xdr:rowOff>157480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CEE38804-5CA5-7549-43B8-E551C06C58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DECAF4DE-DD20-4A3A-99FD-B9B88F1AC283}" autoFormatId="16" applyNumberFormats="0" applyBorderFormats="0" applyFontFormats="0" applyPatternFormats="0" applyAlignmentFormats="0" applyWidthHeightFormats="0">
  <queryTableRefresh nextId="19">
    <queryTableFields count="18">
      <queryTableField id="1" name="PICK_REF" tableColumnId="1"/>
      <queryTableField id="2" name="CONS_NO" tableColumnId="2"/>
      <queryTableField id="3" name="ORGZN" tableColumnId="3"/>
      <queryTableField id="4" name="VARIETY" tableColumnId="4"/>
      <queryTableField id="5" name="TARG_MKT" tableColumnId="5"/>
      <queryTableField id="6" name="GRADE" tableColumnId="6"/>
      <queryTableField id="7" name="MARK" tableColumnId="7"/>
      <queryTableField id="8" name="PACK" tableColumnId="8"/>
      <queryTableField id="9" name="INV_CODE" tableColumnId="9"/>
      <queryTableField id="10" name="TARGET_REGION" tableColumnId="10"/>
      <queryTableField id="11" name="TARGET_COUNTRY" tableColumnId="11"/>
      <queryTableField id="12" name="BATCH_NO" tableColumnId="12"/>
      <queryTableField id="13" name="SIZE_COUNT" tableColumnId="13"/>
      <queryTableField id="14" name="FARM" tableColumnId="14"/>
      <queryTableField id="15" name="PALLET_ID" tableColumnId="15"/>
      <queryTableField id="16" name="VARIETY_GROUP" tableColumnId="16"/>
      <queryTableField id="17" name="DISPATCH_MATCH" tableColumnId="17"/>
      <queryTableField id="18" name="REASON" tableColumnId="18"/>
    </queryTableFields>
  </queryTableRefresh>
  <extLst>
    <ext xmlns:x15="http://schemas.microsoft.com/office/spreadsheetml/2010/11/main" uri="{883FBD77-0823-4a55-B5E3-86C4891E6966}">
      <x15:queryTable sourceDataName="Query - DataQuery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E3AC88-8C82-403E-B310-2A58E0FD64CF}" name="DataQuery" displayName="DataQuery" ref="A1:R158" tableType="queryTable" totalsRowShown="0">
  <autoFilter ref="A1:R158" xr:uid="{2BE3AC88-8C82-403E-B310-2A58E0FD64CF}"/>
  <tableColumns count="18">
    <tableColumn id="1" xr3:uid="{1C329077-5D22-4627-BE99-35D9AF0241CE}" uniqueName="1" name="PICK_REF" queryTableFieldId="1"/>
    <tableColumn id="2" xr3:uid="{013D454A-EC96-43BA-994B-209F7D275329}" uniqueName="2" name="CONS_NO" queryTableFieldId="2"/>
    <tableColumn id="3" xr3:uid="{763AFB22-DEBE-4199-8A23-B26AC12D08A2}" uniqueName="3" name="ORGZN" queryTableFieldId="3"/>
    <tableColumn id="4" xr3:uid="{02CCCB92-D6B2-43B9-931F-0B3989BD3C48}" uniqueName="4" name="VARIETY" queryTableFieldId="4"/>
    <tableColumn id="5" xr3:uid="{325C535D-6F37-4B4A-8612-3997FACB01A0}" uniqueName="5" name="TARG_MKT" queryTableFieldId="5"/>
    <tableColumn id="6" xr3:uid="{F18782DD-1F78-4EED-8E5D-8702E849A658}" uniqueName="6" name="GRADE" queryTableFieldId="6"/>
    <tableColumn id="7" xr3:uid="{BE6161F0-DD5B-41B5-9A1D-11D1A3ED9397}" uniqueName="7" name="MARK" queryTableFieldId="7"/>
    <tableColumn id="8" xr3:uid="{E272A335-DF69-4B8C-BCEE-DA5B30F2C083}" uniqueName="8" name="PACK" queryTableFieldId="8"/>
    <tableColumn id="9" xr3:uid="{C5903827-0760-4589-B063-8463EC27BE62}" uniqueName="9" name="INV_CODE" queryTableFieldId="9"/>
    <tableColumn id="10" xr3:uid="{752A5A7A-0B3F-4FF4-B13D-68BD326D57D3}" uniqueName="10" name="TARGET_REGION" queryTableFieldId="10"/>
    <tableColumn id="11" xr3:uid="{1C55B367-F2DF-4853-BBF7-4CEDF8706F0B}" uniqueName="11" name="TARGET_COUNTRY" queryTableFieldId="11"/>
    <tableColumn id="12" xr3:uid="{35AD5171-8BE0-477A-A48C-29F3E7E8315F}" uniqueName="12" name="BATCH_NO" queryTableFieldId="12"/>
    <tableColumn id="13" xr3:uid="{3D2B73E4-BC67-4536-94B5-A76B3C7B3543}" uniqueName="13" name="SIZE_COUNT" queryTableFieldId="13"/>
    <tableColumn id="14" xr3:uid="{03C116F0-E210-4296-B278-5947770EB8EB}" uniqueName="14" name="FARM" queryTableFieldId="14"/>
    <tableColumn id="15" xr3:uid="{2F239F3B-1A31-4B22-BC63-CF8366072383}" uniqueName="15" name="PALLET_ID" queryTableFieldId="15"/>
    <tableColumn id="16" xr3:uid="{34AD652F-37E2-4CA9-8081-BFC7BD2FCC1D}" uniqueName="16" name="VARIETY_GROUP" queryTableFieldId="16"/>
    <tableColumn id="17" xr3:uid="{738EE3B6-92C3-45B7-8FAE-96E3B559BEBD}" uniqueName="17" name="DISPATCH_MATCH" queryTableFieldId="17"/>
    <tableColumn id="18" xr3:uid="{EFCE7021-A34D-40B4-91BF-20404B0DC91F}" uniqueName="18" name="REASON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91C95-5BCF-43F7-BDCC-55D9A9907406}">
  <sheetPr codeName="Sheet7">
    <pageSetUpPr fitToPage="1"/>
  </sheetPr>
  <dimension ref="A1:AE67"/>
  <sheetViews>
    <sheetView zoomScale="85" zoomScaleNormal="85" workbookViewId="0">
      <selection activeCell="G24" sqref="G24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25.3320312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5" width="8.77734375" bestFit="1" customWidth="1"/>
    <col min="26" max="26" width="52.6640625" customWidth="1"/>
    <col min="27" max="27" width="6" style="1" bestFit="1" customWidth="1"/>
  </cols>
  <sheetData>
    <row r="1" spans="1:31" ht="18" x14ac:dyDescent="0.35">
      <c r="A1" s="30" t="s">
        <v>539</v>
      </c>
      <c r="C1" s="31"/>
      <c r="D1" s="1"/>
      <c r="E1" s="1"/>
      <c r="F1" s="1"/>
      <c r="G1" s="1"/>
      <c r="H1" s="1"/>
      <c r="I1" s="1"/>
      <c r="J1" s="1"/>
      <c r="K1" s="1"/>
      <c r="L1" s="1"/>
      <c r="M1" s="1"/>
      <c r="N1" s="67"/>
      <c r="O1" s="32"/>
      <c r="P1" s="1"/>
      <c r="Q1" s="32"/>
      <c r="R1" s="32"/>
      <c r="S1" s="68"/>
      <c r="T1" s="32"/>
      <c r="U1" s="32"/>
      <c r="V1" s="32"/>
      <c r="W1" s="32"/>
      <c r="X1" s="32"/>
      <c r="Y1" s="32"/>
    </row>
    <row r="2" spans="1:31" ht="18" x14ac:dyDescent="0.35">
      <c r="A2" s="30"/>
      <c r="C2" s="31"/>
      <c r="D2" s="69"/>
      <c r="E2" s="1"/>
      <c r="F2" s="1"/>
      <c r="G2" s="1"/>
      <c r="H2" s="1"/>
      <c r="I2" s="1"/>
      <c r="J2" s="1"/>
      <c r="K2" s="1"/>
      <c r="L2" s="1"/>
      <c r="M2" s="1"/>
      <c r="N2" s="32"/>
      <c r="O2" s="32"/>
      <c r="P2" s="70" t="s">
        <v>503</v>
      </c>
      <c r="Q2" s="71">
        <v>24</v>
      </c>
      <c r="R2" s="71">
        <v>28</v>
      </c>
      <c r="S2" s="71">
        <v>32</v>
      </c>
      <c r="T2" s="71">
        <v>36</v>
      </c>
      <c r="U2" s="71">
        <v>40</v>
      </c>
      <c r="V2" s="32"/>
      <c r="W2" s="32"/>
      <c r="X2" s="32"/>
      <c r="Y2" s="32"/>
    </row>
    <row r="3" spans="1:31" ht="46.8" x14ac:dyDescent="0.3">
      <c r="A3" s="72" t="s">
        <v>365</v>
      </c>
      <c r="B3" s="73" t="s">
        <v>374</v>
      </c>
      <c r="C3" s="74" t="s">
        <v>375</v>
      </c>
      <c r="D3" s="74" t="s">
        <v>376</v>
      </c>
      <c r="E3" s="74" t="s">
        <v>377</v>
      </c>
      <c r="F3" s="74" t="s">
        <v>378</v>
      </c>
      <c r="G3" s="74" t="s">
        <v>379</v>
      </c>
      <c r="H3" s="74" t="s">
        <v>360</v>
      </c>
      <c r="I3" s="74" t="s">
        <v>380</v>
      </c>
      <c r="J3" s="75" t="s">
        <v>381</v>
      </c>
      <c r="K3" s="75" t="s">
        <v>382</v>
      </c>
      <c r="L3" s="75" t="s">
        <v>477</v>
      </c>
      <c r="M3" s="74" t="s">
        <v>384</v>
      </c>
      <c r="N3" s="76" t="s">
        <v>385</v>
      </c>
      <c r="O3" s="76" t="s">
        <v>386</v>
      </c>
      <c r="P3" s="75" t="s">
        <v>387</v>
      </c>
      <c r="Q3" s="77" t="s">
        <v>504</v>
      </c>
      <c r="R3" s="77" t="s">
        <v>505</v>
      </c>
      <c r="S3" s="77" t="s">
        <v>506</v>
      </c>
      <c r="T3" s="77" t="s">
        <v>507</v>
      </c>
      <c r="U3" s="77">
        <v>64</v>
      </c>
      <c r="V3" s="76">
        <v>72</v>
      </c>
      <c r="W3" s="76">
        <v>88</v>
      </c>
      <c r="X3" s="76">
        <v>105</v>
      </c>
      <c r="Y3" s="76" t="s">
        <v>388</v>
      </c>
      <c r="Z3" s="73" t="s">
        <v>404</v>
      </c>
      <c r="AA3" s="74" t="s">
        <v>405</v>
      </c>
    </row>
    <row r="4" spans="1:31" ht="15.6" x14ac:dyDescent="0.3">
      <c r="A4" s="114" t="s">
        <v>449</v>
      </c>
      <c r="B4" s="114" t="s">
        <v>485</v>
      </c>
      <c r="C4" s="112" t="s">
        <v>478</v>
      </c>
      <c r="D4" s="112" t="s">
        <v>508</v>
      </c>
      <c r="E4" s="112" t="s">
        <v>450</v>
      </c>
      <c r="F4" s="112">
        <v>1</v>
      </c>
      <c r="G4" s="112" t="s">
        <v>394</v>
      </c>
      <c r="H4" s="112" t="s">
        <v>391</v>
      </c>
      <c r="I4" s="115" t="s">
        <v>495</v>
      </c>
      <c r="J4" s="112" t="s">
        <v>439</v>
      </c>
      <c r="K4" s="112" t="s">
        <v>450</v>
      </c>
      <c r="L4" s="112" t="s">
        <v>484</v>
      </c>
      <c r="M4" s="112" t="s">
        <v>393</v>
      </c>
      <c r="N4" s="112">
        <f>+Y4/80</f>
        <v>3</v>
      </c>
      <c r="O4" s="112"/>
      <c r="P4" s="112" t="s">
        <v>509</v>
      </c>
      <c r="Q4" s="116"/>
      <c r="R4" s="116"/>
      <c r="S4" s="116"/>
      <c r="T4" s="116"/>
      <c r="U4" s="117"/>
      <c r="V4" s="116">
        <f>2*80</f>
        <v>160</v>
      </c>
      <c r="W4" s="116"/>
      <c r="X4" s="116">
        <f>1*80</f>
        <v>80</v>
      </c>
      <c r="Y4" s="116">
        <f>SUM(Q4:X4)</f>
        <v>240</v>
      </c>
      <c r="Z4" s="114" t="s">
        <v>510</v>
      </c>
      <c r="AA4" s="112" t="s">
        <v>482</v>
      </c>
    </row>
    <row r="5" spans="1:31" ht="15.6" x14ac:dyDescent="0.3">
      <c r="A5" s="118"/>
      <c r="B5" s="118"/>
      <c r="C5" s="118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8"/>
      <c r="P5" s="118"/>
      <c r="Q5" s="118"/>
      <c r="R5" s="118"/>
      <c r="S5" s="118"/>
      <c r="T5" s="118"/>
      <c r="U5" s="119"/>
      <c r="V5" s="118"/>
      <c r="W5" s="118"/>
      <c r="X5" s="118"/>
      <c r="Y5" s="118"/>
      <c r="Z5" s="120" t="s">
        <v>540</v>
      </c>
      <c r="AA5" s="59"/>
    </row>
    <row r="6" spans="1:31" ht="15.6" x14ac:dyDescent="0.3">
      <c r="A6" s="118"/>
      <c r="B6" s="118"/>
      <c r="C6" s="59"/>
      <c r="D6" s="59"/>
      <c r="E6" s="59"/>
      <c r="F6" s="59"/>
      <c r="G6" s="118"/>
      <c r="H6" s="59"/>
      <c r="I6" s="59"/>
      <c r="J6" s="59"/>
      <c r="K6" s="59"/>
      <c r="L6" s="59"/>
      <c r="M6" s="59"/>
      <c r="N6" s="121"/>
      <c r="O6" s="59"/>
      <c r="P6" s="59"/>
      <c r="Q6" s="122"/>
      <c r="R6" s="122"/>
      <c r="S6" s="122"/>
      <c r="T6" s="122"/>
      <c r="U6" s="119"/>
      <c r="V6" s="122"/>
      <c r="W6" s="122"/>
      <c r="X6" s="122"/>
      <c r="Y6" s="122"/>
      <c r="Z6" s="123" t="s">
        <v>511</v>
      </c>
      <c r="AA6" s="59"/>
    </row>
    <row r="7" spans="1:31" ht="15.6" x14ac:dyDescent="0.3">
      <c r="A7" s="118"/>
      <c r="B7" s="118"/>
      <c r="C7" s="59"/>
      <c r="D7" s="59"/>
      <c r="E7" s="59"/>
      <c r="F7" s="59"/>
      <c r="G7" s="118"/>
      <c r="H7" s="59"/>
      <c r="I7" s="59"/>
      <c r="J7" s="59"/>
      <c r="K7" s="59"/>
      <c r="L7" s="59"/>
      <c r="M7" s="59"/>
      <c r="N7" s="121"/>
      <c r="O7" s="59"/>
      <c r="P7" s="59"/>
      <c r="Q7" s="122"/>
      <c r="R7" s="122"/>
      <c r="S7" s="122"/>
      <c r="T7" s="122"/>
      <c r="U7" s="119"/>
      <c r="V7" s="122"/>
      <c r="W7" s="122"/>
      <c r="X7" s="122"/>
      <c r="Y7" s="122"/>
      <c r="Z7" s="123"/>
      <c r="AA7" s="59"/>
    </row>
    <row r="8" spans="1:31" ht="15.6" x14ac:dyDescent="0.3">
      <c r="A8" s="114" t="s">
        <v>492</v>
      </c>
      <c r="B8" s="114" t="s">
        <v>485</v>
      </c>
      <c r="C8" s="112" t="s">
        <v>478</v>
      </c>
      <c r="D8" s="112" t="s">
        <v>508</v>
      </c>
      <c r="E8" s="112" t="s">
        <v>493</v>
      </c>
      <c r="F8" s="112">
        <v>1</v>
      </c>
      <c r="G8" s="112" t="s">
        <v>394</v>
      </c>
      <c r="H8" s="112" t="s">
        <v>391</v>
      </c>
      <c r="I8" s="115" t="s">
        <v>512</v>
      </c>
      <c r="J8" s="112" t="s">
        <v>488</v>
      </c>
      <c r="K8" s="112" t="s">
        <v>493</v>
      </c>
      <c r="L8" s="112" t="s">
        <v>392</v>
      </c>
      <c r="M8" s="112" t="s">
        <v>393</v>
      </c>
      <c r="N8" s="112">
        <f>+Y8/80</f>
        <v>4</v>
      </c>
      <c r="O8" s="112"/>
      <c r="P8" s="112" t="s">
        <v>509</v>
      </c>
      <c r="Q8" s="116"/>
      <c r="R8" s="116"/>
      <c r="S8" s="116"/>
      <c r="T8" s="116"/>
      <c r="U8" s="116"/>
      <c r="V8" s="116">
        <f>2*80</f>
        <v>160</v>
      </c>
      <c r="W8" s="116">
        <f>2*80</f>
        <v>160</v>
      </c>
      <c r="X8" s="112"/>
      <c r="Y8" s="116">
        <f>SUM(Q8:X8)</f>
        <v>320</v>
      </c>
      <c r="Z8" s="114" t="s">
        <v>510</v>
      </c>
      <c r="AA8" s="112" t="s">
        <v>482</v>
      </c>
    </row>
    <row r="9" spans="1:31" ht="15.6" x14ac:dyDescent="0.3">
      <c r="A9" s="118"/>
      <c r="B9" s="118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  <c r="R9" s="124"/>
      <c r="S9" s="124"/>
      <c r="T9" s="124"/>
      <c r="U9" s="124"/>
      <c r="V9" s="124"/>
      <c r="W9" s="124"/>
      <c r="X9" s="124"/>
      <c r="Y9" s="124"/>
      <c r="Z9" s="118" t="s">
        <v>541</v>
      </c>
      <c r="AA9" s="118"/>
    </row>
    <row r="10" spans="1:31" ht="15.6" x14ac:dyDescent="0.3">
      <c r="A10" s="118"/>
      <c r="B10" s="118"/>
      <c r="C10" s="125" t="s">
        <v>478</v>
      </c>
      <c r="D10" s="125" t="s">
        <v>508</v>
      </c>
      <c r="E10" s="125" t="s">
        <v>493</v>
      </c>
      <c r="F10" s="125">
        <v>1</v>
      </c>
      <c r="G10" s="125" t="s">
        <v>394</v>
      </c>
      <c r="H10" s="125" t="s">
        <v>391</v>
      </c>
      <c r="I10" s="126" t="s">
        <v>514</v>
      </c>
      <c r="J10" s="125" t="s">
        <v>488</v>
      </c>
      <c r="K10" s="125" t="s">
        <v>493</v>
      </c>
      <c r="L10" s="125" t="s">
        <v>392</v>
      </c>
      <c r="M10" s="125" t="s">
        <v>393</v>
      </c>
      <c r="N10" s="125">
        <f>+Y10/80</f>
        <v>8</v>
      </c>
      <c r="O10" s="125"/>
      <c r="P10" s="125" t="s">
        <v>509</v>
      </c>
      <c r="Q10" s="127"/>
      <c r="R10" s="127"/>
      <c r="S10" s="127"/>
      <c r="T10" s="127"/>
      <c r="U10" s="127"/>
      <c r="V10" s="127">
        <f>3*80</f>
        <v>240</v>
      </c>
      <c r="W10" s="128">
        <f>1*80</f>
        <v>80</v>
      </c>
      <c r="X10" s="125">
        <f>4*80</f>
        <v>320</v>
      </c>
      <c r="Y10" s="127">
        <f>SUM(Q10:X10)</f>
        <v>640</v>
      </c>
      <c r="Z10" s="123" t="s">
        <v>515</v>
      </c>
      <c r="AA10" s="59"/>
      <c r="AE10" s="84"/>
    </row>
    <row r="11" spans="1:31" ht="15.6" x14ac:dyDescent="0.3">
      <c r="A11" s="118"/>
      <c r="B11" s="118"/>
      <c r="C11" s="59"/>
      <c r="D11" s="59"/>
      <c r="E11" s="59"/>
      <c r="F11" s="59"/>
      <c r="G11" s="118"/>
      <c r="H11" s="59"/>
      <c r="I11" s="59"/>
      <c r="J11" s="59"/>
      <c r="K11" s="59"/>
      <c r="L11" s="59"/>
      <c r="M11" s="59"/>
      <c r="N11" s="121"/>
      <c r="O11" s="59"/>
      <c r="P11" s="59"/>
      <c r="Q11" s="122"/>
      <c r="R11" s="122"/>
      <c r="S11" s="122"/>
      <c r="T11" s="122"/>
      <c r="U11" s="119"/>
      <c r="V11" s="122"/>
      <c r="W11" s="122"/>
      <c r="X11" s="122"/>
      <c r="Y11" s="122"/>
      <c r="Z11" s="129"/>
      <c r="AA11" s="59"/>
    </row>
    <row r="12" spans="1:31" ht="15.6" x14ac:dyDescent="0.3">
      <c r="A12" s="34" t="s">
        <v>542</v>
      </c>
      <c r="B12" s="43" t="s">
        <v>485</v>
      </c>
      <c r="C12" s="44" t="s">
        <v>478</v>
      </c>
      <c r="D12" s="44" t="s">
        <v>508</v>
      </c>
      <c r="E12" s="44" t="s">
        <v>543</v>
      </c>
      <c r="F12" s="44">
        <v>1</v>
      </c>
      <c r="G12" s="44" t="s">
        <v>394</v>
      </c>
      <c r="H12" s="44" t="s">
        <v>391</v>
      </c>
      <c r="I12" s="55"/>
      <c r="J12" s="44" t="s">
        <v>488</v>
      </c>
      <c r="K12" s="44" t="s">
        <v>543</v>
      </c>
      <c r="L12" s="44" t="s">
        <v>392</v>
      </c>
      <c r="M12" s="44" t="s">
        <v>393</v>
      </c>
      <c r="N12" s="44">
        <f>+Y12/80</f>
        <v>20</v>
      </c>
      <c r="O12" s="45"/>
      <c r="P12" s="45" t="s">
        <v>544</v>
      </c>
      <c r="Q12" s="46"/>
      <c r="R12" s="46"/>
      <c r="S12" s="46"/>
      <c r="T12" s="46"/>
      <c r="U12" s="60"/>
      <c r="V12" s="46"/>
      <c r="W12" s="46">
        <f>12*80</f>
        <v>960</v>
      </c>
      <c r="X12" s="46">
        <f>8*80</f>
        <v>640</v>
      </c>
      <c r="Y12" s="46">
        <f>SUM(Q12:X12)</f>
        <v>1600</v>
      </c>
      <c r="Z12" s="34" t="s">
        <v>510</v>
      </c>
      <c r="AA12" s="45" t="s">
        <v>482</v>
      </c>
    </row>
    <row r="13" spans="1:31" ht="15.6" x14ac:dyDescent="0.3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53"/>
      <c r="V13" s="42"/>
      <c r="W13" s="42"/>
      <c r="X13" s="42"/>
      <c r="Y13" s="42"/>
      <c r="Z13" s="54" t="s">
        <v>545</v>
      </c>
      <c r="AA13" s="40"/>
    </row>
    <row r="14" spans="1:31" ht="15.6" x14ac:dyDescent="0.3">
      <c r="A14" s="42"/>
      <c r="B14" s="79"/>
      <c r="C14" s="39"/>
      <c r="D14" s="40"/>
      <c r="E14" s="40"/>
      <c r="F14" s="40"/>
      <c r="G14" s="42"/>
      <c r="H14" s="40"/>
      <c r="I14" s="40"/>
      <c r="J14" s="40"/>
      <c r="K14" s="40"/>
      <c r="L14" s="40"/>
      <c r="M14" s="40"/>
      <c r="N14" s="80"/>
      <c r="O14" s="40"/>
      <c r="P14" s="40"/>
      <c r="Q14" s="41"/>
      <c r="R14" s="41"/>
      <c r="S14" s="41"/>
      <c r="T14" s="41"/>
      <c r="U14" s="53"/>
      <c r="V14" s="41"/>
      <c r="W14" s="41"/>
      <c r="X14" s="41"/>
      <c r="Y14" s="41"/>
      <c r="Z14" s="48"/>
      <c r="AA14" s="40"/>
    </row>
    <row r="15" spans="1:31" ht="15.6" x14ac:dyDescent="0.3">
      <c r="A15" s="130" t="s">
        <v>546</v>
      </c>
      <c r="B15" s="130" t="s">
        <v>485</v>
      </c>
      <c r="C15" s="131" t="s">
        <v>478</v>
      </c>
      <c r="D15" s="131" t="s">
        <v>508</v>
      </c>
      <c r="E15" s="131" t="s">
        <v>547</v>
      </c>
      <c r="F15" s="131">
        <v>1</v>
      </c>
      <c r="G15" s="131" t="s">
        <v>394</v>
      </c>
      <c r="H15" s="131" t="s">
        <v>391</v>
      </c>
      <c r="I15" s="132" t="s">
        <v>548</v>
      </c>
      <c r="J15" s="131" t="s">
        <v>488</v>
      </c>
      <c r="K15" s="131" t="s">
        <v>547</v>
      </c>
      <c r="L15" s="131" t="s">
        <v>392</v>
      </c>
      <c r="M15" s="131" t="s">
        <v>393</v>
      </c>
      <c r="N15" s="131">
        <f>+Y15/80</f>
        <v>20</v>
      </c>
      <c r="O15" s="131"/>
      <c r="P15" s="131" t="s">
        <v>544</v>
      </c>
      <c r="Q15" s="133"/>
      <c r="R15" s="133"/>
      <c r="S15" s="133"/>
      <c r="T15" s="133"/>
      <c r="U15" s="133">
        <f>8*80</f>
        <v>640</v>
      </c>
      <c r="V15" s="133">
        <f>12*80</f>
        <v>960</v>
      </c>
      <c r="W15" s="133"/>
      <c r="X15" s="133"/>
      <c r="Y15" s="133">
        <f>SUM(Q15:X15)</f>
        <v>1600</v>
      </c>
      <c r="Z15" s="130" t="s">
        <v>510</v>
      </c>
      <c r="AA15" s="131" t="s">
        <v>482</v>
      </c>
    </row>
    <row r="16" spans="1:31" ht="15.6" x14ac:dyDescent="0.3">
      <c r="A16" s="134"/>
      <c r="B16" s="134"/>
      <c r="C16" s="135"/>
      <c r="D16" s="135"/>
      <c r="E16" s="135"/>
      <c r="F16" s="135"/>
      <c r="G16" s="135"/>
      <c r="H16" s="135"/>
      <c r="I16" s="135"/>
      <c r="J16" s="135"/>
      <c r="K16" s="135"/>
      <c r="L16" s="135"/>
      <c r="M16" s="135"/>
      <c r="N16" s="135"/>
      <c r="O16" s="135"/>
      <c r="P16" s="135"/>
      <c r="Q16" s="136"/>
      <c r="R16" s="136"/>
      <c r="S16" s="136"/>
      <c r="T16" s="136"/>
      <c r="U16" s="137"/>
      <c r="V16" s="136"/>
      <c r="W16" s="136"/>
      <c r="X16" s="136"/>
      <c r="Y16" s="136"/>
      <c r="Z16" s="138" t="s">
        <v>545</v>
      </c>
      <c r="AA16" s="135"/>
    </row>
    <row r="17" spans="1:31" ht="15.6" x14ac:dyDescent="0.3">
      <c r="A17" s="139" t="s">
        <v>549</v>
      </c>
      <c r="B17" s="134"/>
      <c r="C17" s="135"/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6"/>
      <c r="R17" s="136"/>
      <c r="S17" s="136"/>
      <c r="T17" s="136"/>
      <c r="U17" s="137"/>
      <c r="V17" s="136"/>
      <c r="W17" s="136"/>
      <c r="X17" s="136"/>
      <c r="Y17" s="136"/>
      <c r="Z17" s="140" t="s">
        <v>550</v>
      </c>
      <c r="AA17" s="135"/>
    </row>
    <row r="18" spans="1:31" ht="15.6" x14ac:dyDescent="0.3">
      <c r="A18" s="134"/>
      <c r="B18" s="134"/>
      <c r="C18" s="135"/>
      <c r="D18" s="135"/>
      <c r="E18" s="135"/>
      <c r="F18" s="135"/>
      <c r="G18" s="134"/>
      <c r="H18" s="135"/>
      <c r="I18" s="135"/>
      <c r="J18" s="135"/>
      <c r="K18" s="135"/>
      <c r="L18" s="135"/>
      <c r="M18" s="135"/>
      <c r="N18" s="141"/>
      <c r="O18" s="135"/>
      <c r="P18" s="135"/>
      <c r="Q18" s="136"/>
      <c r="R18" s="136"/>
      <c r="S18" s="136"/>
      <c r="T18" s="136"/>
      <c r="U18" s="137"/>
      <c r="V18" s="136"/>
      <c r="W18" s="136"/>
      <c r="X18" s="136"/>
      <c r="Y18" s="136"/>
      <c r="Z18" s="139"/>
      <c r="AA18" s="135"/>
    </row>
    <row r="19" spans="1:31" ht="15.6" x14ac:dyDescent="0.3">
      <c r="A19" s="34" t="s">
        <v>449</v>
      </c>
      <c r="B19" s="43" t="s">
        <v>485</v>
      </c>
      <c r="C19" s="44" t="s">
        <v>478</v>
      </c>
      <c r="D19" s="45" t="s">
        <v>508</v>
      </c>
      <c r="E19" s="45" t="s">
        <v>450</v>
      </c>
      <c r="F19" s="45">
        <v>1</v>
      </c>
      <c r="G19" s="45" t="s">
        <v>394</v>
      </c>
      <c r="H19" s="45" t="s">
        <v>391</v>
      </c>
      <c r="I19" s="78" t="s">
        <v>495</v>
      </c>
      <c r="J19" s="45" t="s">
        <v>439</v>
      </c>
      <c r="K19" s="45" t="s">
        <v>450</v>
      </c>
      <c r="L19" s="45" t="s">
        <v>392</v>
      </c>
      <c r="M19" s="45" t="s">
        <v>393</v>
      </c>
      <c r="N19" s="45">
        <f>+Y19/80</f>
        <v>20</v>
      </c>
      <c r="O19" s="45"/>
      <c r="P19" s="45" t="s">
        <v>544</v>
      </c>
      <c r="Q19" s="46"/>
      <c r="R19" s="46"/>
      <c r="S19" s="46"/>
      <c r="T19" s="46"/>
      <c r="U19" s="60"/>
      <c r="V19" s="46">
        <f>15*80</f>
        <v>1200</v>
      </c>
      <c r="W19" s="46">
        <f>5*80</f>
        <v>400</v>
      </c>
      <c r="X19" s="46"/>
      <c r="Y19" s="46">
        <f>SUM(Q19:X19)</f>
        <v>1600</v>
      </c>
      <c r="Z19" s="34" t="s">
        <v>510</v>
      </c>
      <c r="AA19" s="45" t="s">
        <v>482</v>
      </c>
    </row>
    <row r="20" spans="1:31" ht="15.6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53"/>
      <c r="V20" s="42"/>
      <c r="W20" s="42"/>
      <c r="X20" s="42"/>
      <c r="Y20" s="42"/>
      <c r="Z20" s="54" t="s">
        <v>545</v>
      </c>
      <c r="AA20" s="40"/>
    </row>
    <row r="21" spans="1:31" ht="15.6" x14ac:dyDescent="0.3">
      <c r="A21" s="42"/>
      <c r="B21" s="79"/>
      <c r="C21" s="39"/>
      <c r="D21" s="40"/>
      <c r="E21" s="40"/>
      <c r="F21" s="40"/>
      <c r="G21" s="42"/>
      <c r="H21" s="40"/>
      <c r="I21" s="40"/>
      <c r="J21" s="40"/>
      <c r="K21" s="40"/>
      <c r="L21" s="40"/>
      <c r="M21" s="40"/>
      <c r="N21" s="80"/>
      <c r="O21" s="40"/>
      <c r="P21" s="40"/>
      <c r="Q21" s="41"/>
      <c r="R21" s="41"/>
      <c r="S21" s="41"/>
      <c r="T21" s="41"/>
      <c r="U21" s="53"/>
      <c r="V21" s="41"/>
      <c r="W21" s="41"/>
      <c r="X21" s="41"/>
      <c r="Y21" s="41"/>
      <c r="Z21" s="48" t="s">
        <v>511</v>
      </c>
      <c r="AA21" s="40"/>
    </row>
    <row r="22" spans="1:31" ht="15.6" x14ac:dyDescent="0.3">
      <c r="A22" s="42"/>
      <c r="B22" s="79"/>
      <c r="C22" s="39"/>
      <c r="D22" s="40"/>
      <c r="E22" s="40"/>
      <c r="F22" s="40"/>
      <c r="G22" s="42"/>
      <c r="H22" s="40"/>
      <c r="I22" s="40"/>
      <c r="J22" s="40"/>
      <c r="K22" s="40"/>
      <c r="L22" s="40"/>
      <c r="M22" s="40"/>
      <c r="N22" s="80"/>
      <c r="O22" s="40"/>
      <c r="P22" s="40"/>
      <c r="Q22" s="41"/>
      <c r="R22" s="41"/>
      <c r="S22" s="41"/>
      <c r="T22" s="41"/>
      <c r="U22" s="53"/>
      <c r="V22" s="41"/>
      <c r="W22" s="41"/>
      <c r="X22" s="41"/>
      <c r="Y22" s="41"/>
      <c r="Z22" s="48"/>
      <c r="AA22" s="40"/>
    </row>
    <row r="23" spans="1:31" ht="15.6" x14ac:dyDescent="0.3">
      <c r="A23" s="34" t="s">
        <v>492</v>
      </c>
      <c r="B23" s="43" t="s">
        <v>485</v>
      </c>
      <c r="C23" s="44" t="s">
        <v>478</v>
      </c>
      <c r="D23" s="45" t="s">
        <v>508</v>
      </c>
      <c r="E23" s="45" t="s">
        <v>493</v>
      </c>
      <c r="F23" s="45">
        <v>1</v>
      </c>
      <c r="G23" s="45" t="s">
        <v>394</v>
      </c>
      <c r="H23" s="45" t="s">
        <v>391</v>
      </c>
      <c r="I23" s="55" t="s">
        <v>551</v>
      </c>
      <c r="J23" s="44" t="s">
        <v>488</v>
      </c>
      <c r="K23" s="44" t="s">
        <v>493</v>
      </c>
      <c r="L23" s="44" t="s">
        <v>392</v>
      </c>
      <c r="M23" s="44" t="s">
        <v>393</v>
      </c>
      <c r="N23" s="45">
        <f>+Y23/80</f>
        <v>20</v>
      </c>
      <c r="O23" s="45"/>
      <c r="P23" s="45" t="s">
        <v>544</v>
      </c>
      <c r="Q23" s="46"/>
      <c r="R23" s="46"/>
      <c r="S23" s="46"/>
      <c r="T23" s="46"/>
      <c r="U23" s="46"/>
      <c r="V23" s="46">
        <f>10*80</f>
        <v>800</v>
      </c>
      <c r="W23" s="46">
        <f>10*80</f>
        <v>800</v>
      </c>
      <c r="X23" s="45"/>
      <c r="Y23" s="46">
        <f>SUM(Q23:X23)</f>
        <v>1600</v>
      </c>
      <c r="Z23" s="34" t="s">
        <v>510</v>
      </c>
      <c r="AA23" s="45" t="s">
        <v>482</v>
      </c>
    </row>
    <row r="24" spans="1:31" ht="15.6" x14ac:dyDescent="0.3">
      <c r="A24" s="42"/>
      <c r="B24" s="79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  <c r="X24" s="81"/>
      <c r="Y24" s="81"/>
      <c r="Z24" s="42" t="s">
        <v>513</v>
      </c>
      <c r="AA24" s="42"/>
    </row>
    <row r="25" spans="1:31" ht="15.6" x14ac:dyDescent="0.3">
      <c r="A25" s="42"/>
      <c r="B25" s="79"/>
      <c r="C25" s="82" t="s">
        <v>478</v>
      </c>
      <c r="D25" s="35" t="s">
        <v>508</v>
      </c>
      <c r="E25" s="35" t="s">
        <v>493</v>
      </c>
      <c r="F25" s="35">
        <v>1</v>
      </c>
      <c r="G25" s="35" t="s">
        <v>394</v>
      </c>
      <c r="H25" s="35" t="s">
        <v>391</v>
      </c>
      <c r="I25" s="83" t="s">
        <v>552</v>
      </c>
      <c r="J25" s="82" t="s">
        <v>488</v>
      </c>
      <c r="K25" s="82" t="s">
        <v>493</v>
      </c>
      <c r="L25" s="82" t="s">
        <v>392</v>
      </c>
      <c r="M25" s="82" t="s">
        <v>393</v>
      </c>
      <c r="N25" s="35">
        <f>+Y25/80</f>
        <v>20</v>
      </c>
      <c r="O25" s="35"/>
      <c r="P25" s="35" t="s">
        <v>544</v>
      </c>
      <c r="Q25" s="36"/>
      <c r="R25" s="36"/>
      <c r="S25" s="36"/>
      <c r="T25" s="36"/>
      <c r="U25" s="36"/>
      <c r="V25" s="36">
        <f>8*80</f>
        <v>640</v>
      </c>
      <c r="W25" s="36">
        <f>7*80</f>
        <v>560</v>
      </c>
      <c r="X25" s="35">
        <f>5*80</f>
        <v>400</v>
      </c>
      <c r="Y25" s="36">
        <f>SUM(Q25:X25)</f>
        <v>1600</v>
      </c>
      <c r="Z25" s="48" t="s">
        <v>515</v>
      </c>
      <c r="AA25" s="40"/>
      <c r="AE25" s="84"/>
    </row>
    <row r="26" spans="1:31" ht="15.6" x14ac:dyDescent="0.3">
      <c r="A26" s="42"/>
      <c r="B26" s="79"/>
      <c r="C26" s="39"/>
      <c r="D26" s="40"/>
      <c r="E26" s="40"/>
      <c r="F26" s="40"/>
      <c r="G26" s="42"/>
      <c r="H26" s="40"/>
      <c r="I26" s="40"/>
      <c r="J26" s="40"/>
      <c r="K26" s="40"/>
      <c r="L26" s="40"/>
      <c r="M26" s="40"/>
      <c r="N26" s="80"/>
      <c r="O26" s="40"/>
      <c r="P26" s="40"/>
      <c r="Q26" s="41"/>
      <c r="R26" s="41"/>
      <c r="S26" s="41"/>
      <c r="T26" s="41"/>
      <c r="U26" s="53"/>
      <c r="V26" s="41"/>
      <c r="W26" s="41"/>
      <c r="X26" s="41"/>
      <c r="Y26" s="41"/>
      <c r="Z26" s="48"/>
      <c r="AA26" s="40"/>
    </row>
    <row r="27" spans="1:31" ht="15.6" x14ac:dyDescent="0.3">
      <c r="A27" s="34" t="s">
        <v>486</v>
      </c>
      <c r="B27" s="43" t="s">
        <v>485</v>
      </c>
      <c r="C27" s="44" t="s">
        <v>478</v>
      </c>
      <c r="D27" s="45" t="s">
        <v>508</v>
      </c>
      <c r="E27" s="45" t="s">
        <v>487</v>
      </c>
      <c r="F27" s="45">
        <v>1</v>
      </c>
      <c r="G27" s="45" t="s">
        <v>394</v>
      </c>
      <c r="H27" s="45" t="s">
        <v>391</v>
      </c>
      <c r="I27" s="45"/>
      <c r="J27" s="45" t="s">
        <v>488</v>
      </c>
      <c r="K27" s="45" t="s">
        <v>487</v>
      </c>
      <c r="L27" s="45" t="s">
        <v>481</v>
      </c>
      <c r="M27" s="45" t="s">
        <v>393</v>
      </c>
      <c r="N27" s="45">
        <f>+Y27/80</f>
        <v>50</v>
      </c>
      <c r="O27" s="45"/>
      <c r="P27" s="45" t="s">
        <v>553</v>
      </c>
      <c r="Q27" s="34"/>
      <c r="R27" s="34"/>
      <c r="S27" s="34"/>
      <c r="T27" s="46"/>
      <c r="U27" s="46">
        <f>10*80</f>
        <v>800</v>
      </c>
      <c r="V27" s="46">
        <f>20*80</f>
        <v>1600</v>
      </c>
      <c r="W27" s="46">
        <f>20*80</f>
        <v>1600</v>
      </c>
      <c r="X27" s="46"/>
      <c r="Y27" s="46">
        <f>SUM(Q27:X27)</f>
        <v>4000</v>
      </c>
      <c r="Z27" s="43" t="s">
        <v>510</v>
      </c>
      <c r="AA27" s="44" t="s">
        <v>482</v>
      </c>
    </row>
    <row r="28" spans="1:31" ht="15.6" x14ac:dyDescent="0.3">
      <c r="A28" s="42"/>
      <c r="B28" s="79"/>
      <c r="C28" s="39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86"/>
      <c r="O28" s="40"/>
      <c r="P28" s="40"/>
      <c r="Q28" s="42"/>
      <c r="R28" s="42"/>
      <c r="S28" s="42"/>
      <c r="T28" s="41"/>
      <c r="U28" s="53"/>
      <c r="V28" s="41"/>
      <c r="W28" s="41"/>
      <c r="X28" s="41"/>
      <c r="Y28" s="41"/>
      <c r="Z28" s="87" t="s">
        <v>554</v>
      </c>
      <c r="AA28" s="39"/>
    </row>
    <row r="29" spans="1:31" ht="15.6" x14ac:dyDescent="0.3">
      <c r="A29" s="42"/>
      <c r="B29" s="79"/>
      <c r="C29" s="39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86"/>
      <c r="O29" s="40"/>
      <c r="P29" s="40"/>
      <c r="Q29" s="42"/>
      <c r="R29" s="42"/>
      <c r="S29" s="42"/>
      <c r="T29" s="41"/>
      <c r="U29" s="53"/>
      <c r="V29" s="41"/>
      <c r="W29" s="41"/>
      <c r="X29" s="41"/>
      <c r="Y29" s="41"/>
      <c r="Z29" s="87"/>
      <c r="AA29" s="39"/>
    </row>
    <row r="30" spans="1:31" ht="15.6" x14ac:dyDescent="0.3">
      <c r="A30" s="42"/>
      <c r="B30" s="88" t="s">
        <v>389</v>
      </c>
      <c r="C30" s="82" t="s">
        <v>396</v>
      </c>
      <c r="D30" s="35" t="s">
        <v>508</v>
      </c>
      <c r="E30" s="35" t="s">
        <v>487</v>
      </c>
      <c r="F30" s="35">
        <v>1</v>
      </c>
      <c r="G30" s="35" t="s">
        <v>390</v>
      </c>
      <c r="H30" s="35" t="s">
        <v>391</v>
      </c>
      <c r="I30" s="35"/>
      <c r="J30" s="35" t="s">
        <v>488</v>
      </c>
      <c r="K30" s="35" t="s">
        <v>487</v>
      </c>
      <c r="L30" s="35" t="s">
        <v>481</v>
      </c>
      <c r="M30" s="35" t="s">
        <v>393</v>
      </c>
      <c r="N30" s="35">
        <f>+Y30/80</f>
        <v>30</v>
      </c>
      <c r="O30" s="35"/>
      <c r="P30" s="35" t="s">
        <v>536</v>
      </c>
      <c r="Q30" s="47"/>
      <c r="R30" s="47"/>
      <c r="S30" s="47"/>
      <c r="T30" s="36"/>
      <c r="U30" s="89"/>
      <c r="V30" s="36">
        <f>10*80</f>
        <v>800</v>
      </c>
      <c r="W30" s="36">
        <f>10*80</f>
        <v>800</v>
      </c>
      <c r="X30" s="36">
        <f>10*80</f>
        <v>800</v>
      </c>
      <c r="Y30" s="36">
        <f>SUM(Q30:X30)</f>
        <v>2400</v>
      </c>
      <c r="Z30" s="88" t="s">
        <v>516</v>
      </c>
      <c r="AA30" s="82" t="s">
        <v>406</v>
      </c>
    </row>
    <row r="31" spans="1:31" ht="15.6" x14ac:dyDescent="0.3">
      <c r="A31" s="42"/>
      <c r="B31" s="38"/>
      <c r="C31" s="39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2"/>
      <c r="R31" s="42"/>
      <c r="S31" s="42"/>
      <c r="T31" s="41"/>
      <c r="U31" s="53"/>
      <c r="V31" s="41"/>
      <c r="W31" s="41"/>
      <c r="X31" s="41"/>
      <c r="Y31" s="41"/>
      <c r="Z31" s="87" t="s">
        <v>517</v>
      </c>
      <c r="AA31" s="39"/>
    </row>
    <row r="32" spans="1:31" ht="15.6" x14ac:dyDescent="0.3">
      <c r="A32" s="42"/>
      <c r="B32" s="79"/>
      <c r="C32" s="39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86"/>
      <c r="O32" s="40"/>
      <c r="P32" s="40"/>
      <c r="Q32" s="42"/>
      <c r="R32" s="42"/>
      <c r="S32" s="42"/>
      <c r="T32" s="41"/>
      <c r="U32" s="53"/>
      <c r="V32" s="41"/>
      <c r="W32" s="41"/>
      <c r="X32" s="41"/>
      <c r="Y32" s="41"/>
      <c r="Z32" s="87"/>
      <c r="AA32" s="39"/>
    </row>
    <row r="33" spans="1:27" ht="15.6" x14ac:dyDescent="0.3">
      <c r="A33" s="42"/>
      <c r="B33" s="88" t="s">
        <v>485</v>
      </c>
      <c r="C33" s="82" t="s">
        <v>478</v>
      </c>
      <c r="D33" s="35" t="s">
        <v>508</v>
      </c>
      <c r="E33" s="35" t="s">
        <v>487</v>
      </c>
      <c r="F33" s="35">
        <v>1</v>
      </c>
      <c r="G33" s="35" t="s">
        <v>411</v>
      </c>
      <c r="H33" s="35" t="s">
        <v>391</v>
      </c>
      <c r="I33" s="35"/>
      <c r="J33" s="35" t="s">
        <v>488</v>
      </c>
      <c r="K33" s="35" t="s">
        <v>487</v>
      </c>
      <c r="L33" s="35" t="s">
        <v>481</v>
      </c>
      <c r="M33" s="35" t="s">
        <v>393</v>
      </c>
      <c r="N33" s="35">
        <f>+Y33/80</f>
        <v>30</v>
      </c>
      <c r="O33" s="35"/>
      <c r="P33" s="35" t="s">
        <v>544</v>
      </c>
      <c r="Q33" s="47"/>
      <c r="R33" s="47"/>
      <c r="S33" s="47"/>
      <c r="T33" s="36"/>
      <c r="U33" s="36"/>
      <c r="V33" s="36">
        <f>20*80</f>
        <v>1600</v>
      </c>
      <c r="W33" s="36">
        <f>10*80</f>
        <v>800</v>
      </c>
      <c r="X33" s="36"/>
      <c r="Y33" s="36">
        <f>SUM(Q33:X33)</f>
        <v>2400</v>
      </c>
      <c r="Z33" s="88" t="s">
        <v>510</v>
      </c>
      <c r="AA33" s="82" t="s">
        <v>482</v>
      </c>
    </row>
    <row r="34" spans="1:27" ht="15.6" x14ac:dyDescent="0.3">
      <c r="A34" s="42"/>
      <c r="B34" s="79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86"/>
      <c r="O34" s="40"/>
      <c r="P34" s="40"/>
      <c r="Q34" s="42"/>
      <c r="R34" s="42"/>
      <c r="S34" s="42"/>
      <c r="T34" s="41"/>
      <c r="U34" s="53"/>
      <c r="V34" s="41"/>
      <c r="W34" s="41"/>
      <c r="X34" s="41"/>
      <c r="Y34" s="41"/>
      <c r="Z34" s="87" t="s">
        <v>518</v>
      </c>
      <c r="AA34" s="39"/>
    </row>
    <row r="35" spans="1:27" ht="15.6" x14ac:dyDescent="0.3">
      <c r="A35" s="42"/>
      <c r="B35" s="79"/>
      <c r="C35" s="39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86"/>
      <c r="O35" s="40"/>
      <c r="P35" s="40"/>
      <c r="Q35" s="42"/>
      <c r="R35" s="42"/>
      <c r="S35" s="42"/>
      <c r="T35" s="41"/>
      <c r="U35" s="53"/>
      <c r="V35" s="41"/>
      <c r="W35" s="41"/>
      <c r="X35" s="41"/>
      <c r="Y35" s="41"/>
      <c r="Z35" s="87"/>
      <c r="AA35" s="39"/>
    </row>
    <row r="36" spans="1:27" ht="15.6" x14ac:dyDescent="0.3">
      <c r="A36" s="34" t="s">
        <v>486</v>
      </c>
      <c r="B36" s="43" t="s">
        <v>485</v>
      </c>
      <c r="C36" s="44" t="s">
        <v>478</v>
      </c>
      <c r="D36" s="45" t="s">
        <v>508</v>
      </c>
      <c r="E36" s="45" t="s">
        <v>487</v>
      </c>
      <c r="F36" s="45">
        <v>1</v>
      </c>
      <c r="G36" s="45" t="s">
        <v>394</v>
      </c>
      <c r="H36" s="45" t="s">
        <v>391</v>
      </c>
      <c r="I36" s="45"/>
      <c r="J36" s="45" t="s">
        <v>488</v>
      </c>
      <c r="K36" s="45" t="s">
        <v>487</v>
      </c>
      <c r="L36" s="45" t="s">
        <v>481</v>
      </c>
      <c r="M36" s="45" t="s">
        <v>393</v>
      </c>
      <c r="N36" s="45">
        <f>+Y36/80</f>
        <v>50</v>
      </c>
      <c r="O36" s="45"/>
      <c r="P36" s="45" t="s">
        <v>553</v>
      </c>
      <c r="Q36" s="34"/>
      <c r="R36" s="34"/>
      <c r="S36" s="34"/>
      <c r="T36" s="46"/>
      <c r="U36" s="46">
        <f>10*80</f>
        <v>800</v>
      </c>
      <c r="V36" s="46">
        <f>20*80</f>
        <v>1600</v>
      </c>
      <c r="W36" s="46">
        <f>20*80</f>
        <v>1600</v>
      </c>
      <c r="X36" s="46"/>
      <c r="Y36" s="46">
        <f>SUM(Q36:X36)</f>
        <v>4000</v>
      </c>
      <c r="Z36" s="43" t="s">
        <v>510</v>
      </c>
      <c r="AA36" s="44" t="s">
        <v>482</v>
      </c>
    </row>
    <row r="37" spans="1:27" ht="15.6" x14ac:dyDescent="0.3">
      <c r="A37" s="42"/>
      <c r="B37" s="79"/>
      <c r="C37" s="39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86"/>
      <c r="O37" s="40"/>
      <c r="P37" s="40"/>
      <c r="Q37" s="42"/>
      <c r="R37" s="42"/>
      <c r="S37" s="42"/>
      <c r="T37" s="41"/>
      <c r="U37" s="53"/>
      <c r="V37" s="41"/>
      <c r="W37" s="41"/>
      <c r="X37" s="41"/>
      <c r="Y37" s="41"/>
      <c r="Z37" s="87" t="s">
        <v>554</v>
      </c>
      <c r="AA37" s="39"/>
    </row>
    <row r="38" spans="1:27" ht="15.6" x14ac:dyDescent="0.3">
      <c r="A38" s="42"/>
      <c r="B38" s="79"/>
      <c r="C38" s="39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86"/>
      <c r="O38" s="40"/>
      <c r="P38" s="40"/>
      <c r="Q38" s="42"/>
      <c r="R38" s="42"/>
      <c r="S38" s="42"/>
      <c r="T38" s="41"/>
      <c r="U38" s="53"/>
      <c r="V38" s="41"/>
      <c r="W38" s="41"/>
      <c r="X38" s="41"/>
      <c r="Y38" s="41"/>
      <c r="Z38" s="87"/>
      <c r="AA38" s="39"/>
    </row>
    <row r="39" spans="1:27" ht="15.6" x14ac:dyDescent="0.3">
      <c r="A39" s="42"/>
      <c r="B39" s="88" t="s">
        <v>389</v>
      </c>
      <c r="C39" s="82" t="s">
        <v>396</v>
      </c>
      <c r="D39" s="35" t="s">
        <v>508</v>
      </c>
      <c r="E39" s="35" t="s">
        <v>487</v>
      </c>
      <c r="F39" s="35">
        <v>1</v>
      </c>
      <c r="G39" s="35" t="s">
        <v>390</v>
      </c>
      <c r="H39" s="35" t="s">
        <v>391</v>
      </c>
      <c r="I39" s="35"/>
      <c r="J39" s="35" t="s">
        <v>488</v>
      </c>
      <c r="K39" s="35" t="s">
        <v>487</v>
      </c>
      <c r="L39" s="35" t="s">
        <v>481</v>
      </c>
      <c r="M39" s="35" t="s">
        <v>393</v>
      </c>
      <c r="N39" s="35">
        <f>+Y39/80</f>
        <v>30</v>
      </c>
      <c r="O39" s="35"/>
      <c r="P39" s="35" t="s">
        <v>536</v>
      </c>
      <c r="Q39" s="47"/>
      <c r="R39" s="47"/>
      <c r="S39" s="47"/>
      <c r="T39" s="36"/>
      <c r="U39" s="89"/>
      <c r="V39" s="36">
        <f>10*80</f>
        <v>800</v>
      </c>
      <c r="W39" s="36">
        <f>10*80</f>
        <v>800</v>
      </c>
      <c r="X39" s="36">
        <f>10*80</f>
        <v>800</v>
      </c>
      <c r="Y39" s="36">
        <f>SUM(Q39:X39)</f>
        <v>2400</v>
      </c>
      <c r="Z39" s="88" t="s">
        <v>516</v>
      </c>
      <c r="AA39" s="82" t="s">
        <v>406</v>
      </c>
    </row>
    <row r="40" spans="1:27" ht="15.6" x14ac:dyDescent="0.3">
      <c r="A40" s="42"/>
      <c r="B40" s="38"/>
      <c r="C40" s="39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2"/>
      <c r="R40" s="42"/>
      <c r="S40" s="42"/>
      <c r="T40" s="41"/>
      <c r="U40" s="53"/>
      <c r="V40" s="41"/>
      <c r="W40" s="41"/>
      <c r="X40" s="41"/>
      <c r="Y40" s="41"/>
      <c r="Z40" s="87" t="s">
        <v>517</v>
      </c>
      <c r="AA40" s="39"/>
    </row>
    <row r="41" spans="1:27" ht="15.6" x14ac:dyDescent="0.3">
      <c r="A41" s="42"/>
      <c r="B41" s="79"/>
      <c r="C41" s="39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86"/>
      <c r="O41" s="40"/>
      <c r="P41" s="40"/>
      <c r="Q41" s="42"/>
      <c r="R41" s="42"/>
      <c r="S41" s="42"/>
      <c r="T41" s="41"/>
      <c r="U41" s="53"/>
      <c r="V41" s="41"/>
      <c r="W41" s="41"/>
      <c r="X41" s="41"/>
      <c r="Y41" s="41"/>
      <c r="Z41" s="87"/>
      <c r="AA41" s="39"/>
    </row>
    <row r="42" spans="1:27" ht="15.6" x14ac:dyDescent="0.3">
      <c r="A42" s="42"/>
      <c r="B42" s="88" t="s">
        <v>485</v>
      </c>
      <c r="C42" s="82" t="s">
        <v>478</v>
      </c>
      <c r="D42" s="35" t="s">
        <v>508</v>
      </c>
      <c r="E42" s="35" t="s">
        <v>487</v>
      </c>
      <c r="F42" s="35">
        <v>1</v>
      </c>
      <c r="G42" s="35" t="s">
        <v>411</v>
      </c>
      <c r="H42" s="35" t="s">
        <v>391</v>
      </c>
      <c r="I42" s="35"/>
      <c r="J42" s="35" t="s">
        <v>488</v>
      </c>
      <c r="K42" s="35" t="s">
        <v>487</v>
      </c>
      <c r="L42" s="35" t="s">
        <v>481</v>
      </c>
      <c r="M42" s="35" t="s">
        <v>393</v>
      </c>
      <c r="N42" s="35">
        <f>+Y42/80</f>
        <v>30</v>
      </c>
      <c r="O42" s="35"/>
      <c r="P42" s="35" t="s">
        <v>544</v>
      </c>
      <c r="Q42" s="47"/>
      <c r="R42" s="47"/>
      <c r="S42" s="47"/>
      <c r="T42" s="36"/>
      <c r="U42" s="36"/>
      <c r="V42" s="36">
        <f>20*80</f>
        <v>1600</v>
      </c>
      <c r="W42" s="36">
        <f>10*80</f>
        <v>800</v>
      </c>
      <c r="X42" s="36"/>
      <c r="Y42" s="36">
        <f>SUM(Q42:X42)</f>
        <v>2400</v>
      </c>
      <c r="Z42" s="88" t="s">
        <v>510</v>
      </c>
      <c r="AA42" s="82" t="s">
        <v>482</v>
      </c>
    </row>
    <row r="43" spans="1:27" ht="15.6" x14ac:dyDescent="0.3">
      <c r="A43" s="42"/>
      <c r="B43" s="79"/>
      <c r="C43" s="39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86"/>
      <c r="O43" s="40"/>
      <c r="P43" s="40"/>
      <c r="Q43" s="42"/>
      <c r="R43" s="42"/>
      <c r="S43" s="42"/>
      <c r="T43" s="41"/>
      <c r="U43" s="53"/>
      <c r="V43" s="41"/>
      <c r="W43" s="41"/>
      <c r="X43" s="41"/>
      <c r="Y43" s="41"/>
      <c r="Z43" s="87" t="s">
        <v>518</v>
      </c>
      <c r="AA43" s="39"/>
    </row>
    <row r="44" spans="1:27" ht="15.6" x14ac:dyDescent="0.3">
      <c r="A44" s="42"/>
      <c r="B44" s="79"/>
      <c r="C44" s="39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86"/>
      <c r="O44" s="40"/>
      <c r="P44" s="40"/>
      <c r="Q44" s="42"/>
      <c r="R44" s="42"/>
      <c r="S44" s="42"/>
      <c r="T44" s="41"/>
      <c r="U44" s="53"/>
      <c r="V44" s="41"/>
      <c r="W44" s="41"/>
      <c r="X44" s="41"/>
      <c r="Y44" s="41"/>
      <c r="Z44" s="87"/>
      <c r="AA44" s="39"/>
    </row>
    <row r="45" spans="1:27" ht="15.6" x14ac:dyDescent="0.3">
      <c r="A45" s="114" t="s">
        <v>395</v>
      </c>
      <c r="B45" s="114" t="s">
        <v>389</v>
      </c>
      <c r="C45" s="112" t="s">
        <v>396</v>
      </c>
      <c r="D45" s="112" t="s">
        <v>508</v>
      </c>
      <c r="E45" s="112" t="s">
        <v>397</v>
      </c>
      <c r="F45" s="112">
        <v>1</v>
      </c>
      <c r="G45" s="112" t="s">
        <v>390</v>
      </c>
      <c r="H45" s="112" t="s">
        <v>391</v>
      </c>
      <c r="I45" s="115" t="s">
        <v>535</v>
      </c>
      <c r="J45" s="112" t="s">
        <v>398</v>
      </c>
      <c r="K45" s="112" t="s">
        <v>397</v>
      </c>
      <c r="L45" s="112" t="s">
        <v>392</v>
      </c>
      <c r="M45" s="112" t="s">
        <v>399</v>
      </c>
      <c r="N45" s="112"/>
      <c r="O45" s="112">
        <f>+Y45/70</f>
        <v>74</v>
      </c>
      <c r="P45" s="112" t="s">
        <v>536</v>
      </c>
      <c r="Q45" s="117"/>
      <c r="R45" s="116"/>
      <c r="S45" s="116">
        <f>20*70</f>
        <v>1400</v>
      </c>
      <c r="T45" s="116">
        <f>27*70</f>
        <v>1890</v>
      </c>
      <c r="U45" s="116">
        <f>27*70</f>
        <v>1890</v>
      </c>
      <c r="V45" s="116"/>
      <c r="W45" s="116"/>
      <c r="X45" s="116"/>
      <c r="Y45" s="116">
        <f>SUM(Q45:X45)</f>
        <v>5180</v>
      </c>
      <c r="Z45" s="142" t="s">
        <v>555</v>
      </c>
      <c r="AA45" s="112" t="s">
        <v>406</v>
      </c>
    </row>
    <row r="46" spans="1:27" ht="15.6" x14ac:dyDescent="0.3">
      <c r="A46" s="118"/>
      <c r="B46" s="118"/>
      <c r="C46" s="118"/>
      <c r="D46" s="59"/>
      <c r="E46" s="59"/>
      <c r="F46" s="59"/>
      <c r="G46" s="59"/>
      <c r="H46" s="59"/>
      <c r="I46" s="143"/>
      <c r="J46" s="59"/>
      <c r="K46" s="59"/>
      <c r="L46" s="59"/>
      <c r="M46" s="59"/>
      <c r="N46" s="59"/>
      <c r="O46" s="144"/>
      <c r="P46" s="144" t="s">
        <v>556</v>
      </c>
      <c r="Q46" s="119"/>
      <c r="R46" s="122"/>
      <c r="S46" s="122"/>
      <c r="T46" s="122"/>
      <c r="U46" s="122"/>
      <c r="V46" s="122"/>
      <c r="W46" s="122"/>
      <c r="X46" s="122"/>
      <c r="Y46" s="118"/>
      <c r="Z46" s="118" t="s">
        <v>557</v>
      </c>
      <c r="AA46" s="59"/>
    </row>
    <row r="47" spans="1:27" ht="15.6" x14ac:dyDescent="0.3">
      <c r="A47" s="118"/>
      <c r="B47" s="118"/>
      <c r="C47" s="59"/>
      <c r="D47" s="118"/>
      <c r="E47" s="118"/>
      <c r="F47" s="118"/>
      <c r="G47" s="118"/>
      <c r="H47" s="118"/>
      <c r="I47" s="118"/>
      <c r="J47" s="118"/>
      <c r="K47" s="119"/>
      <c r="L47" s="118"/>
      <c r="M47" s="118"/>
      <c r="N47" s="118"/>
      <c r="O47" s="118"/>
      <c r="P47" s="118"/>
      <c r="Q47" s="118"/>
      <c r="R47" s="118"/>
      <c r="S47" s="118"/>
      <c r="T47" s="118"/>
      <c r="U47" s="118"/>
      <c r="V47" s="119"/>
      <c r="W47" s="145"/>
      <c r="X47" s="118"/>
      <c r="Y47" s="118"/>
      <c r="Z47" s="146"/>
      <c r="AA47" s="147"/>
    </row>
    <row r="48" spans="1:27" ht="15.6" x14ac:dyDescent="0.3">
      <c r="A48" s="53"/>
      <c r="B48" s="53"/>
      <c r="C48" s="82" t="s">
        <v>396</v>
      </c>
      <c r="D48" s="35" t="s">
        <v>508</v>
      </c>
      <c r="E48" s="35" t="s">
        <v>397</v>
      </c>
      <c r="F48" s="35">
        <v>1</v>
      </c>
      <c r="G48" s="35" t="s">
        <v>558</v>
      </c>
      <c r="H48" s="148" t="s">
        <v>419</v>
      </c>
      <c r="I48" s="148" t="s">
        <v>430</v>
      </c>
      <c r="J48" s="35" t="s">
        <v>398</v>
      </c>
      <c r="K48" s="35" t="s">
        <v>397</v>
      </c>
      <c r="L48" s="35" t="s">
        <v>392</v>
      </c>
      <c r="M48" s="35" t="s">
        <v>399</v>
      </c>
      <c r="N48" s="35"/>
      <c r="O48" s="35">
        <f>+Y48/55</f>
        <v>30</v>
      </c>
      <c r="P48" s="35" t="s">
        <v>536</v>
      </c>
      <c r="Q48" s="36">
        <f>5*55</f>
        <v>275</v>
      </c>
      <c r="R48" s="36">
        <f>10*55</f>
        <v>550</v>
      </c>
      <c r="S48" s="36">
        <f>15*55</f>
        <v>825</v>
      </c>
      <c r="T48" s="36"/>
      <c r="U48" s="36"/>
      <c r="V48" s="36"/>
      <c r="W48" s="36"/>
      <c r="X48" s="36"/>
      <c r="Y48" s="36">
        <f>SUM(Q48:X48)</f>
        <v>1650</v>
      </c>
      <c r="Z48" s="47" t="s">
        <v>516</v>
      </c>
      <c r="AA48" s="40" t="s">
        <v>406</v>
      </c>
    </row>
    <row r="49" spans="1:28" ht="15.6" x14ac:dyDescent="0.3">
      <c r="A49" s="42"/>
      <c r="B49" s="79"/>
      <c r="C49" s="40" t="s">
        <v>396</v>
      </c>
      <c r="D49" s="40" t="s">
        <v>508</v>
      </c>
      <c r="E49" s="40" t="s">
        <v>397</v>
      </c>
      <c r="F49" s="40">
        <v>1</v>
      </c>
      <c r="G49" s="40" t="s">
        <v>390</v>
      </c>
      <c r="H49" s="40" t="s">
        <v>391</v>
      </c>
      <c r="I49" s="85" t="s">
        <v>430</v>
      </c>
      <c r="J49" s="40" t="s">
        <v>398</v>
      </c>
      <c r="K49" s="40" t="s">
        <v>397</v>
      </c>
      <c r="L49" s="40" t="s">
        <v>392</v>
      </c>
      <c r="M49" s="40" t="s">
        <v>399</v>
      </c>
      <c r="N49" s="40"/>
      <c r="O49" s="40">
        <f>+Y49/70</f>
        <v>30</v>
      </c>
      <c r="P49" s="40" t="s">
        <v>536</v>
      </c>
      <c r="Q49" s="53"/>
      <c r="R49" s="41"/>
      <c r="S49" s="41"/>
      <c r="T49" s="41">
        <f>15*70</f>
        <v>1050</v>
      </c>
      <c r="U49" s="41">
        <f>15*70</f>
        <v>1050</v>
      </c>
      <c r="V49" s="41"/>
      <c r="W49" s="41"/>
      <c r="X49" s="41"/>
      <c r="Y49" s="41">
        <f>SUM(Q49:X49)</f>
        <v>2100</v>
      </c>
      <c r="Z49" s="37" t="s">
        <v>519</v>
      </c>
      <c r="AA49" s="40"/>
    </row>
    <row r="50" spans="1:28" ht="15.6" x14ac:dyDescent="0.3">
      <c r="A50" s="42"/>
      <c r="B50" s="79"/>
      <c r="C50" s="42"/>
      <c r="D50" s="40"/>
      <c r="E50" s="40"/>
      <c r="F50" s="40"/>
      <c r="G50" s="40"/>
      <c r="H50" s="40"/>
      <c r="I50" s="85"/>
      <c r="J50" s="40"/>
      <c r="K50" s="40"/>
      <c r="L50" s="40"/>
      <c r="M50" s="40"/>
      <c r="N50" s="40"/>
      <c r="O50" s="40"/>
      <c r="P50" s="40"/>
      <c r="Q50" s="53"/>
      <c r="R50" s="41"/>
      <c r="S50" s="41"/>
      <c r="T50" s="41"/>
      <c r="U50" s="41"/>
      <c r="V50" s="41"/>
      <c r="W50" s="41"/>
      <c r="X50" s="41"/>
      <c r="Y50" s="41"/>
      <c r="Z50" s="92" t="s">
        <v>520</v>
      </c>
      <c r="AA50" s="40"/>
    </row>
    <row r="51" spans="1:28" ht="15.6" x14ac:dyDescent="0.3">
      <c r="A51" s="42"/>
      <c r="B51" s="79"/>
      <c r="C51" s="39"/>
      <c r="D51" s="42"/>
      <c r="E51" s="42"/>
      <c r="F51" s="42"/>
      <c r="G51" s="42"/>
      <c r="H51" s="42"/>
      <c r="I51" s="42"/>
      <c r="J51" s="42"/>
      <c r="K51" s="53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53"/>
      <c r="W51" s="90"/>
      <c r="X51" s="90"/>
      <c r="Y51" s="42"/>
      <c r="Z51" s="91"/>
      <c r="AA51" s="40"/>
    </row>
    <row r="52" spans="1:28" ht="15.6" x14ac:dyDescent="0.3">
      <c r="A52" s="61"/>
      <c r="B52" s="61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50"/>
      <c r="R52" s="50"/>
      <c r="S52" s="50"/>
      <c r="T52" s="61"/>
      <c r="U52" s="61"/>
      <c r="V52" s="50"/>
      <c r="W52" s="50"/>
      <c r="X52" s="50"/>
      <c r="Y52" s="50"/>
      <c r="Z52" s="93"/>
      <c r="AA52" s="94"/>
    </row>
    <row r="53" spans="1:28" ht="15.6" x14ac:dyDescent="0.3">
      <c r="A53" s="33" t="s">
        <v>407</v>
      </c>
      <c r="B53" s="33"/>
      <c r="C53" s="52"/>
      <c r="D53" s="52"/>
      <c r="E53" s="33"/>
      <c r="F53" s="33"/>
      <c r="G53" s="52"/>
      <c r="H53" s="33"/>
      <c r="I53" s="52"/>
      <c r="J53" s="52"/>
      <c r="K53" s="52"/>
      <c r="L53" s="33"/>
      <c r="M53" s="33"/>
      <c r="N53" s="51">
        <f>SUM(N4:N52)</f>
        <v>335</v>
      </c>
      <c r="O53" s="51">
        <f>SUM(O4:O52)</f>
        <v>134</v>
      </c>
      <c r="P53" s="51"/>
      <c r="Q53" s="51">
        <f t="shared" ref="Q53:Y53" si="0">SUM(Q4:Q52)</f>
        <v>275</v>
      </c>
      <c r="R53" s="51">
        <f t="shared" si="0"/>
        <v>550</v>
      </c>
      <c r="S53" s="51">
        <f t="shared" si="0"/>
        <v>2225</v>
      </c>
      <c r="T53" s="51">
        <f t="shared" si="0"/>
        <v>2940</v>
      </c>
      <c r="U53" s="51">
        <f t="shared" si="0"/>
        <v>5180</v>
      </c>
      <c r="V53" s="51">
        <f t="shared" si="0"/>
        <v>12160</v>
      </c>
      <c r="W53" s="51">
        <f t="shared" si="0"/>
        <v>9360</v>
      </c>
      <c r="X53" s="51">
        <f t="shared" si="0"/>
        <v>3040</v>
      </c>
      <c r="Y53" s="51">
        <f t="shared" si="0"/>
        <v>35730</v>
      </c>
      <c r="Z53" s="51"/>
      <c r="AA53" s="51"/>
    </row>
    <row r="54" spans="1:28" ht="15.6" x14ac:dyDescent="0.3">
      <c r="A54" s="95" t="s">
        <v>496</v>
      </c>
      <c r="B54" s="96"/>
      <c r="C54" s="96"/>
      <c r="D54" s="96"/>
      <c r="E54" s="96"/>
      <c r="F54" s="96"/>
      <c r="G54" s="96"/>
      <c r="H54" s="96"/>
      <c r="I54" s="96"/>
      <c r="J54" s="96"/>
      <c r="K54" s="96"/>
      <c r="L54" s="96"/>
      <c r="M54" s="96"/>
      <c r="N54" s="96"/>
      <c r="O54" s="96"/>
      <c r="P54" s="96"/>
      <c r="Q54" s="96"/>
      <c r="R54" s="96"/>
      <c r="S54" s="96"/>
      <c r="T54" s="96"/>
      <c r="U54" s="96"/>
      <c r="V54" s="96"/>
      <c r="W54" s="96"/>
      <c r="X54" s="96"/>
      <c r="Y54" s="96"/>
      <c r="Z54" s="96"/>
      <c r="AA54" s="96"/>
    </row>
    <row r="55" spans="1:28" ht="15.6" x14ac:dyDescent="0.3">
      <c r="A55" s="98" t="s">
        <v>497</v>
      </c>
      <c r="B55" s="96"/>
      <c r="C55" s="96"/>
      <c r="D55" s="96"/>
      <c r="E55" s="96"/>
      <c r="F55" s="96"/>
      <c r="G55" s="96"/>
      <c r="H55" s="96"/>
      <c r="I55" s="96"/>
      <c r="J55" s="96"/>
      <c r="K55" s="96"/>
      <c r="L55" s="96"/>
      <c r="M55" s="96"/>
      <c r="N55" s="96"/>
      <c r="O55" s="96"/>
      <c r="P55" s="96"/>
      <c r="Q55" s="99"/>
      <c r="R55" s="99"/>
      <c r="S55" s="99"/>
      <c r="T55" s="99"/>
      <c r="U55" s="99"/>
      <c r="V55" s="99"/>
      <c r="W55" s="99"/>
      <c r="X55" s="99"/>
      <c r="Y55" s="99"/>
      <c r="Z55" s="99"/>
      <c r="AA55" s="96"/>
      <c r="AB55" s="97"/>
    </row>
    <row r="56" spans="1:28" ht="15.6" x14ac:dyDescent="0.3">
      <c r="A56" s="100" t="s">
        <v>498</v>
      </c>
      <c r="B56" s="96"/>
      <c r="C56" s="96"/>
      <c r="D56" s="96"/>
      <c r="E56" s="96"/>
      <c r="F56" s="96"/>
      <c r="G56" s="96"/>
      <c r="H56" s="96"/>
      <c r="I56" s="96"/>
      <c r="J56" s="96"/>
      <c r="K56" s="96"/>
      <c r="L56" s="96"/>
      <c r="M56" s="96"/>
      <c r="N56" s="96"/>
      <c r="O56" s="96"/>
      <c r="P56" s="96"/>
      <c r="Q56" s="96"/>
      <c r="R56" s="96"/>
      <c r="S56" s="96"/>
      <c r="T56" s="96"/>
      <c r="U56" s="96"/>
      <c r="V56" s="96"/>
      <c r="W56" s="96"/>
      <c r="X56" s="96"/>
      <c r="Y56" s="96"/>
      <c r="Z56" s="96"/>
      <c r="AA56" s="96"/>
      <c r="AB56" s="97"/>
    </row>
    <row r="57" spans="1:28" ht="15.6" x14ac:dyDescent="0.3">
      <c r="A57" s="101" t="s">
        <v>499</v>
      </c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96"/>
      <c r="W57" s="96"/>
      <c r="X57" s="96"/>
      <c r="Y57" s="96"/>
      <c r="Z57" s="96"/>
      <c r="AA57" s="96"/>
      <c r="AB57" s="97"/>
    </row>
    <row r="58" spans="1:28" ht="15.6" x14ac:dyDescent="0.3">
      <c r="A58" s="101" t="s">
        <v>500</v>
      </c>
      <c r="B58" s="96"/>
      <c r="C58" s="96"/>
      <c r="D58" s="96"/>
      <c r="E58" s="96"/>
      <c r="F58" s="96"/>
      <c r="G58" s="96"/>
      <c r="H58" s="96"/>
      <c r="I58" s="96"/>
      <c r="J58" s="96"/>
      <c r="K58" s="96"/>
      <c r="L58" s="96"/>
      <c r="M58" s="96"/>
      <c r="N58" s="96"/>
      <c r="O58" s="96"/>
      <c r="P58" s="96"/>
      <c r="Q58" s="96"/>
      <c r="R58" s="96"/>
      <c r="S58" s="96"/>
      <c r="T58" s="96"/>
      <c r="U58" s="96"/>
      <c r="V58" s="96"/>
      <c r="W58" s="96"/>
      <c r="X58" s="96"/>
      <c r="Y58" s="96"/>
      <c r="Z58" s="96"/>
      <c r="AA58" s="96"/>
      <c r="AB58" s="97"/>
    </row>
    <row r="59" spans="1:28" ht="15.6" x14ac:dyDescent="0.3">
      <c r="A59" s="101" t="s">
        <v>501</v>
      </c>
      <c r="B59" s="96"/>
      <c r="C59" s="96"/>
      <c r="D59" s="96"/>
      <c r="E59" s="96"/>
      <c r="F59" s="96"/>
      <c r="G59" s="96"/>
      <c r="H59" s="96"/>
      <c r="I59" s="96"/>
      <c r="J59" s="96"/>
      <c r="K59" s="96"/>
      <c r="L59" s="96"/>
      <c r="M59" s="96"/>
      <c r="N59" s="96"/>
      <c r="O59" s="96"/>
      <c r="P59" s="96"/>
      <c r="Q59" s="96"/>
      <c r="R59" s="96"/>
      <c r="S59" s="96"/>
      <c r="T59" s="96"/>
      <c r="U59" s="96"/>
      <c r="V59" s="96"/>
      <c r="W59" s="96"/>
      <c r="X59" s="96"/>
      <c r="Y59" s="96"/>
      <c r="Z59" s="96"/>
      <c r="AA59" s="96"/>
      <c r="AB59" s="97"/>
    </row>
    <row r="60" spans="1:28" ht="15.6" x14ac:dyDescent="0.3">
      <c r="A60" s="101" t="s">
        <v>502</v>
      </c>
      <c r="B60" s="96"/>
      <c r="C60" s="96"/>
      <c r="D60" s="96"/>
      <c r="E60" s="96"/>
      <c r="F60" s="96"/>
      <c r="G60" s="96"/>
      <c r="H60" s="96"/>
      <c r="I60" s="96"/>
      <c r="J60" s="96"/>
      <c r="K60" s="96"/>
      <c r="L60" s="96"/>
      <c r="M60" s="96"/>
      <c r="N60" s="96"/>
      <c r="O60" s="96"/>
      <c r="P60" s="96"/>
      <c r="Q60" s="96"/>
      <c r="R60" s="96"/>
      <c r="S60" s="96"/>
      <c r="T60" s="96"/>
      <c r="U60" s="96"/>
      <c r="V60" s="96"/>
      <c r="W60" s="96"/>
      <c r="X60" s="96"/>
      <c r="Y60" s="96"/>
      <c r="Z60" s="96"/>
      <c r="AA60" s="96"/>
      <c r="AB60" s="97"/>
    </row>
    <row r="61" spans="1:28" x14ac:dyDescent="0.3">
      <c r="AA61"/>
      <c r="AB61" s="1"/>
    </row>
    <row r="62" spans="1:28" x14ac:dyDescent="0.3">
      <c r="AA62"/>
      <c r="AB62" s="1"/>
    </row>
    <row r="63" spans="1:28" x14ac:dyDescent="0.3">
      <c r="AA63"/>
      <c r="AB63" s="1"/>
    </row>
    <row r="64" spans="1:28" x14ac:dyDescent="0.3">
      <c r="AA64"/>
      <c r="AB64" s="1"/>
    </row>
    <row r="65" spans="27:28" x14ac:dyDescent="0.3">
      <c r="AA65"/>
      <c r="AB65" s="1"/>
    </row>
    <row r="66" spans="27:28" x14ac:dyDescent="0.3">
      <c r="AA66"/>
      <c r="AB66" s="1"/>
    </row>
    <row r="67" spans="27:28" x14ac:dyDescent="0.3">
      <c r="AA67"/>
      <c r="AB67" s="1"/>
    </row>
  </sheetData>
  <phoneticPr fontId="7" type="noConversion"/>
  <pageMargins left="0.31496062992126" right="0.118110236220472" top="5.1181101999999999E-2" bottom="0.25" header="0.31496062992126" footer="0.31496062992126"/>
  <pageSetup paperSize="9" scale="5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4F03-67DC-4A3C-A257-9B5F9B4629D8}">
  <sheetPr codeName="Sheet1"/>
  <dimension ref="A1:AX158"/>
  <sheetViews>
    <sheetView zoomScale="70" zoomScaleNormal="70" workbookViewId="0">
      <selection activeCell="H85" sqref="H85:H149"/>
    </sheetView>
  </sheetViews>
  <sheetFormatPr defaultRowHeight="14.4" x14ac:dyDescent="0.3"/>
  <cols>
    <col min="1" max="1" width="12" bestFit="1" customWidth="1"/>
    <col min="2" max="2" width="13" bestFit="1" customWidth="1"/>
    <col min="3" max="3" width="10.44140625" bestFit="1" customWidth="1"/>
    <col min="4" max="4" width="11.33203125" bestFit="1" customWidth="1"/>
    <col min="5" max="5" width="13.5546875" bestFit="1" customWidth="1"/>
    <col min="6" max="6" width="10.109375" bestFit="1" customWidth="1"/>
    <col min="7" max="7" width="9.44140625" bestFit="1" customWidth="1"/>
    <col min="8" max="8" width="8.88671875" bestFit="1" customWidth="1"/>
    <col min="9" max="9" width="13.109375" bestFit="1" customWidth="1"/>
    <col min="10" max="10" width="18.5546875" bestFit="1" customWidth="1"/>
    <col min="11" max="11" width="20.21875" bestFit="1" customWidth="1"/>
    <col min="12" max="12" width="13.77734375" bestFit="1" customWidth="1"/>
    <col min="13" max="13" width="14.6640625" bestFit="1" customWidth="1"/>
    <col min="14" max="14" width="9.33203125" bestFit="1" customWidth="1"/>
    <col min="15" max="15" width="21.33203125" bestFit="1" customWidth="1"/>
    <col min="16" max="16" width="18.6640625" bestFit="1" customWidth="1"/>
    <col min="17" max="17" width="20.109375" bestFit="1" customWidth="1"/>
    <col min="18" max="18" width="11.33203125" bestFit="1" customWidth="1"/>
  </cols>
  <sheetData>
    <row r="1" spans="1:50" x14ac:dyDescent="0.3">
      <c r="A1" t="s">
        <v>402</v>
      </c>
      <c r="B1" t="s">
        <v>361</v>
      </c>
      <c r="C1" t="s">
        <v>362</v>
      </c>
      <c r="D1" t="s">
        <v>363</v>
      </c>
      <c r="E1" t="s">
        <v>368</v>
      </c>
      <c r="F1" t="s">
        <v>364</v>
      </c>
      <c r="G1" t="s">
        <v>365</v>
      </c>
      <c r="H1" t="s">
        <v>360</v>
      </c>
      <c r="I1" t="s">
        <v>367</v>
      </c>
      <c r="J1" t="s">
        <v>371</v>
      </c>
      <c r="K1" t="s">
        <v>370</v>
      </c>
      <c r="L1" t="s">
        <v>369</v>
      </c>
      <c r="M1" t="s">
        <v>366</v>
      </c>
      <c r="N1" t="s">
        <v>373</v>
      </c>
      <c r="O1" t="s">
        <v>372</v>
      </c>
      <c r="P1" t="s">
        <v>403</v>
      </c>
      <c r="Q1" t="s">
        <v>409</v>
      </c>
      <c r="R1" t="s">
        <v>410</v>
      </c>
      <c r="U1" t="s">
        <v>408</v>
      </c>
      <c r="V1" t="s">
        <v>526</v>
      </c>
      <c r="W1" t="s">
        <v>537</v>
      </c>
      <c r="X1" t="s">
        <v>538</v>
      </c>
      <c r="Y1" t="s">
        <v>526</v>
      </c>
      <c r="Z1">
        <v>9103</v>
      </c>
      <c r="AA1">
        <v>9203</v>
      </c>
    </row>
    <row r="2" spans="1:50" x14ac:dyDescent="0.3">
      <c r="A2" t="s">
        <v>562</v>
      </c>
      <c r="B2" t="s">
        <v>563</v>
      </c>
      <c r="C2" t="s">
        <v>478</v>
      </c>
      <c r="D2" t="s">
        <v>508</v>
      </c>
      <c r="E2" t="s">
        <v>487</v>
      </c>
      <c r="F2" t="s">
        <v>479</v>
      </c>
      <c r="G2" t="s">
        <v>394</v>
      </c>
      <c r="H2" t="s">
        <v>391</v>
      </c>
      <c r="I2" t="s">
        <v>480</v>
      </c>
      <c r="J2" t="s">
        <v>488</v>
      </c>
      <c r="K2" t="s">
        <v>487</v>
      </c>
      <c r="L2" t="s">
        <v>553</v>
      </c>
      <c r="M2" t="s">
        <v>529</v>
      </c>
      <c r="N2" t="s">
        <v>528</v>
      </c>
      <c r="O2" t="s">
        <v>564</v>
      </c>
      <c r="P2" t="s">
        <v>508</v>
      </c>
      <c r="Q2">
        <v>0</v>
      </c>
      <c r="R2" t="s">
        <v>480</v>
      </c>
    </row>
    <row r="3" spans="1:50" x14ac:dyDescent="0.3">
      <c r="A3" t="s">
        <v>562</v>
      </c>
      <c r="B3" t="s">
        <v>563</v>
      </c>
      <c r="C3" t="s">
        <v>478</v>
      </c>
      <c r="D3" t="s">
        <v>508</v>
      </c>
      <c r="E3" t="s">
        <v>487</v>
      </c>
      <c r="F3" t="s">
        <v>479</v>
      </c>
      <c r="G3" t="s">
        <v>394</v>
      </c>
      <c r="H3" t="s">
        <v>391</v>
      </c>
      <c r="I3" t="s">
        <v>480</v>
      </c>
      <c r="J3" t="s">
        <v>488</v>
      </c>
      <c r="K3" t="s">
        <v>487</v>
      </c>
      <c r="L3" t="s">
        <v>553</v>
      </c>
      <c r="M3" t="s">
        <v>530</v>
      </c>
      <c r="N3" t="s">
        <v>528</v>
      </c>
      <c r="O3" t="s">
        <v>565</v>
      </c>
      <c r="P3" t="s">
        <v>508</v>
      </c>
      <c r="Q3">
        <v>0</v>
      </c>
      <c r="R3" t="s">
        <v>480</v>
      </c>
      <c r="U3" t="s">
        <v>442</v>
      </c>
      <c r="V3" t="s">
        <v>374</v>
      </c>
      <c r="W3" t="s">
        <v>375</v>
      </c>
      <c r="X3" t="s">
        <v>376</v>
      </c>
      <c r="Y3" t="s">
        <v>377</v>
      </c>
      <c r="Z3" t="s">
        <v>378</v>
      </c>
      <c r="AA3" t="s">
        <v>379</v>
      </c>
      <c r="AB3" t="s">
        <v>360</v>
      </c>
      <c r="AC3" t="s">
        <v>380</v>
      </c>
      <c r="AD3" t="s">
        <v>381</v>
      </c>
      <c r="AE3" t="s">
        <v>382</v>
      </c>
      <c r="AF3" t="s">
        <v>383</v>
      </c>
      <c r="AG3" t="s">
        <v>384</v>
      </c>
      <c r="AH3" t="s">
        <v>385</v>
      </c>
      <c r="AI3" t="s">
        <v>386</v>
      </c>
      <c r="AJ3" t="s">
        <v>387</v>
      </c>
      <c r="AK3">
        <v>56</v>
      </c>
      <c r="AL3">
        <v>64</v>
      </c>
      <c r="AM3">
        <v>75</v>
      </c>
      <c r="AN3">
        <v>88</v>
      </c>
      <c r="AO3">
        <v>100</v>
      </c>
      <c r="AP3">
        <v>113</v>
      </c>
      <c r="AQ3">
        <v>138</v>
      </c>
      <c r="AR3">
        <v>162</v>
      </c>
      <c r="AS3">
        <v>189</v>
      </c>
      <c r="AT3">
        <v>216</v>
      </c>
      <c r="AU3" t="s">
        <v>388</v>
      </c>
      <c r="AV3" t="s">
        <v>466</v>
      </c>
      <c r="AW3" t="s">
        <v>467</v>
      </c>
    </row>
    <row r="4" spans="1:50" x14ac:dyDescent="0.3">
      <c r="A4" t="s">
        <v>562</v>
      </c>
      <c r="B4" t="s">
        <v>563</v>
      </c>
      <c r="C4" t="s">
        <v>478</v>
      </c>
      <c r="D4" t="s">
        <v>508</v>
      </c>
      <c r="E4" t="s">
        <v>487</v>
      </c>
      <c r="F4" t="s">
        <v>479</v>
      </c>
      <c r="G4" t="s">
        <v>394</v>
      </c>
      <c r="H4" t="s">
        <v>391</v>
      </c>
      <c r="I4" t="s">
        <v>480</v>
      </c>
      <c r="J4" t="s">
        <v>488</v>
      </c>
      <c r="K4" t="s">
        <v>487</v>
      </c>
      <c r="L4" t="s">
        <v>553</v>
      </c>
      <c r="M4" t="s">
        <v>530</v>
      </c>
      <c r="N4" t="s">
        <v>528</v>
      </c>
      <c r="O4" t="s">
        <v>566</v>
      </c>
      <c r="P4" t="s">
        <v>508</v>
      </c>
      <c r="Q4">
        <v>0</v>
      </c>
      <c r="R4" t="s">
        <v>480</v>
      </c>
      <c r="U4" t="s">
        <v>443</v>
      </c>
      <c r="V4" t="s">
        <v>389</v>
      </c>
      <c r="W4" t="s">
        <v>396</v>
      </c>
      <c r="X4" t="s">
        <v>421</v>
      </c>
      <c r="Y4" t="s">
        <v>438</v>
      </c>
      <c r="Z4">
        <v>1</v>
      </c>
      <c r="AA4" t="s">
        <v>390</v>
      </c>
      <c r="AB4" t="s">
        <v>391</v>
      </c>
      <c r="AD4" t="s">
        <v>439</v>
      </c>
      <c r="AE4" t="s">
        <v>438</v>
      </c>
      <c r="AF4" t="s">
        <v>392</v>
      </c>
      <c r="AG4" t="s">
        <v>393</v>
      </c>
      <c r="AH4">
        <v>12</v>
      </c>
      <c r="AJ4" t="s">
        <v>423</v>
      </c>
      <c r="AN4">
        <v>240</v>
      </c>
      <c r="AO4">
        <v>160</v>
      </c>
      <c r="AP4">
        <v>560</v>
      </c>
      <c r="AU4">
        <v>960</v>
      </c>
      <c r="AV4">
        <f>AU4/(AH4+AI4)</f>
        <v>80</v>
      </c>
      <c r="AW4" t="s">
        <v>468</v>
      </c>
    </row>
    <row r="5" spans="1:50" x14ac:dyDescent="0.3">
      <c r="A5" t="s">
        <v>562</v>
      </c>
      <c r="B5" t="s">
        <v>567</v>
      </c>
      <c r="C5" t="s">
        <v>478</v>
      </c>
      <c r="D5" t="s">
        <v>508</v>
      </c>
      <c r="E5" t="s">
        <v>487</v>
      </c>
      <c r="F5" t="s">
        <v>479</v>
      </c>
      <c r="G5" t="s">
        <v>394</v>
      </c>
      <c r="H5" t="s">
        <v>391</v>
      </c>
      <c r="I5" t="s">
        <v>480</v>
      </c>
      <c r="J5" t="s">
        <v>488</v>
      </c>
      <c r="K5" t="s">
        <v>487</v>
      </c>
      <c r="L5" t="s">
        <v>553</v>
      </c>
      <c r="M5" t="s">
        <v>529</v>
      </c>
      <c r="N5" t="s">
        <v>528</v>
      </c>
      <c r="O5" t="s">
        <v>568</v>
      </c>
      <c r="P5" t="s">
        <v>508</v>
      </c>
      <c r="Q5">
        <v>0</v>
      </c>
      <c r="R5" t="s">
        <v>480</v>
      </c>
      <c r="U5" t="s">
        <v>395</v>
      </c>
      <c r="V5" t="s">
        <v>389</v>
      </c>
      <c r="W5" t="s">
        <v>396</v>
      </c>
      <c r="X5" t="s">
        <v>421</v>
      </c>
      <c r="Y5" t="s">
        <v>397</v>
      </c>
      <c r="Z5">
        <v>1</v>
      </c>
      <c r="AA5" t="s">
        <v>390</v>
      </c>
      <c r="AB5" t="s">
        <v>391</v>
      </c>
      <c r="AC5" t="s">
        <v>436</v>
      </c>
      <c r="AD5" t="s">
        <v>398</v>
      </c>
      <c r="AE5" t="s">
        <v>397</v>
      </c>
      <c r="AF5" t="s">
        <v>444</v>
      </c>
      <c r="AG5" t="s">
        <v>399</v>
      </c>
      <c r="AI5">
        <v>6</v>
      </c>
      <c r="AJ5" t="s">
        <v>423</v>
      </c>
      <c r="AK5">
        <v>70</v>
      </c>
      <c r="AL5">
        <v>70</v>
      </c>
      <c r="AM5">
        <v>70</v>
      </c>
      <c r="AN5">
        <v>70</v>
      </c>
      <c r="AO5">
        <v>140</v>
      </c>
      <c r="AU5">
        <v>420</v>
      </c>
      <c r="AV5">
        <f t="shared" ref="AV5:AV37" si="0">AU5/(AH5+AI5)</f>
        <v>70</v>
      </c>
      <c r="AW5" t="s">
        <v>469</v>
      </c>
      <c r="AX5" t="s">
        <v>470</v>
      </c>
    </row>
    <row r="6" spans="1:50" x14ac:dyDescent="0.3">
      <c r="A6" t="s">
        <v>562</v>
      </c>
      <c r="B6" t="s">
        <v>563</v>
      </c>
      <c r="C6" t="s">
        <v>478</v>
      </c>
      <c r="D6" t="s">
        <v>508</v>
      </c>
      <c r="E6" t="s">
        <v>487</v>
      </c>
      <c r="F6" t="s">
        <v>479</v>
      </c>
      <c r="G6" t="s">
        <v>394</v>
      </c>
      <c r="H6" t="s">
        <v>391</v>
      </c>
      <c r="I6" t="s">
        <v>480</v>
      </c>
      <c r="J6" t="s">
        <v>488</v>
      </c>
      <c r="K6" t="s">
        <v>487</v>
      </c>
      <c r="L6" t="s">
        <v>553</v>
      </c>
      <c r="M6" t="s">
        <v>531</v>
      </c>
      <c r="N6" t="s">
        <v>528</v>
      </c>
      <c r="O6" t="s">
        <v>569</v>
      </c>
      <c r="P6" t="s">
        <v>508</v>
      </c>
      <c r="Q6">
        <v>0</v>
      </c>
      <c r="R6" t="s">
        <v>480</v>
      </c>
      <c r="W6" t="s">
        <v>396</v>
      </c>
      <c r="X6" t="s">
        <v>421</v>
      </c>
      <c r="Y6" t="s">
        <v>397</v>
      </c>
      <c r="Z6">
        <v>1</v>
      </c>
      <c r="AA6" t="s">
        <v>390</v>
      </c>
      <c r="AB6" t="s">
        <v>391</v>
      </c>
      <c r="AC6" t="s">
        <v>430</v>
      </c>
      <c r="AD6" t="s">
        <v>398</v>
      </c>
      <c r="AE6" t="s">
        <v>397</v>
      </c>
      <c r="AF6" t="s">
        <v>445</v>
      </c>
      <c r="AG6" t="s">
        <v>399</v>
      </c>
      <c r="AI6">
        <v>14</v>
      </c>
      <c r="AJ6" t="s">
        <v>423</v>
      </c>
      <c r="AK6">
        <v>70</v>
      </c>
      <c r="AL6">
        <v>140</v>
      </c>
      <c r="AM6">
        <v>210</v>
      </c>
      <c r="AN6">
        <v>280</v>
      </c>
      <c r="AO6">
        <v>280</v>
      </c>
      <c r="AU6">
        <v>980</v>
      </c>
      <c r="AV6">
        <f t="shared" si="0"/>
        <v>70</v>
      </c>
      <c r="AW6" t="s">
        <v>471</v>
      </c>
    </row>
    <row r="7" spans="1:50" x14ac:dyDescent="0.3">
      <c r="A7" t="s">
        <v>562</v>
      </c>
      <c r="B7" t="s">
        <v>567</v>
      </c>
      <c r="C7" t="s">
        <v>478</v>
      </c>
      <c r="D7" t="s">
        <v>508</v>
      </c>
      <c r="E7" t="s">
        <v>487</v>
      </c>
      <c r="F7" t="s">
        <v>479</v>
      </c>
      <c r="G7" t="s">
        <v>394</v>
      </c>
      <c r="H7" t="s">
        <v>391</v>
      </c>
      <c r="I7" t="s">
        <v>480</v>
      </c>
      <c r="J7" t="s">
        <v>488</v>
      </c>
      <c r="K7" t="s">
        <v>487</v>
      </c>
      <c r="L7" t="s">
        <v>553</v>
      </c>
      <c r="M7" t="s">
        <v>530</v>
      </c>
      <c r="N7" t="s">
        <v>528</v>
      </c>
      <c r="O7" t="s">
        <v>570</v>
      </c>
      <c r="P7" t="s">
        <v>508</v>
      </c>
      <c r="Q7">
        <v>0</v>
      </c>
      <c r="R7" t="s">
        <v>480</v>
      </c>
      <c r="W7" t="s">
        <v>396</v>
      </c>
      <c r="X7" t="s">
        <v>421</v>
      </c>
      <c r="Y7" t="s">
        <v>397</v>
      </c>
      <c r="Z7">
        <v>1</v>
      </c>
      <c r="AA7" t="s">
        <v>390</v>
      </c>
      <c r="AB7" t="s">
        <v>391</v>
      </c>
      <c r="AC7" t="s">
        <v>430</v>
      </c>
      <c r="AD7" t="s">
        <v>398</v>
      </c>
      <c r="AE7" t="s">
        <v>397</v>
      </c>
      <c r="AF7" t="s">
        <v>445</v>
      </c>
      <c r="AG7" t="s">
        <v>399</v>
      </c>
      <c r="AI7">
        <v>0</v>
      </c>
      <c r="AJ7" t="s">
        <v>422</v>
      </c>
      <c r="AK7" t="s">
        <v>420</v>
      </c>
      <c r="AL7" t="s">
        <v>420</v>
      </c>
      <c r="AM7" t="s">
        <v>420</v>
      </c>
      <c r="AN7" t="s">
        <v>420</v>
      </c>
      <c r="AO7" t="s">
        <v>420</v>
      </c>
      <c r="AU7">
        <v>0</v>
      </c>
      <c r="AV7" t="e">
        <f t="shared" si="0"/>
        <v>#DIV/0!</v>
      </c>
    </row>
    <row r="8" spans="1:50" x14ac:dyDescent="0.3">
      <c r="A8" t="s">
        <v>562</v>
      </c>
      <c r="B8" t="s">
        <v>567</v>
      </c>
      <c r="C8" t="s">
        <v>478</v>
      </c>
      <c r="D8" t="s">
        <v>508</v>
      </c>
      <c r="E8" t="s">
        <v>487</v>
      </c>
      <c r="F8" t="s">
        <v>479</v>
      </c>
      <c r="G8" t="s">
        <v>394</v>
      </c>
      <c r="H8" t="s">
        <v>391</v>
      </c>
      <c r="I8" t="s">
        <v>480</v>
      </c>
      <c r="J8" t="s">
        <v>488</v>
      </c>
      <c r="K8" t="s">
        <v>487</v>
      </c>
      <c r="L8" t="s">
        <v>553</v>
      </c>
      <c r="M8" t="s">
        <v>529</v>
      </c>
      <c r="N8" t="s">
        <v>528</v>
      </c>
      <c r="O8" t="s">
        <v>571</v>
      </c>
      <c r="P8" t="s">
        <v>508</v>
      </c>
      <c r="Q8">
        <v>0</v>
      </c>
      <c r="R8" t="s">
        <v>480</v>
      </c>
      <c r="W8" t="s">
        <v>396</v>
      </c>
      <c r="X8" t="s">
        <v>421</v>
      </c>
      <c r="Y8" t="s">
        <v>397</v>
      </c>
      <c r="Z8">
        <v>2</v>
      </c>
      <c r="AA8" t="s">
        <v>390</v>
      </c>
      <c r="AB8" t="s">
        <v>391</v>
      </c>
      <c r="AC8" t="s">
        <v>430</v>
      </c>
      <c r="AD8" t="s">
        <v>398</v>
      </c>
      <c r="AE8" t="s">
        <v>397</v>
      </c>
      <c r="AF8" t="s">
        <v>445</v>
      </c>
      <c r="AG8" t="s">
        <v>399</v>
      </c>
      <c r="AI8">
        <v>6</v>
      </c>
      <c r="AJ8" t="s">
        <v>423</v>
      </c>
      <c r="AK8">
        <v>70</v>
      </c>
      <c r="AL8">
        <v>70</v>
      </c>
      <c r="AM8">
        <v>70</v>
      </c>
      <c r="AN8">
        <v>70</v>
      </c>
      <c r="AO8">
        <v>140</v>
      </c>
      <c r="AU8">
        <v>420</v>
      </c>
      <c r="AV8">
        <f t="shared" si="0"/>
        <v>70</v>
      </c>
    </row>
    <row r="9" spans="1:50" x14ac:dyDescent="0.3">
      <c r="A9" t="s">
        <v>562</v>
      </c>
      <c r="B9" t="s">
        <v>567</v>
      </c>
      <c r="C9" t="s">
        <v>478</v>
      </c>
      <c r="D9" t="s">
        <v>508</v>
      </c>
      <c r="E9" t="s">
        <v>487</v>
      </c>
      <c r="F9" t="s">
        <v>479</v>
      </c>
      <c r="G9" t="s">
        <v>394</v>
      </c>
      <c r="H9" t="s">
        <v>391</v>
      </c>
      <c r="I9" t="s">
        <v>480</v>
      </c>
      <c r="J9" t="s">
        <v>488</v>
      </c>
      <c r="K9" t="s">
        <v>487</v>
      </c>
      <c r="L9" t="s">
        <v>553</v>
      </c>
      <c r="M9" t="s">
        <v>530</v>
      </c>
      <c r="N9" t="s">
        <v>528</v>
      </c>
      <c r="O9" t="s">
        <v>572</v>
      </c>
      <c r="P9" t="s">
        <v>508</v>
      </c>
      <c r="Q9">
        <v>0</v>
      </c>
      <c r="R9" t="s">
        <v>480</v>
      </c>
      <c r="W9" t="s">
        <v>396</v>
      </c>
      <c r="X9" t="s">
        <v>421</v>
      </c>
      <c r="Y9" t="s">
        <v>397</v>
      </c>
      <c r="Z9">
        <v>2</v>
      </c>
      <c r="AA9" t="s">
        <v>390</v>
      </c>
      <c r="AB9" t="s">
        <v>391</v>
      </c>
      <c r="AC9" t="s">
        <v>430</v>
      </c>
      <c r="AD9" t="s">
        <v>398</v>
      </c>
      <c r="AE9" t="s">
        <v>397</v>
      </c>
      <c r="AF9" t="s">
        <v>445</v>
      </c>
      <c r="AG9" t="s">
        <v>399</v>
      </c>
      <c r="AI9">
        <v>0</v>
      </c>
      <c r="AJ9" t="s">
        <v>422</v>
      </c>
      <c r="AK9" t="s">
        <v>420</v>
      </c>
      <c r="AL9" t="s">
        <v>420</v>
      </c>
      <c r="AM9" t="s">
        <v>420</v>
      </c>
      <c r="AN9" t="s">
        <v>420</v>
      </c>
      <c r="AO9" t="s">
        <v>420</v>
      </c>
      <c r="AU9">
        <v>0</v>
      </c>
      <c r="AV9" t="e">
        <f t="shared" si="0"/>
        <v>#DIV/0!</v>
      </c>
    </row>
    <row r="10" spans="1:50" x14ac:dyDescent="0.3">
      <c r="A10" t="s">
        <v>562</v>
      </c>
      <c r="B10" t="s">
        <v>567</v>
      </c>
      <c r="C10" t="s">
        <v>478</v>
      </c>
      <c r="D10" t="s">
        <v>508</v>
      </c>
      <c r="E10" t="s">
        <v>487</v>
      </c>
      <c r="F10" t="s">
        <v>479</v>
      </c>
      <c r="G10" t="s">
        <v>394</v>
      </c>
      <c r="H10" t="s">
        <v>391</v>
      </c>
      <c r="I10" t="s">
        <v>480</v>
      </c>
      <c r="J10" t="s">
        <v>488</v>
      </c>
      <c r="K10" t="s">
        <v>487</v>
      </c>
      <c r="L10" t="s">
        <v>553</v>
      </c>
      <c r="M10" t="s">
        <v>529</v>
      </c>
      <c r="N10" t="s">
        <v>528</v>
      </c>
      <c r="O10" t="s">
        <v>573</v>
      </c>
      <c r="P10" t="s">
        <v>508</v>
      </c>
      <c r="Q10">
        <v>0</v>
      </c>
      <c r="R10" t="s">
        <v>480</v>
      </c>
      <c r="W10" t="s">
        <v>396</v>
      </c>
      <c r="X10" t="s">
        <v>421</v>
      </c>
      <c r="Y10" t="s">
        <v>397</v>
      </c>
      <c r="Z10">
        <v>1</v>
      </c>
      <c r="AA10" t="s">
        <v>390</v>
      </c>
      <c r="AB10" t="s">
        <v>391</v>
      </c>
      <c r="AC10" t="s">
        <v>412</v>
      </c>
      <c r="AD10" t="s">
        <v>398</v>
      </c>
      <c r="AE10" t="s">
        <v>397</v>
      </c>
      <c r="AF10" t="s">
        <v>445</v>
      </c>
      <c r="AG10" t="s">
        <v>399</v>
      </c>
      <c r="AI10">
        <v>14</v>
      </c>
      <c r="AJ10" t="s">
        <v>423</v>
      </c>
      <c r="AK10">
        <v>70</v>
      </c>
      <c r="AL10">
        <v>140</v>
      </c>
      <c r="AM10">
        <v>210</v>
      </c>
      <c r="AN10">
        <v>280</v>
      </c>
      <c r="AO10">
        <v>280</v>
      </c>
      <c r="AU10">
        <v>980</v>
      </c>
      <c r="AV10">
        <f t="shared" si="0"/>
        <v>70</v>
      </c>
      <c r="AX10" t="s">
        <v>475</v>
      </c>
    </row>
    <row r="11" spans="1:50" x14ac:dyDescent="0.3">
      <c r="A11" t="s">
        <v>562</v>
      </c>
      <c r="B11" t="s">
        <v>574</v>
      </c>
      <c r="C11" t="s">
        <v>478</v>
      </c>
      <c r="D11" t="s">
        <v>508</v>
      </c>
      <c r="E11" t="s">
        <v>487</v>
      </c>
      <c r="F11" t="s">
        <v>479</v>
      </c>
      <c r="G11" t="s">
        <v>394</v>
      </c>
      <c r="H11" t="s">
        <v>391</v>
      </c>
      <c r="I11" t="s">
        <v>480</v>
      </c>
      <c r="J11" t="s">
        <v>488</v>
      </c>
      <c r="K11" t="s">
        <v>487</v>
      </c>
      <c r="L11" t="s">
        <v>553</v>
      </c>
      <c r="M11" t="s">
        <v>530</v>
      </c>
      <c r="N11" t="s">
        <v>528</v>
      </c>
      <c r="O11" t="s">
        <v>575</v>
      </c>
      <c r="P11" t="s">
        <v>508</v>
      </c>
      <c r="Q11">
        <v>0</v>
      </c>
      <c r="R11" t="s">
        <v>480</v>
      </c>
      <c r="W11" t="s">
        <v>396</v>
      </c>
      <c r="X11" t="s">
        <v>421</v>
      </c>
      <c r="Y11" t="s">
        <v>397</v>
      </c>
      <c r="Z11">
        <v>1</v>
      </c>
      <c r="AA11" t="s">
        <v>390</v>
      </c>
      <c r="AB11" t="s">
        <v>391</v>
      </c>
      <c r="AC11" t="s">
        <v>412</v>
      </c>
      <c r="AD11" t="s">
        <v>398</v>
      </c>
      <c r="AE11" t="s">
        <v>397</v>
      </c>
      <c r="AF11" t="s">
        <v>445</v>
      </c>
      <c r="AG11" t="s">
        <v>399</v>
      </c>
      <c r="AI11">
        <v>0</v>
      </c>
      <c r="AJ11" t="s">
        <v>422</v>
      </c>
      <c r="AK11" t="s">
        <v>420</v>
      </c>
      <c r="AL11" t="s">
        <v>420</v>
      </c>
      <c r="AM11" t="s">
        <v>420</v>
      </c>
      <c r="AN11" t="s">
        <v>420</v>
      </c>
      <c r="AO11" t="s">
        <v>420</v>
      </c>
      <c r="AU11">
        <v>0</v>
      </c>
      <c r="AV11" t="e">
        <f t="shared" si="0"/>
        <v>#DIV/0!</v>
      </c>
      <c r="AX11" t="s">
        <v>476</v>
      </c>
    </row>
    <row r="12" spans="1:50" x14ac:dyDescent="0.3">
      <c r="A12" t="s">
        <v>562</v>
      </c>
      <c r="B12" t="s">
        <v>567</v>
      </c>
      <c r="C12" t="s">
        <v>478</v>
      </c>
      <c r="D12" t="s">
        <v>508</v>
      </c>
      <c r="E12" t="s">
        <v>487</v>
      </c>
      <c r="F12" t="s">
        <v>479</v>
      </c>
      <c r="G12" t="s">
        <v>394</v>
      </c>
      <c r="H12" t="s">
        <v>391</v>
      </c>
      <c r="I12" t="s">
        <v>480</v>
      </c>
      <c r="J12" t="s">
        <v>488</v>
      </c>
      <c r="K12" t="s">
        <v>487</v>
      </c>
      <c r="L12" t="s">
        <v>553</v>
      </c>
      <c r="M12" t="s">
        <v>530</v>
      </c>
      <c r="N12" t="s">
        <v>528</v>
      </c>
      <c r="O12" t="s">
        <v>576</v>
      </c>
      <c r="P12" t="s">
        <v>508</v>
      </c>
      <c r="Q12">
        <v>0</v>
      </c>
      <c r="R12" t="s">
        <v>480</v>
      </c>
      <c r="W12" t="s">
        <v>396</v>
      </c>
      <c r="X12" t="s">
        <v>421</v>
      </c>
      <c r="Y12" t="s">
        <v>397</v>
      </c>
      <c r="Z12">
        <v>2</v>
      </c>
      <c r="AA12" t="s">
        <v>390</v>
      </c>
      <c r="AB12" t="s">
        <v>391</v>
      </c>
      <c r="AC12" t="s">
        <v>412</v>
      </c>
      <c r="AD12" t="s">
        <v>398</v>
      </c>
      <c r="AE12" t="s">
        <v>397</v>
      </c>
      <c r="AF12" t="s">
        <v>445</v>
      </c>
      <c r="AG12" t="s">
        <v>399</v>
      </c>
      <c r="AI12">
        <v>6</v>
      </c>
      <c r="AJ12" t="s">
        <v>423</v>
      </c>
      <c r="AK12">
        <v>70</v>
      </c>
      <c r="AL12">
        <v>70</v>
      </c>
      <c r="AM12">
        <v>70</v>
      </c>
      <c r="AN12">
        <v>70</v>
      </c>
      <c r="AO12">
        <v>140</v>
      </c>
      <c r="AU12">
        <v>420</v>
      </c>
      <c r="AV12">
        <f t="shared" si="0"/>
        <v>70</v>
      </c>
    </row>
    <row r="13" spans="1:50" x14ac:dyDescent="0.3">
      <c r="A13" t="s">
        <v>562</v>
      </c>
      <c r="B13" t="s">
        <v>567</v>
      </c>
      <c r="C13" t="s">
        <v>478</v>
      </c>
      <c r="D13" t="s">
        <v>508</v>
      </c>
      <c r="E13" t="s">
        <v>487</v>
      </c>
      <c r="F13" t="s">
        <v>479</v>
      </c>
      <c r="G13" t="s">
        <v>394</v>
      </c>
      <c r="H13" t="s">
        <v>391</v>
      </c>
      <c r="I13" t="s">
        <v>480</v>
      </c>
      <c r="J13" t="s">
        <v>488</v>
      </c>
      <c r="K13" t="s">
        <v>487</v>
      </c>
      <c r="L13" t="s">
        <v>553</v>
      </c>
      <c r="M13" t="s">
        <v>531</v>
      </c>
      <c r="N13" t="s">
        <v>528</v>
      </c>
      <c r="O13" t="s">
        <v>577</v>
      </c>
      <c r="P13" t="s">
        <v>508</v>
      </c>
      <c r="Q13">
        <v>0</v>
      </c>
      <c r="R13" t="s">
        <v>480</v>
      </c>
      <c r="U13" t="s">
        <v>446</v>
      </c>
      <c r="V13" t="s">
        <v>447</v>
      </c>
      <c r="W13" t="s">
        <v>424</v>
      </c>
      <c r="X13" t="s">
        <v>421</v>
      </c>
      <c r="Y13" t="s">
        <v>440</v>
      </c>
      <c r="Z13">
        <v>1</v>
      </c>
      <c r="AA13" t="s">
        <v>394</v>
      </c>
      <c r="AB13" t="s">
        <v>391</v>
      </c>
      <c r="AD13" t="s">
        <v>439</v>
      </c>
      <c r="AE13" t="s">
        <v>440</v>
      </c>
      <c r="AF13" t="s">
        <v>392</v>
      </c>
      <c r="AG13" t="s">
        <v>393</v>
      </c>
      <c r="AH13">
        <v>20</v>
      </c>
      <c r="AJ13" t="s">
        <v>441</v>
      </c>
      <c r="AP13">
        <v>800</v>
      </c>
      <c r="AQ13">
        <v>800</v>
      </c>
      <c r="AU13">
        <v>1600</v>
      </c>
      <c r="AV13">
        <f t="shared" si="0"/>
        <v>80</v>
      </c>
    </row>
    <row r="14" spans="1:50" x14ac:dyDescent="0.3">
      <c r="A14" t="s">
        <v>562</v>
      </c>
      <c r="B14" t="s">
        <v>567</v>
      </c>
      <c r="C14" t="s">
        <v>478</v>
      </c>
      <c r="D14" t="s">
        <v>508</v>
      </c>
      <c r="E14" t="s">
        <v>487</v>
      </c>
      <c r="F14" t="s">
        <v>479</v>
      </c>
      <c r="G14" t="s">
        <v>394</v>
      </c>
      <c r="H14" t="s">
        <v>391</v>
      </c>
      <c r="I14" t="s">
        <v>480</v>
      </c>
      <c r="J14" t="s">
        <v>488</v>
      </c>
      <c r="K14" t="s">
        <v>487</v>
      </c>
      <c r="L14" t="s">
        <v>553</v>
      </c>
      <c r="M14" t="s">
        <v>529</v>
      </c>
      <c r="N14" t="s">
        <v>528</v>
      </c>
      <c r="O14" t="s">
        <v>578</v>
      </c>
      <c r="P14" t="s">
        <v>508</v>
      </c>
      <c r="Q14">
        <v>0</v>
      </c>
      <c r="R14" t="s">
        <v>480</v>
      </c>
      <c r="V14" t="s">
        <v>447</v>
      </c>
      <c r="W14" t="s">
        <v>424</v>
      </c>
      <c r="X14" t="s">
        <v>421</v>
      </c>
      <c r="Y14" t="s">
        <v>440</v>
      </c>
      <c r="Z14">
        <v>1</v>
      </c>
      <c r="AA14" t="s">
        <v>394</v>
      </c>
      <c r="AB14" t="s">
        <v>391</v>
      </c>
      <c r="AD14" t="s">
        <v>439</v>
      </c>
      <c r="AE14" t="s">
        <v>440</v>
      </c>
      <c r="AF14" t="s">
        <v>392</v>
      </c>
      <c r="AG14" t="s">
        <v>393</v>
      </c>
      <c r="AH14">
        <v>17</v>
      </c>
      <c r="AJ14" t="s">
        <v>425</v>
      </c>
      <c r="AP14">
        <v>560</v>
      </c>
      <c r="AQ14">
        <v>800</v>
      </c>
      <c r="AU14">
        <v>1360</v>
      </c>
      <c r="AV14">
        <f t="shared" si="0"/>
        <v>80</v>
      </c>
    </row>
    <row r="15" spans="1:50" x14ac:dyDescent="0.3">
      <c r="A15" t="s">
        <v>562</v>
      </c>
      <c r="B15" t="s">
        <v>574</v>
      </c>
      <c r="C15" t="s">
        <v>478</v>
      </c>
      <c r="D15" t="s">
        <v>508</v>
      </c>
      <c r="E15" t="s">
        <v>487</v>
      </c>
      <c r="F15" t="s">
        <v>479</v>
      </c>
      <c r="G15" t="s">
        <v>394</v>
      </c>
      <c r="H15" t="s">
        <v>391</v>
      </c>
      <c r="I15" t="s">
        <v>480</v>
      </c>
      <c r="J15" t="s">
        <v>488</v>
      </c>
      <c r="K15" t="s">
        <v>487</v>
      </c>
      <c r="L15" t="s">
        <v>553</v>
      </c>
      <c r="M15" t="s">
        <v>530</v>
      </c>
      <c r="N15" t="s">
        <v>528</v>
      </c>
      <c r="O15" t="s">
        <v>579</v>
      </c>
      <c r="P15" t="s">
        <v>508</v>
      </c>
      <c r="Q15">
        <v>0</v>
      </c>
      <c r="R15" t="s">
        <v>480</v>
      </c>
      <c r="U15" t="s">
        <v>449</v>
      </c>
      <c r="V15" t="s">
        <v>447</v>
      </c>
      <c r="W15" t="s">
        <v>424</v>
      </c>
      <c r="X15" t="s">
        <v>421</v>
      </c>
      <c r="Y15" t="s">
        <v>450</v>
      </c>
      <c r="Z15">
        <v>1</v>
      </c>
      <c r="AA15" t="s">
        <v>394</v>
      </c>
      <c r="AB15" t="s">
        <v>391</v>
      </c>
      <c r="AC15" t="s">
        <v>451</v>
      </c>
      <c r="AD15" t="s">
        <v>439</v>
      </c>
      <c r="AE15" t="s">
        <v>450</v>
      </c>
      <c r="AF15" t="s">
        <v>392</v>
      </c>
      <c r="AG15" t="s">
        <v>393</v>
      </c>
      <c r="AH15">
        <v>23</v>
      </c>
      <c r="AJ15" t="s">
        <v>425</v>
      </c>
      <c r="AN15">
        <v>320</v>
      </c>
      <c r="AO15">
        <v>960</v>
      </c>
      <c r="AP15">
        <v>560</v>
      </c>
      <c r="AU15">
        <v>1840</v>
      </c>
      <c r="AV15">
        <f t="shared" si="0"/>
        <v>80</v>
      </c>
    </row>
    <row r="16" spans="1:50" x14ac:dyDescent="0.3">
      <c r="A16" t="s">
        <v>562</v>
      </c>
      <c r="B16" t="s">
        <v>574</v>
      </c>
      <c r="C16" t="s">
        <v>478</v>
      </c>
      <c r="D16" t="s">
        <v>508</v>
      </c>
      <c r="E16" t="s">
        <v>487</v>
      </c>
      <c r="F16" t="s">
        <v>479</v>
      </c>
      <c r="G16" t="s">
        <v>394</v>
      </c>
      <c r="H16" t="s">
        <v>391</v>
      </c>
      <c r="I16" t="s">
        <v>480</v>
      </c>
      <c r="J16" t="s">
        <v>488</v>
      </c>
      <c r="K16" t="s">
        <v>487</v>
      </c>
      <c r="L16" t="s">
        <v>553</v>
      </c>
      <c r="M16" t="s">
        <v>530</v>
      </c>
      <c r="N16" t="s">
        <v>528</v>
      </c>
      <c r="O16" t="s">
        <v>580</v>
      </c>
      <c r="P16" t="s">
        <v>508</v>
      </c>
      <c r="Q16">
        <v>0</v>
      </c>
      <c r="R16" t="s">
        <v>480</v>
      </c>
      <c r="U16" t="s">
        <v>452</v>
      </c>
      <c r="V16" t="s">
        <v>389</v>
      </c>
      <c r="W16" t="s">
        <v>431</v>
      </c>
      <c r="X16" t="s">
        <v>421</v>
      </c>
      <c r="Y16" t="s">
        <v>452</v>
      </c>
      <c r="Z16">
        <v>1</v>
      </c>
      <c r="AA16" t="s">
        <v>390</v>
      </c>
      <c r="AB16" t="s">
        <v>391</v>
      </c>
      <c r="AD16" t="s">
        <v>433</v>
      </c>
      <c r="AE16" t="s">
        <v>434</v>
      </c>
      <c r="AF16" t="s">
        <v>392</v>
      </c>
      <c r="AG16" t="s">
        <v>393</v>
      </c>
      <c r="AH16">
        <v>20</v>
      </c>
      <c r="AJ16" t="s">
        <v>453</v>
      </c>
      <c r="AN16">
        <v>160</v>
      </c>
      <c r="AO16">
        <v>480</v>
      </c>
      <c r="AP16">
        <v>480</v>
      </c>
      <c r="AQ16">
        <v>480</v>
      </c>
      <c r="AU16">
        <v>1600</v>
      </c>
      <c r="AV16">
        <f t="shared" si="0"/>
        <v>80</v>
      </c>
    </row>
    <row r="17" spans="1:48" x14ac:dyDescent="0.3">
      <c r="A17" t="s">
        <v>562</v>
      </c>
      <c r="B17" t="s">
        <v>567</v>
      </c>
      <c r="C17" t="s">
        <v>478</v>
      </c>
      <c r="D17" t="s">
        <v>508</v>
      </c>
      <c r="E17" t="s">
        <v>487</v>
      </c>
      <c r="F17" t="s">
        <v>479</v>
      </c>
      <c r="G17" t="s">
        <v>394</v>
      </c>
      <c r="H17" t="s">
        <v>391</v>
      </c>
      <c r="I17" t="s">
        <v>480</v>
      </c>
      <c r="J17" t="s">
        <v>488</v>
      </c>
      <c r="K17" t="s">
        <v>487</v>
      </c>
      <c r="L17" t="s">
        <v>553</v>
      </c>
      <c r="M17" t="s">
        <v>529</v>
      </c>
      <c r="N17" t="s">
        <v>528</v>
      </c>
      <c r="O17" t="s">
        <v>581</v>
      </c>
      <c r="P17" t="s">
        <v>508</v>
      </c>
      <c r="Q17">
        <v>0</v>
      </c>
      <c r="R17" t="s">
        <v>480</v>
      </c>
      <c r="V17" t="s">
        <v>389</v>
      </c>
      <c r="W17" t="s">
        <v>431</v>
      </c>
      <c r="X17" t="s">
        <v>421</v>
      </c>
      <c r="Y17" t="s">
        <v>432</v>
      </c>
      <c r="Z17">
        <v>2</v>
      </c>
      <c r="AA17" t="s">
        <v>390</v>
      </c>
      <c r="AB17" t="s">
        <v>391</v>
      </c>
      <c r="AD17" t="s">
        <v>433</v>
      </c>
      <c r="AE17" t="s">
        <v>434</v>
      </c>
      <c r="AF17" t="s">
        <v>392</v>
      </c>
      <c r="AG17" t="s">
        <v>393</v>
      </c>
      <c r="AH17">
        <v>20</v>
      </c>
      <c r="AJ17" t="s">
        <v>435</v>
      </c>
      <c r="AR17">
        <v>800</v>
      </c>
      <c r="AS17">
        <v>800</v>
      </c>
      <c r="AU17">
        <v>1600</v>
      </c>
      <c r="AV17">
        <f t="shared" si="0"/>
        <v>80</v>
      </c>
    </row>
    <row r="18" spans="1:48" x14ac:dyDescent="0.3">
      <c r="A18" t="s">
        <v>562</v>
      </c>
      <c r="B18" t="s">
        <v>574</v>
      </c>
      <c r="C18" t="s">
        <v>478</v>
      </c>
      <c r="D18" t="s">
        <v>508</v>
      </c>
      <c r="E18" t="s">
        <v>487</v>
      </c>
      <c r="F18" t="s">
        <v>479</v>
      </c>
      <c r="G18" t="s">
        <v>394</v>
      </c>
      <c r="H18" t="s">
        <v>391</v>
      </c>
      <c r="I18" t="s">
        <v>480</v>
      </c>
      <c r="J18" t="s">
        <v>488</v>
      </c>
      <c r="K18" t="s">
        <v>487</v>
      </c>
      <c r="L18" t="s">
        <v>553</v>
      </c>
      <c r="M18" t="s">
        <v>529</v>
      </c>
      <c r="N18" t="s">
        <v>528</v>
      </c>
      <c r="O18" t="s">
        <v>582</v>
      </c>
      <c r="P18" t="s">
        <v>508</v>
      </c>
      <c r="Q18">
        <v>0</v>
      </c>
      <c r="R18" t="s">
        <v>480</v>
      </c>
      <c r="V18" t="s">
        <v>389</v>
      </c>
      <c r="W18" t="s">
        <v>431</v>
      </c>
      <c r="X18" t="s">
        <v>421</v>
      </c>
      <c r="Y18" t="s">
        <v>432</v>
      </c>
      <c r="Z18">
        <v>2</v>
      </c>
      <c r="AA18" t="s">
        <v>390</v>
      </c>
      <c r="AB18" t="s">
        <v>391</v>
      </c>
      <c r="AD18" t="s">
        <v>433</v>
      </c>
      <c r="AE18" t="s">
        <v>434</v>
      </c>
      <c r="AF18" t="s">
        <v>392</v>
      </c>
      <c r="AG18" t="s">
        <v>393</v>
      </c>
      <c r="AH18">
        <v>0</v>
      </c>
      <c r="AJ18" t="s">
        <v>437</v>
      </c>
      <c r="AR18" t="s">
        <v>420</v>
      </c>
      <c r="AS18" t="s">
        <v>420</v>
      </c>
      <c r="AU18">
        <v>0</v>
      </c>
      <c r="AV18" t="e">
        <f t="shared" si="0"/>
        <v>#DIV/0!</v>
      </c>
    </row>
    <row r="19" spans="1:48" x14ac:dyDescent="0.3">
      <c r="A19" t="s">
        <v>562</v>
      </c>
      <c r="B19" t="s">
        <v>567</v>
      </c>
      <c r="C19" t="s">
        <v>478</v>
      </c>
      <c r="D19" t="s">
        <v>508</v>
      </c>
      <c r="E19" t="s">
        <v>487</v>
      </c>
      <c r="F19" t="s">
        <v>479</v>
      </c>
      <c r="G19" t="s">
        <v>394</v>
      </c>
      <c r="H19" t="s">
        <v>391</v>
      </c>
      <c r="I19" t="s">
        <v>480</v>
      </c>
      <c r="J19" t="s">
        <v>488</v>
      </c>
      <c r="K19" t="s">
        <v>487</v>
      </c>
      <c r="L19" t="s">
        <v>553</v>
      </c>
      <c r="M19" t="s">
        <v>530</v>
      </c>
      <c r="N19" t="s">
        <v>528</v>
      </c>
      <c r="O19" t="s">
        <v>583</v>
      </c>
      <c r="P19" t="s">
        <v>508</v>
      </c>
      <c r="Q19">
        <v>0</v>
      </c>
      <c r="R19" t="s">
        <v>480</v>
      </c>
      <c r="U19" t="s">
        <v>454</v>
      </c>
      <c r="V19" t="s">
        <v>389</v>
      </c>
      <c r="W19" t="s">
        <v>431</v>
      </c>
      <c r="X19" t="s">
        <v>421</v>
      </c>
      <c r="Y19" t="s">
        <v>455</v>
      </c>
      <c r="Z19">
        <v>1</v>
      </c>
      <c r="AA19" t="s">
        <v>394</v>
      </c>
      <c r="AB19" t="s">
        <v>391</v>
      </c>
      <c r="AD19" t="s">
        <v>456</v>
      </c>
      <c r="AE19" t="s">
        <v>457</v>
      </c>
      <c r="AF19" t="s">
        <v>392</v>
      </c>
      <c r="AG19" t="s">
        <v>393</v>
      </c>
      <c r="AH19">
        <v>20</v>
      </c>
      <c r="AJ19" t="s">
        <v>458</v>
      </c>
      <c r="AM19">
        <v>400</v>
      </c>
      <c r="AN19">
        <v>400</v>
      </c>
      <c r="AO19">
        <v>400</v>
      </c>
      <c r="AP19">
        <v>400</v>
      </c>
      <c r="AU19">
        <v>1600</v>
      </c>
      <c r="AV19">
        <f t="shared" si="0"/>
        <v>80</v>
      </c>
    </row>
    <row r="20" spans="1:48" x14ac:dyDescent="0.3">
      <c r="A20" t="s">
        <v>562</v>
      </c>
      <c r="B20" t="s">
        <v>567</v>
      </c>
      <c r="C20" t="s">
        <v>478</v>
      </c>
      <c r="D20" t="s">
        <v>508</v>
      </c>
      <c r="E20" t="s">
        <v>487</v>
      </c>
      <c r="F20" t="s">
        <v>479</v>
      </c>
      <c r="G20" t="s">
        <v>394</v>
      </c>
      <c r="H20" t="s">
        <v>391</v>
      </c>
      <c r="I20" t="s">
        <v>480</v>
      </c>
      <c r="J20" t="s">
        <v>488</v>
      </c>
      <c r="K20" t="s">
        <v>487</v>
      </c>
      <c r="L20" t="s">
        <v>553</v>
      </c>
      <c r="M20" t="s">
        <v>531</v>
      </c>
      <c r="N20" t="s">
        <v>528</v>
      </c>
      <c r="O20" t="s">
        <v>584</v>
      </c>
      <c r="P20" t="s">
        <v>508</v>
      </c>
      <c r="Q20">
        <v>0</v>
      </c>
      <c r="R20" t="s">
        <v>480</v>
      </c>
      <c r="U20" t="s">
        <v>459</v>
      </c>
      <c r="V20" t="s">
        <v>389</v>
      </c>
      <c r="W20" t="s">
        <v>396</v>
      </c>
      <c r="X20" t="s">
        <v>421</v>
      </c>
      <c r="Y20" t="s">
        <v>400</v>
      </c>
      <c r="Z20">
        <v>1</v>
      </c>
      <c r="AA20" t="s">
        <v>390</v>
      </c>
      <c r="AB20" t="s">
        <v>391</v>
      </c>
      <c r="AD20" t="s">
        <v>401</v>
      </c>
      <c r="AE20" t="s">
        <v>400</v>
      </c>
      <c r="AF20" t="s">
        <v>392</v>
      </c>
      <c r="AG20" t="s">
        <v>393</v>
      </c>
      <c r="AH20">
        <v>100</v>
      </c>
      <c r="AJ20" t="s">
        <v>423</v>
      </c>
      <c r="AO20">
        <v>1920</v>
      </c>
      <c r="AP20">
        <v>1920</v>
      </c>
      <c r="AQ20">
        <v>1600</v>
      </c>
      <c r="AR20">
        <v>1280</v>
      </c>
      <c r="AS20">
        <v>880</v>
      </c>
      <c r="AT20">
        <v>400</v>
      </c>
      <c r="AU20">
        <v>8000</v>
      </c>
      <c r="AV20">
        <f t="shared" si="0"/>
        <v>80</v>
      </c>
    </row>
    <row r="21" spans="1:48" x14ac:dyDescent="0.3">
      <c r="A21" t="s">
        <v>562</v>
      </c>
      <c r="B21" t="s">
        <v>574</v>
      </c>
      <c r="C21" t="s">
        <v>478</v>
      </c>
      <c r="D21" t="s">
        <v>508</v>
      </c>
      <c r="E21" t="s">
        <v>487</v>
      </c>
      <c r="F21" t="s">
        <v>479</v>
      </c>
      <c r="G21" t="s">
        <v>394</v>
      </c>
      <c r="H21" t="s">
        <v>391</v>
      </c>
      <c r="I21" t="s">
        <v>480</v>
      </c>
      <c r="J21" t="s">
        <v>488</v>
      </c>
      <c r="K21" t="s">
        <v>487</v>
      </c>
      <c r="L21" t="s">
        <v>553</v>
      </c>
      <c r="M21" t="s">
        <v>530</v>
      </c>
      <c r="N21" t="s">
        <v>528</v>
      </c>
      <c r="O21" t="s">
        <v>585</v>
      </c>
      <c r="P21" t="s">
        <v>508</v>
      </c>
      <c r="Q21">
        <v>0</v>
      </c>
      <c r="R21" t="s">
        <v>480</v>
      </c>
      <c r="W21" t="s">
        <v>396</v>
      </c>
      <c r="X21" t="s">
        <v>421</v>
      </c>
      <c r="Y21" t="s">
        <v>400</v>
      </c>
      <c r="Z21">
        <v>1</v>
      </c>
      <c r="AA21" t="s">
        <v>390</v>
      </c>
      <c r="AB21" t="s">
        <v>391</v>
      </c>
      <c r="AD21" t="s">
        <v>401</v>
      </c>
      <c r="AE21" t="s">
        <v>400</v>
      </c>
      <c r="AF21" t="s">
        <v>392</v>
      </c>
      <c r="AG21" t="s">
        <v>393</v>
      </c>
      <c r="AH21">
        <v>0</v>
      </c>
      <c r="AJ21" t="s">
        <v>422</v>
      </c>
      <c r="AO21" t="s">
        <v>420</v>
      </c>
      <c r="AP21" t="s">
        <v>420</v>
      </c>
      <c r="AQ21" t="s">
        <v>420</v>
      </c>
      <c r="AR21" t="s">
        <v>420</v>
      </c>
      <c r="AS21" t="s">
        <v>420</v>
      </c>
      <c r="AT21" t="s">
        <v>420</v>
      </c>
      <c r="AU21">
        <v>0</v>
      </c>
      <c r="AV21" t="e">
        <f t="shared" si="0"/>
        <v>#DIV/0!</v>
      </c>
    </row>
    <row r="22" spans="1:48" x14ac:dyDescent="0.3">
      <c r="A22" t="s">
        <v>562</v>
      </c>
      <c r="B22" t="s">
        <v>574</v>
      </c>
      <c r="C22" t="s">
        <v>478</v>
      </c>
      <c r="D22" t="s">
        <v>508</v>
      </c>
      <c r="E22" t="s">
        <v>487</v>
      </c>
      <c r="F22" t="s">
        <v>479</v>
      </c>
      <c r="G22" t="s">
        <v>394</v>
      </c>
      <c r="H22" t="s">
        <v>391</v>
      </c>
      <c r="I22" t="s">
        <v>480</v>
      </c>
      <c r="J22" t="s">
        <v>488</v>
      </c>
      <c r="K22" t="s">
        <v>487</v>
      </c>
      <c r="L22" t="s">
        <v>553</v>
      </c>
      <c r="M22" t="s">
        <v>529</v>
      </c>
      <c r="N22" t="s">
        <v>528</v>
      </c>
      <c r="O22" t="s">
        <v>586</v>
      </c>
      <c r="P22" t="s">
        <v>508</v>
      </c>
      <c r="Q22">
        <v>0</v>
      </c>
      <c r="R22" t="s">
        <v>480</v>
      </c>
      <c r="W22" t="s">
        <v>396</v>
      </c>
      <c r="X22" t="s">
        <v>421</v>
      </c>
      <c r="Y22" t="s">
        <v>400</v>
      </c>
      <c r="Z22">
        <v>2</v>
      </c>
      <c r="AA22" t="s">
        <v>390</v>
      </c>
      <c r="AB22" t="s">
        <v>391</v>
      </c>
      <c r="AD22" t="s">
        <v>401</v>
      </c>
      <c r="AE22" t="s">
        <v>400</v>
      </c>
      <c r="AF22" t="s">
        <v>392</v>
      </c>
      <c r="AG22" t="s">
        <v>393</v>
      </c>
      <c r="AH22">
        <v>60</v>
      </c>
      <c r="AJ22" t="s">
        <v>423</v>
      </c>
      <c r="AO22">
        <v>1040</v>
      </c>
      <c r="AP22">
        <v>1200</v>
      </c>
      <c r="AQ22">
        <v>960</v>
      </c>
      <c r="AR22">
        <v>880</v>
      </c>
      <c r="AS22">
        <v>400</v>
      </c>
      <c r="AT22">
        <v>320</v>
      </c>
      <c r="AU22">
        <v>4800</v>
      </c>
      <c r="AV22">
        <f t="shared" si="0"/>
        <v>80</v>
      </c>
    </row>
    <row r="23" spans="1:48" x14ac:dyDescent="0.3">
      <c r="A23" t="s">
        <v>562</v>
      </c>
      <c r="B23" t="s">
        <v>574</v>
      </c>
      <c r="C23" t="s">
        <v>478</v>
      </c>
      <c r="D23" t="s">
        <v>508</v>
      </c>
      <c r="E23" t="s">
        <v>487</v>
      </c>
      <c r="F23" t="s">
        <v>479</v>
      </c>
      <c r="G23" t="s">
        <v>394</v>
      </c>
      <c r="H23" t="s">
        <v>391</v>
      </c>
      <c r="I23" t="s">
        <v>480</v>
      </c>
      <c r="J23" t="s">
        <v>488</v>
      </c>
      <c r="K23" t="s">
        <v>487</v>
      </c>
      <c r="L23" t="s">
        <v>553</v>
      </c>
      <c r="M23" t="s">
        <v>531</v>
      </c>
      <c r="N23" t="s">
        <v>528</v>
      </c>
      <c r="O23" t="s">
        <v>587</v>
      </c>
      <c r="P23" t="s">
        <v>508</v>
      </c>
      <c r="Q23">
        <v>0</v>
      </c>
      <c r="R23" t="s">
        <v>480</v>
      </c>
      <c r="W23" t="s">
        <v>396</v>
      </c>
      <c r="X23" t="s">
        <v>421</v>
      </c>
      <c r="Y23" t="s">
        <v>400</v>
      </c>
      <c r="Z23">
        <v>2</v>
      </c>
      <c r="AA23" t="s">
        <v>390</v>
      </c>
      <c r="AB23" t="s">
        <v>391</v>
      </c>
      <c r="AD23" t="s">
        <v>401</v>
      </c>
      <c r="AE23" t="s">
        <v>400</v>
      </c>
      <c r="AF23" t="s">
        <v>392</v>
      </c>
      <c r="AG23" t="s">
        <v>393</v>
      </c>
      <c r="AH23">
        <v>0</v>
      </c>
      <c r="AJ23" t="s">
        <v>422</v>
      </c>
      <c r="AO23" t="s">
        <v>420</v>
      </c>
      <c r="AP23" t="s">
        <v>420</v>
      </c>
      <c r="AQ23" t="s">
        <v>420</v>
      </c>
      <c r="AR23" t="s">
        <v>420</v>
      </c>
      <c r="AS23" t="s">
        <v>420</v>
      </c>
      <c r="AT23" t="s">
        <v>420</v>
      </c>
      <c r="AU23">
        <v>0</v>
      </c>
      <c r="AV23" t="e">
        <f t="shared" si="0"/>
        <v>#DIV/0!</v>
      </c>
    </row>
    <row r="24" spans="1:48" x14ac:dyDescent="0.3">
      <c r="A24" t="s">
        <v>562</v>
      </c>
      <c r="B24" t="s">
        <v>574</v>
      </c>
      <c r="C24" t="s">
        <v>478</v>
      </c>
      <c r="D24" t="s">
        <v>508</v>
      </c>
      <c r="E24" t="s">
        <v>487</v>
      </c>
      <c r="F24" t="s">
        <v>479</v>
      </c>
      <c r="G24" t="s">
        <v>394</v>
      </c>
      <c r="H24" t="s">
        <v>391</v>
      </c>
      <c r="I24" t="s">
        <v>480</v>
      </c>
      <c r="J24" t="s">
        <v>488</v>
      </c>
      <c r="K24" t="s">
        <v>487</v>
      </c>
      <c r="L24" t="s">
        <v>553</v>
      </c>
      <c r="M24" t="s">
        <v>531</v>
      </c>
      <c r="N24" t="s">
        <v>528</v>
      </c>
      <c r="O24" t="s">
        <v>588</v>
      </c>
      <c r="P24" t="s">
        <v>508</v>
      </c>
      <c r="Q24">
        <v>0</v>
      </c>
      <c r="R24" t="s">
        <v>480</v>
      </c>
      <c r="W24" t="s">
        <v>396</v>
      </c>
      <c r="X24" t="s">
        <v>421</v>
      </c>
      <c r="Y24" t="s">
        <v>427</v>
      </c>
      <c r="Z24" t="s">
        <v>428</v>
      </c>
      <c r="AA24" t="s">
        <v>390</v>
      </c>
      <c r="AB24" t="s">
        <v>391</v>
      </c>
      <c r="AD24" t="s">
        <v>401</v>
      </c>
      <c r="AE24" t="s">
        <v>429</v>
      </c>
      <c r="AF24" t="s">
        <v>392</v>
      </c>
      <c r="AG24" t="s">
        <v>393</v>
      </c>
      <c r="AH24">
        <v>60</v>
      </c>
      <c r="AJ24" t="s">
        <v>423</v>
      </c>
      <c r="AN24">
        <v>800</v>
      </c>
      <c r="AO24">
        <v>800</v>
      </c>
      <c r="AP24">
        <v>800</v>
      </c>
      <c r="AQ24">
        <v>800</v>
      </c>
      <c r="AR24">
        <v>800</v>
      </c>
      <c r="AS24">
        <v>800</v>
      </c>
      <c r="AU24">
        <v>4800</v>
      </c>
      <c r="AV24">
        <f t="shared" si="0"/>
        <v>80</v>
      </c>
    </row>
    <row r="25" spans="1:48" x14ac:dyDescent="0.3">
      <c r="A25" t="s">
        <v>562</v>
      </c>
      <c r="B25" t="s">
        <v>574</v>
      </c>
      <c r="C25" t="s">
        <v>478</v>
      </c>
      <c r="D25" t="s">
        <v>508</v>
      </c>
      <c r="E25" t="s">
        <v>487</v>
      </c>
      <c r="F25" t="s">
        <v>479</v>
      </c>
      <c r="G25" t="s">
        <v>394</v>
      </c>
      <c r="H25" t="s">
        <v>391</v>
      </c>
      <c r="I25" t="s">
        <v>480</v>
      </c>
      <c r="J25" t="s">
        <v>488</v>
      </c>
      <c r="K25" t="s">
        <v>487</v>
      </c>
      <c r="L25" t="s">
        <v>553</v>
      </c>
      <c r="M25" t="s">
        <v>530</v>
      </c>
      <c r="N25" t="s">
        <v>589</v>
      </c>
      <c r="O25" t="s">
        <v>590</v>
      </c>
      <c r="P25" t="s">
        <v>508</v>
      </c>
      <c r="Q25">
        <v>0</v>
      </c>
      <c r="R25" t="s">
        <v>480</v>
      </c>
      <c r="W25" t="s">
        <v>396</v>
      </c>
      <c r="X25" t="s">
        <v>421</v>
      </c>
      <c r="Y25" t="s">
        <v>427</v>
      </c>
      <c r="Z25" t="s">
        <v>428</v>
      </c>
      <c r="AA25" t="s">
        <v>390</v>
      </c>
      <c r="AB25" t="s">
        <v>391</v>
      </c>
      <c r="AD25" t="s">
        <v>401</v>
      </c>
      <c r="AE25" t="s">
        <v>429</v>
      </c>
      <c r="AF25" t="s">
        <v>392</v>
      </c>
      <c r="AG25" t="s">
        <v>393</v>
      </c>
      <c r="AH25">
        <v>0</v>
      </c>
      <c r="AJ25" t="s">
        <v>422</v>
      </c>
      <c r="AN25" t="s">
        <v>420</v>
      </c>
      <c r="AO25" t="s">
        <v>420</v>
      </c>
      <c r="AP25" t="s">
        <v>420</v>
      </c>
      <c r="AQ25" t="s">
        <v>420</v>
      </c>
      <c r="AR25" t="s">
        <v>420</v>
      </c>
      <c r="AS25" t="s">
        <v>420</v>
      </c>
      <c r="AU25">
        <v>0</v>
      </c>
      <c r="AV25" t="e">
        <f t="shared" si="0"/>
        <v>#DIV/0!</v>
      </c>
    </row>
    <row r="26" spans="1:48" x14ac:dyDescent="0.3">
      <c r="A26" t="s">
        <v>562</v>
      </c>
      <c r="B26" t="s">
        <v>591</v>
      </c>
      <c r="C26" t="s">
        <v>478</v>
      </c>
      <c r="D26" t="s">
        <v>508</v>
      </c>
      <c r="E26" t="s">
        <v>487</v>
      </c>
      <c r="F26" t="s">
        <v>479</v>
      </c>
      <c r="G26" t="s">
        <v>394</v>
      </c>
      <c r="H26" t="s">
        <v>391</v>
      </c>
      <c r="I26" t="s">
        <v>480</v>
      </c>
      <c r="J26" t="s">
        <v>488</v>
      </c>
      <c r="K26" t="s">
        <v>487</v>
      </c>
      <c r="L26" t="s">
        <v>553</v>
      </c>
      <c r="M26" t="s">
        <v>530</v>
      </c>
      <c r="N26" t="s">
        <v>589</v>
      </c>
      <c r="O26" t="s">
        <v>592</v>
      </c>
      <c r="P26" t="s">
        <v>508</v>
      </c>
      <c r="Q26">
        <v>0</v>
      </c>
      <c r="R26" t="s">
        <v>480</v>
      </c>
      <c r="V26" t="s">
        <v>447</v>
      </c>
      <c r="W26" t="s">
        <v>424</v>
      </c>
      <c r="X26" t="s">
        <v>421</v>
      </c>
      <c r="Y26" t="s">
        <v>400</v>
      </c>
      <c r="Z26">
        <v>1</v>
      </c>
      <c r="AA26" t="s">
        <v>411</v>
      </c>
      <c r="AB26" t="s">
        <v>391</v>
      </c>
      <c r="AD26" t="s">
        <v>401</v>
      </c>
      <c r="AE26" t="s">
        <v>400</v>
      </c>
      <c r="AF26" t="s">
        <v>392</v>
      </c>
      <c r="AG26" t="s">
        <v>393</v>
      </c>
      <c r="AH26">
        <v>100</v>
      </c>
      <c r="AJ26" t="s">
        <v>425</v>
      </c>
      <c r="AO26">
        <v>1920</v>
      </c>
      <c r="AP26">
        <v>1920</v>
      </c>
      <c r="AQ26">
        <v>1600</v>
      </c>
      <c r="AR26">
        <v>1280</v>
      </c>
      <c r="AS26">
        <v>880</v>
      </c>
      <c r="AT26">
        <v>400</v>
      </c>
      <c r="AU26">
        <v>8000</v>
      </c>
      <c r="AV26">
        <f t="shared" si="0"/>
        <v>80</v>
      </c>
    </row>
    <row r="27" spans="1:48" x14ac:dyDescent="0.3">
      <c r="A27" t="s">
        <v>562</v>
      </c>
      <c r="B27" t="s">
        <v>591</v>
      </c>
      <c r="C27" t="s">
        <v>478</v>
      </c>
      <c r="D27" t="s">
        <v>508</v>
      </c>
      <c r="E27" t="s">
        <v>487</v>
      </c>
      <c r="F27" t="s">
        <v>479</v>
      </c>
      <c r="G27" t="s">
        <v>394</v>
      </c>
      <c r="H27" t="s">
        <v>391</v>
      </c>
      <c r="I27" t="s">
        <v>480</v>
      </c>
      <c r="J27" t="s">
        <v>488</v>
      </c>
      <c r="K27" t="s">
        <v>487</v>
      </c>
      <c r="L27" t="s">
        <v>553</v>
      </c>
      <c r="M27" t="s">
        <v>530</v>
      </c>
      <c r="N27" t="s">
        <v>589</v>
      </c>
      <c r="O27" t="s">
        <v>593</v>
      </c>
      <c r="P27" t="s">
        <v>508</v>
      </c>
      <c r="Q27">
        <v>0</v>
      </c>
      <c r="R27" t="s">
        <v>480</v>
      </c>
      <c r="W27" t="s">
        <v>424</v>
      </c>
      <c r="X27" t="s">
        <v>421</v>
      </c>
      <c r="Y27" t="s">
        <v>400</v>
      </c>
      <c r="Z27">
        <v>1</v>
      </c>
      <c r="AA27" t="s">
        <v>411</v>
      </c>
      <c r="AB27" t="s">
        <v>391</v>
      </c>
      <c r="AD27" t="s">
        <v>401</v>
      </c>
      <c r="AE27" t="s">
        <v>400</v>
      </c>
      <c r="AF27" t="s">
        <v>392</v>
      </c>
      <c r="AG27" t="s">
        <v>393</v>
      </c>
      <c r="AH27">
        <v>0</v>
      </c>
      <c r="AJ27" t="s">
        <v>426</v>
      </c>
      <c r="AO27" t="s">
        <v>420</v>
      </c>
      <c r="AP27" t="s">
        <v>420</v>
      </c>
      <c r="AQ27" t="s">
        <v>420</v>
      </c>
      <c r="AR27" t="s">
        <v>420</v>
      </c>
      <c r="AS27" t="s">
        <v>420</v>
      </c>
      <c r="AT27" t="s">
        <v>420</v>
      </c>
      <c r="AU27">
        <v>0</v>
      </c>
      <c r="AV27" t="e">
        <f t="shared" si="0"/>
        <v>#DIV/0!</v>
      </c>
    </row>
    <row r="28" spans="1:48" x14ac:dyDescent="0.3">
      <c r="A28" t="s">
        <v>562</v>
      </c>
      <c r="B28" t="s">
        <v>591</v>
      </c>
      <c r="C28" t="s">
        <v>478</v>
      </c>
      <c r="D28" t="s">
        <v>508</v>
      </c>
      <c r="E28" t="s">
        <v>487</v>
      </c>
      <c r="F28" t="s">
        <v>479</v>
      </c>
      <c r="G28" t="s">
        <v>394</v>
      </c>
      <c r="H28" t="s">
        <v>391</v>
      </c>
      <c r="I28" t="s">
        <v>480</v>
      </c>
      <c r="J28" t="s">
        <v>488</v>
      </c>
      <c r="K28" t="s">
        <v>487</v>
      </c>
      <c r="L28" t="s">
        <v>553</v>
      </c>
      <c r="M28" t="s">
        <v>529</v>
      </c>
      <c r="N28" t="s">
        <v>528</v>
      </c>
      <c r="O28" t="s">
        <v>594</v>
      </c>
      <c r="P28" t="s">
        <v>508</v>
      </c>
      <c r="Q28">
        <v>0</v>
      </c>
      <c r="R28" t="s">
        <v>480</v>
      </c>
      <c r="V28" t="s">
        <v>448</v>
      </c>
      <c r="W28" t="s">
        <v>424</v>
      </c>
      <c r="X28" t="s">
        <v>421</v>
      </c>
      <c r="Y28" t="s">
        <v>400</v>
      </c>
      <c r="Z28">
        <v>2</v>
      </c>
      <c r="AA28" t="s">
        <v>411</v>
      </c>
      <c r="AB28" t="s">
        <v>391</v>
      </c>
      <c r="AD28" t="s">
        <v>401</v>
      </c>
      <c r="AE28" t="s">
        <v>400</v>
      </c>
      <c r="AF28" t="s">
        <v>392</v>
      </c>
      <c r="AG28" t="s">
        <v>393</v>
      </c>
      <c r="AH28">
        <v>60</v>
      </c>
      <c r="AJ28" t="s">
        <v>425</v>
      </c>
      <c r="AO28">
        <v>1040</v>
      </c>
      <c r="AP28">
        <v>1200</v>
      </c>
      <c r="AQ28">
        <v>960</v>
      </c>
      <c r="AR28">
        <v>880</v>
      </c>
      <c r="AS28">
        <v>400</v>
      </c>
      <c r="AT28">
        <v>320</v>
      </c>
      <c r="AU28">
        <v>4800</v>
      </c>
      <c r="AV28">
        <f t="shared" si="0"/>
        <v>80</v>
      </c>
    </row>
    <row r="29" spans="1:48" x14ac:dyDescent="0.3">
      <c r="A29" t="s">
        <v>562</v>
      </c>
      <c r="B29" t="s">
        <v>591</v>
      </c>
      <c r="C29" t="s">
        <v>478</v>
      </c>
      <c r="D29" t="s">
        <v>508</v>
      </c>
      <c r="E29" t="s">
        <v>487</v>
      </c>
      <c r="F29" t="s">
        <v>479</v>
      </c>
      <c r="G29" t="s">
        <v>394</v>
      </c>
      <c r="H29" t="s">
        <v>391</v>
      </c>
      <c r="I29" t="s">
        <v>480</v>
      </c>
      <c r="J29" t="s">
        <v>488</v>
      </c>
      <c r="K29" t="s">
        <v>487</v>
      </c>
      <c r="L29" t="s">
        <v>553</v>
      </c>
      <c r="M29" t="s">
        <v>530</v>
      </c>
      <c r="N29" t="s">
        <v>589</v>
      </c>
      <c r="O29" t="s">
        <v>595</v>
      </c>
      <c r="P29" t="s">
        <v>508</v>
      </c>
      <c r="Q29">
        <v>0</v>
      </c>
      <c r="R29" t="s">
        <v>480</v>
      </c>
      <c r="W29" t="s">
        <v>424</v>
      </c>
      <c r="X29" t="s">
        <v>421</v>
      </c>
      <c r="Y29" t="s">
        <v>400</v>
      </c>
      <c r="Z29">
        <v>2</v>
      </c>
      <c r="AA29" t="s">
        <v>411</v>
      </c>
      <c r="AB29" t="s">
        <v>391</v>
      </c>
      <c r="AD29" t="s">
        <v>401</v>
      </c>
      <c r="AE29" t="s">
        <v>400</v>
      </c>
      <c r="AF29" t="s">
        <v>392</v>
      </c>
      <c r="AG29" t="s">
        <v>393</v>
      </c>
      <c r="AH29">
        <v>0</v>
      </c>
      <c r="AJ29" t="s">
        <v>426</v>
      </c>
      <c r="AO29" t="s">
        <v>420</v>
      </c>
      <c r="AP29" t="s">
        <v>420</v>
      </c>
      <c r="AQ29" t="s">
        <v>420</v>
      </c>
      <c r="AR29" t="s">
        <v>420</v>
      </c>
      <c r="AS29" t="s">
        <v>420</v>
      </c>
      <c r="AT29" t="s">
        <v>420</v>
      </c>
      <c r="AU29">
        <v>0</v>
      </c>
      <c r="AV29" t="e">
        <f t="shared" si="0"/>
        <v>#DIV/0!</v>
      </c>
    </row>
    <row r="30" spans="1:48" x14ac:dyDescent="0.3">
      <c r="A30" t="s">
        <v>562</v>
      </c>
      <c r="B30" t="s">
        <v>591</v>
      </c>
      <c r="C30" t="s">
        <v>478</v>
      </c>
      <c r="D30" t="s">
        <v>508</v>
      </c>
      <c r="E30" t="s">
        <v>487</v>
      </c>
      <c r="F30" t="s">
        <v>479</v>
      </c>
      <c r="G30" t="s">
        <v>394</v>
      </c>
      <c r="H30" t="s">
        <v>391</v>
      </c>
      <c r="I30" t="s">
        <v>480</v>
      </c>
      <c r="J30" t="s">
        <v>488</v>
      </c>
      <c r="K30" t="s">
        <v>487</v>
      </c>
      <c r="L30" t="s">
        <v>553</v>
      </c>
      <c r="M30" t="s">
        <v>531</v>
      </c>
      <c r="N30" t="s">
        <v>589</v>
      </c>
      <c r="O30" t="s">
        <v>596</v>
      </c>
      <c r="P30" t="s">
        <v>508</v>
      </c>
      <c r="Q30">
        <v>0</v>
      </c>
      <c r="R30" t="s">
        <v>480</v>
      </c>
      <c r="W30" t="s">
        <v>424</v>
      </c>
      <c r="X30" t="s">
        <v>421</v>
      </c>
      <c r="Y30" t="s">
        <v>427</v>
      </c>
      <c r="Z30" t="s">
        <v>428</v>
      </c>
      <c r="AA30" t="s">
        <v>411</v>
      </c>
      <c r="AB30" t="s">
        <v>391</v>
      </c>
      <c r="AD30" t="s">
        <v>401</v>
      </c>
      <c r="AE30" t="s">
        <v>429</v>
      </c>
      <c r="AF30" t="s">
        <v>392</v>
      </c>
      <c r="AG30" t="s">
        <v>393</v>
      </c>
      <c r="AH30">
        <v>60</v>
      </c>
      <c r="AJ30" t="s">
        <v>425</v>
      </c>
      <c r="AN30">
        <v>800</v>
      </c>
      <c r="AO30">
        <v>800</v>
      </c>
      <c r="AP30">
        <v>800</v>
      </c>
      <c r="AQ30">
        <v>800</v>
      </c>
      <c r="AR30">
        <v>800</v>
      </c>
      <c r="AS30">
        <v>800</v>
      </c>
      <c r="AU30">
        <v>4800</v>
      </c>
      <c r="AV30">
        <f t="shared" si="0"/>
        <v>80</v>
      </c>
    </row>
    <row r="31" spans="1:48" x14ac:dyDescent="0.3">
      <c r="A31" t="s">
        <v>562</v>
      </c>
      <c r="B31" t="s">
        <v>591</v>
      </c>
      <c r="C31" t="s">
        <v>478</v>
      </c>
      <c r="D31" t="s">
        <v>508</v>
      </c>
      <c r="E31" t="s">
        <v>487</v>
      </c>
      <c r="F31" t="s">
        <v>479</v>
      </c>
      <c r="G31" t="s">
        <v>394</v>
      </c>
      <c r="H31" t="s">
        <v>391</v>
      </c>
      <c r="I31" t="s">
        <v>480</v>
      </c>
      <c r="J31" t="s">
        <v>488</v>
      </c>
      <c r="K31" t="s">
        <v>487</v>
      </c>
      <c r="L31" t="s">
        <v>553</v>
      </c>
      <c r="M31" t="s">
        <v>531</v>
      </c>
      <c r="N31" t="s">
        <v>589</v>
      </c>
      <c r="O31" t="s">
        <v>597</v>
      </c>
      <c r="P31" t="s">
        <v>508</v>
      </c>
      <c r="Q31">
        <v>0</v>
      </c>
      <c r="R31" t="s">
        <v>480</v>
      </c>
      <c r="W31" t="s">
        <v>424</v>
      </c>
      <c r="X31" t="s">
        <v>421</v>
      </c>
      <c r="Y31" t="s">
        <v>427</v>
      </c>
      <c r="Z31" t="s">
        <v>428</v>
      </c>
      <c r="AA31" t="s">
        <v>411</v>
      </c>
      <c r="AB31" t="s">
        <v>391</v>
      </c>
      <c r="AD31" t="s">
        <v>401</v>
      </c>
      <c r="AE31" t="s">
        <v>429</v>
      </c>
      <c r="AF31" t="s">
        <v>392</v>
      </c>
      <c r="AG31" t="s">
        <v>393</v>
      </c>
      <c r="AH31">
        <v>0</v>
      </c>
      <c r="AJ31" t="s">
        <v>426</v>
      </c>
      <c r="AN31" t="s">
        <v>420</v>
      </c>
      <c r="AO31" t="s">
        <v>420</v>
      </c>
      <c r="AP31" t="s">
        <v>420</v>
      </c>
      <c r="AQ31" t="s">
        <v>420</v>
      </c>
      <c r="AR31" t="s">
        <v>420</v>
      </c>
      <c r="AS31" t="s">
        <v>420</v>
      </c>
      <c r="AU31">
        <v>0</v>
      </c>
      <c r="AV31" t="e">
        <f t="shared" si="0"/>
        <v>#DIV/0!</v>
      </c>
    </row>
    <row r="32" spans="1:48" x14ac:dyDescent="0.3">
      <c r="A32" t="s">
        <v>562</v>
      </c>
      <c r="B32" t="s">
        <v>591</v>
      </c>
      <c r="C32" t="s">
        <v>478</v>
      </c>
      <c r="D32" t="s">
        <v>508</v>
      </c>
      <c r="E32" t="s">
        <v>487</v>
      </c>
      <c r="F32" t="s">
        <v>479</v>
      </c>
      <c r="G32" t="s">
        <v>394</v>
      </c>
      <c r="H32" t="s">
        <v>391</v>
      </c>
      <c r="I32" t="s">
        <v>480</v>
      </c>
      <c r="J32" t="s">
        <v>488</v>
      </c>
      <c r="K32" t="s">
        <v>487</v>
      </c>
      <c r="L32" t="s">
        <v>553</v>
      </c>
      <c r="M32" t="s">
        <v>529</v>
      </c>
      <c r="N32" t="s">
        <v>589</v>
      </c>
      <c r="O32" t="s">
        <v>598</v>
      </c>
      <c r="P32" t="s">
        <v>508</v>
      </c>
      <c r="Q32">
        <v>0</v>
      </c>
      <c r="R32" t="s">
        <v>480</v>
      </c>
      <c r="U32" s="25" t="s">
        <v>395</v>
      </c>
      <c r="V32" s="25" t="s">
        <v>389</v>
      </c>
      <c r="W32" s="25" t="s">
        <v>396</v>
      </c>
      <c r="X32" s="25" t="s">
        <v>472</v>
      </c>
      <c r="Y32" s="25" t="s">
        <v>397</v>
      </c>
      <c r="Z32" s="25">
        <v>1</v>
      </c>
      <c r="AA32" s="25" t="s">
        <v>390</v>
      </c>
      <c r="AB32" s="25" t="s">
        <v>391</v>
      </c>
      <c r="AC32" s="25" t="s">
        <v>473</v>
      </c>
      <c r="AD32" s="25" t="s">
        <v>398</v>
      </c>
      <c r="AE32" s="25" t="s">
        <v>397</v>
      </c>
      <c r="AF32" s="25" t="s">
        <v>392</v>
      </c>
      <c r="AG32" s="25" t="s">
        <v>399</v>
      </c>
      <c r="AH32" s="25"/>
      <c r="AI32" s="25">
        <v>85</v>
      </c>
      <c r="AJ32" s="25" t="s">
        <v>474</v>
      </c>
      <c r="AK32" s="25"/>
      <c r="AL32" s="25"/>
      <c r="AM32" s="25">
        <v>1050</v>
      </c>
      <c r="AN32" s="25">
        <v>1400</v>
      </c>
      <c r="AO32" s="25">
        <v>1750</v>
      </c>
      <c r="AP32" s="25">
        <v>1750</v>
      </c>
      <c r="AQ32" s="25"/>
      <c r="AR32" s="25"/>
      <c r="AS32" s="25"/>
      <c r="AT32" s="25"/>
      <c r="AU32" s="25">
        <v>5950</v>
      </c>
      <c r="AV32">
        <f t="shared" si="0"/>
        <v>70</v>
      </c>
    </row>
    <row r="33" spans="1:48" x14ac:dyDescent="0.3">
      <c r="A33" t="s">
        <v>562</v>
      </c>
      <c r="B33" t="s">
        <v>591</v>
      </c>
      <c r="C33" t="s">
        <v>478</v>
      </c>
      <c r="D33" t="s">
        <v>508</v>
      </c>
      <c r="E33" t="s">
        <v>487</v>
      </c>
      <c r="F33" t="s">
        <v>479</v>
      </c>
      <c r="G33" t="s">
        <v>394</v>
      </c>
      <c r="H33" t="s">
        <v>391</v>
      </c>
      <c r="I33" t="s">
        <v>480</v>
      </c>
      <c r="J33" t="s">
        <v>488</v>
      </c>
      <c r="K33" t="s">
        <v>487</v>
      </c>
      <c r="L33" t="s">
        <v>553</v>
      </c>
      <c r="M33" t="s">
        <v>530</v>
      </c>
      <c r="N33" t="s">
        <v>589</v>
      </c>
      <c r="O33" t="s">
        <v>599</v>
      </c>
      <c r="P33" t="s">
        <v>508</v>
      </c>
      <c r="Q33">
        <v>0</v>
      </c>
      <c r="R33" t="s">
        <v>480</v>
      </c>
      <c r="U33" s="25"/>
      <c r="V33" s="25"/>
      <c r="W33" s="25" t="s">
        <v>396</v>
      </c>
      <c r="X33" s="25" t="s">
        <v>472</v>
      </c>
      <c r="Y33" s="25" t="s">
        <v>397</v>
      </c>
      <c r="Z33" s="25">
        <v>1</v>
      </c>
      <c r="AA33" s="25" t="s">
        <v>390</v>
      </c>
      <c r="AB33" s="25" t="s">
        <v>419</v>
      </c>
      <c r="AC33" s="25" t="s">
        <v>473</v>
      </c>
      <c r="AD33" s="25" t="s">
        <v>398</v>
      </c>
      <c r="AE33" s="25" t="s">
        <v>397</v>
      </c>
      <c r="AF33" s="25" t="s">
        <v>392</v>
      </c>
      <c r="AG33" s="25" t="s">
        <v>399</v>
      </c>
      <c r="AH33" s="25"/>
      <c r="AI33" s="25">
        <v>0</v>
      </c>
      <c r="AJ33" s="25" t="s">
        <v>474</v>
      </c>
      <c r="AK33" s="25"/>
      <c r="AL33" s="25" t="s">
        <v>420</v>
      </c>
      <c r="AM33" s="25" t="s">
        <v>420</v>
      </c>
      <c r="AN33" s="25" t="s">
        <v>420</v>
      </c>
      <c r="AO33" s="25"/>
      <c r="AP33" s="25"/>
      <c r="AQ33" s="25"/>
      <c r="AR33" s="25"/>
      <c r="AS33" s="25"/>
      <c r="AT33" s="25"/>
      <c r="AU33" s="25">
        <v>0</v>
      </c>
      <c r="AV33" t="e">
        <f t="shared" si="0"/>
        <v>#DIV/0!</v>
      </c>
    </row>
    <row r="34" spans="1:48" x14ac:dyDescent="0.3">
      <c r="A34" t="s">
        <v>562</v>
      </c>
      <c r="B34" t="s">
        <v>591</v>
      </c>
      <c r="C34" t="s">
        <v>478</v>
      </c>
      <c r="D34" t="s">
        <v>508</v>
      </c>
      <c r="E34" t="s">
        <v>487</v>
      </c>
      <c r="F34" t="s">
        <v>479</v>
      </c>
      <c r="G34" t="s">
        <v>394</v>
      </c>
      <c r="H34" t="s">
        <v>391</v>
      </c>
      <c r="I34" t="s">
        <v>480</v>
      </c>
      <c r="J34" t="s">
        <v>488</v>
      </c>
      <c r="K34" t="s">
        <v>487</v>
      </c>
      <c r="L34" t="s">
        <v>553</v>
      </c>
      <c r="M34" t="s">
        <v>531</v>
      </c>
      <c r="N34" t="s">
        <v>589</v>
      </c>
      <c r="O34" t="s">
        <v>600</v>
      </c>
      <c r="P34" t="s">
        <v>508</v>
      </c>
      <c r="Q34">
        <v>0</v>
      </c>
      <c r="R34" t="s">
        <v>480</v>
      </c>
      <c r="U34" t="s">
        <v>395</v>
      </c>
      <c r="V34" t="s">
        <v>389</v>
      </c>
      <c r="W34" t="s">
        <v>396</v>
      </c>
      <c r="X34" t="s">
        <v>421</v>
      </c>
      <c r="Y34" t="s">
        <v>397</v>
      </c>
      <c r="Z34">
        <v>1</v>
      </c>
      <c r="AA34" t="s">
        <v>390</v>
      </c>
      <c r="AB34" t="s">
        <v>391</v>
      </c>
      <c r="AC34" t="s">
        <v>430</v>
      </c>
      <c r="AD34" t="s">
        <v>398</v>
      </c>
      <c r="AE34" t="s">
        <v>397</v>
      </c>
      <c r="AF34" t="s">
        <v>445</v>
      </c>
      <c r="AG34" t="s">
        <v>399</v>
      </c>
      <c r="AI34">
        <v>14</v>
      </c>
      <c r="AJ34" t="s">
        <v>423</v>
      </c>
      <c r="AK34">
        <v>70</v>
      </c>
      <c r="AL34">
        <v>140</v>
      </c>
      <c r="AM34">
        <v>210</v>
      </c>
      <c r="AN34">
        <v>280</v>
      </c>
      <c r="AO34">
        <v>280</v>
      </c>
      <c r="AU34">
        <v>980</v>
      </c>
      <c r="AV34">
        <f t="shared" si="0"/>
        <v>70</v>
      </c>
    </row>
    <row r="35" spans="1:48" x14ac:dyDescent="0.3">
      <c r="A35" t="s">
        <v>562</v>
      </c>
      <c r="B35" t="s">
        <v>591</v>
      </c>
      <c r="C35" t="s">
        <v>478</v>
      </c>
      <c r="D35" t="s">
        <v>508</v>
      </c>
      <c r="E35" t="s">
        <v>487</v>
      </c>
      <c r="F35" t="s">
        <v>479</v>
      </c>
      <c r="G35" t="s">
        <v>394</v>
      </c>
      <c r="H35" t="s">
        <v>391</v>
      </c>
      <c r="I35" t="s">
        <v>480</v>
      </c>
      <c r="J35" t="s">
        <v>488</v>
      </c>
      <c r="K35" t="s">
        <v>487</v>
      </c>
      <c r="L35" t="s">
        <v>553</v>
      </c>
      <c r="M35" t="s">
        <v>530</v>
      </c>
      <c r="N35" t="s">
        <v>589</v>
      </c>
      <c r="O35" t="s">
        <v>601</v>
      </c>
      <c r="P35" t="s">
        <v>508</v>
      </c>
      <c r="Q35">
        <v>0</v>
      </c>
      <c r="R35" t="s">
        <v>480</v>
      </c>
      <c r="W35" t="s">
        <v>396</v>
      </c>
      <c r="X35" t="s">
        <v>421</v>
      </c>
      <c r="Y35" t="s">
        <v>397</v>
      </c>
      <c r="Z35">
        <v>2</v>
      </c>
      <c r="AA35" t="s">
        <v>390</v>
      </c>
      <c r="AB35" t="s">
        <v>391</v>
      </c>
      <c r="AC35" t="s">
        <v>430</v>
      </c>
      <c r="AD35" t="s">
        <v>398</v>
      </c>
      <c r="AE35" t="s">
        <v>397</v>
      </c>
      <c r="AF35" t="s">
        <v>445</v>
      </c>
      <c r="AG35" t="s">
        <v>399</v>
      </c>
      <c r="AI35">
        <v>6</v>
      </c>
      <c r="AJ35" t="s">
        <v>423</v>
      </c>
      <c r="AK35">
        <v>70</v>
      </c>
      <c r="AL35">
        <v>70</v>
      </c>
      <c r="AM35">
        <v>70</v>
      </c>
      <c r="AN35">
        <v>70</v>
      </c>
      <c r="AO35">
        <v>140</v>
      </c>
      <c r="AU35">
        <v>420</v>
      </c>
      <c r="AV35">
        <f t="shared" si="0"/>
        <v>70</v>
      </c>
    </row>
    <row r="36" spans="1:48" x14ac:dyDescent="0.3">
      <c r="A36" t="s">
        <v>562</v>
      </c>
      <c r="B36" t="s">
        <v>591</v>
      </c>
      <c r="C36" t="s">
        <v>478</v>
      </c>
      <c r="D36" t="s">
        <v>508</v>
      </c>
      <c r="E36" t="s">
        <v>487</v>
      </c>
      <c r="F36" t="s">
        <v>479</v>
      </c>
      <c r="G36" t="s">
        <v>394</v>
      </c>
      <c r="H36" t="s">
        <v>391</v>
      </c>
      <c r="I36" t="s">
        <v>480</v>
      </c>
      <c r="J36" t="s">
        <v>488</v>
      </c>
      <c r="K36" t="s">
        <v>487</v>
      </c>
      <c r="L36" t="s">
        <v>553</v>
      </c>
      <c r="M36" t="s">
        <v>530</v>
      </c>
      <c r="N36" t="s">
        <v>589</v>
      </c>
      <c r="O36" t="s">
        <v>602</v>
      </c>
      <c r="P36" t="s">
        <v>508</v>
      </c>
      <c r="Q36">
        <v>0</v>
      </c>
      <c r="R36" t="s">
        <v>480</v>
      </c>
      <c r="W36" t="s">
        <v>396</v>
      </c>
      <c r="X36" t="s">
        <v>421</v>
      </c>
      <c r="Y36" t="s">
        <v>397</v>
      </c>
      <c r="Z36">
        <v>1</v>
      </c>
      <c r="AA36" t="s">
        <v>390</v>
      </c>
      <c r="AB36" t="s">
        <v>391</v>
      </c>
      <c r="AC36" t="s">
        <v>460</v>
      </c>
      <c r="AD36" t="s">
        <v>398</v>
      </c>
      <c r="AE36" t="s">
        <v>397</v>
      </c>
      <c r="AF36" t="s">
        <v>445</v>
      </c>
      <c r="AG36" t="s">
        <v>399</v>
      </c>
      <c r="AI36">
        <v>14</v>
      </c>
      <c r="AJ36" t="s">
        <v>423</v>
      </c>
      <c r="AK36">
        <v>70</v>
      </c>
      <c r="AL36">
        <v>140</v>
      </c>
      <c r="AM36">
        <v>210</v>
      </c>
      <c r="AN36">
        <v>280</v>
      </c>
      <c r="AO36">
        <v>280</v>
      </c>
      <c r="AU36">
        <v>980</v>
      </c>
      <c r="AV36">
        <f t="shared" si="0"/>
        <v>70</v>
      </c>
    </row>
    <row r="37" spans="1:48" x14ac:dyDescent="0.3">
      <c r="A37" t="s">
        <v>562</v>
      </c>
      <c r="B37" t="s">
        <v>591</v>
      </c>
      <c r="C37" t="s">
        <v>478</v>
      </c>
      <c r="D37" t="s">
        <v>508</v>
      </c>
      <c r="E37" t="s">
        <v>487</v>
      </c>
      <c r="F37" t="s">
        <v>479</v>
      </c>
      <c r="G37" t="s">
        <v>394</v>
      </c>
      <c r="H37" t="s">
        <v>391</v>
      </c>
      <c r="I37" t="s">
        <v>480</v>
      </c>
      <c r="J37" t="s">
        <v>488</v>
      </c>
      <c r="K37" t="s">
        <v>487</v>
      </c>
      <c r="L37" t="s">
        <v>553</v>
      </c>
      <c r="M37" t="s">
        <v>531</v>
      </c>
      <c r="N37" t="s">
        <v>589</v>
      </c>
      <c r="O37" t="s">
        <v>603</v>
      </c>
      <c r="P37" t="s">
        <v>508</v>
      </c>
      <c r="Q37">
        <v>0</v>
      </c>
      <c r="R37" t="s">
        <v>480</v>
      </c>
      <c r="W37" t="s">
        <v>396</v>
      </c>
      <c r="X37" t="s">
        <v>421</v>
      </c>
      <c r="Y37" t="s">
        <v>397</v>
      </c>
      <c r="Z37">
        <v>2</v>
      </c>
      <c r="AA37" t="s">
        <v>390</v>
      </c>
      <c r="AB37" t="s">
        <v>391</v>
      </c>
      <c r="AC37" t="s">
        <v>460</v>
      </c>
      <c r="AD37" t="s">
        <v>398</v>
      </c>
      <c r="AE37" t="s">
        <v>397</v>
      </c>
      <c r="AF37" t="s">
        <v>445</v>
      </c>
      <c r="AG37" t="s">
        <v>399</v>
      </c>
      <c r="AI37">
        <v>6</v>
      </c>
      <c r="AJ37" t="s">
        <v>423</v>
      </c>
      <c r="AK37">
        <v>70</v>
      </c>
      <c r="AL37">
        <v>70</v>
      </c>
      <c r="AM37">
        <v>70</v>
      </c>
      <c r="AN37">
        <v>70</v>
      </c>
      <c r="AO37">
        <v>140</v>
      </c>
      <c r="AU37">
        <v>420</v>
      </c>
      <c r="AV37">
        <f t="shared" si="0"/>
        <v>70</v>
      </c>
    </row>
    <row r="38" spans="1:48" x14ac:dyDescent="0.3">
      <c r="A38" t="s">
        <v>562</v>
      </c>
      <c r="B38" t="s">
        <v>604</v>
      </c>
      <c r="C38" t="s">
        <v>478</v>
      </c>
      <c r="D38" t="s">
        <v>508</v>
      </c>
      <c r="E38" t="s">
        <v>487</v>
      </c>
      <c r="F38" t="s">
        <v>479</v>
      </c>
      <c r="G38" t="s">
        <v>394</v>
      </c>
      <c r="H38" t="s">
        <v>391</v>
      </c>
      <c r="I38" t="s">
        <v>480</v>
      </c>
      <c r="J38" t="s">
        <v>488</v>
      </c>
      <c r="K38" t="s">
        <v>487</v>
      </c>
      <c r="L38" t="s">
        <v>553</v>
      </c>
      <c r="M38" t="s">
        <v>531</v>
      </c>
      <c r="N38" t="s">
        <v>589</v>
      </c>
      <c r="O38" t="s">
        <v>605</v>
      </c>
      <c r="P38" t="s">
        <v>508</v>
      </c>
      <c r="Q38">
        <v>0</v>
      </c>
      <c r="R38" t="s">
        <v>480</v>
      </c>
      <c r="U38" t="s">
        <v>461</v>
      </c>
      <c r="V38" t="s">
        <v>447</v>
      </c>
      <c r="W38" t="s">
        <v>424</v>
      </c>
      <c r="X38" t="s">
        <v>421</v>
      </c>
      <c r="Y38" t="s">
        <v>462</v>
      </c>
      <c r="Z38">
        <v>1</v>
      </c>
      <c r="AA38" t="s">
        <v>394</v>
      </c>
      <c r="AB38" t="s">
        <v>391</v>
      </c>
      <c r="AD38" t="s">
        <v>463</v>
      </c>
      <c r="AE38" t="s">
        <v>462</v>
      </c>
      <c r="AF38" t="s">
        <v>464</v>
      </c>
      <c r="AG38" t="s">
        <v>393</v>
      </c>
      <c r="AH38">
        <v>20</v>
      </c>
      <c r="AJ38" t="s">
        <v>465</v>
      </c>
      <c r="AR38">
        <v>160</v>
      </c>
      <c r="AS38">
        <v>960</v>
      </c>
      <c r="AT38">
        <v>480</v>
      </c>
      <c r="AU38">
        <v>1600</v>
      </c>
      <c r="AV38">
        <f>AU38/(AH38+AI38)</f>
        <v>80</v>
      </c>
    </row>
    <row r="39" spans="1:48" x14ac:dyDescent="0.3">
      <c r="A39" t="s">
        <v>562</v>
      </c>
      <c r="B39" t="s">
        <v>606</v>
      </c>
      <c r="C39" t="s">
        <v>478</v>
      </c>
      <c r="D39" t="s">
        <v>508</v>
      </c>
      <c r="E39" t="s">
        <v>487</v>
      </c>
      <c r="F39" t="s">
        <v>479</v>
      </c>
      <c r="G39" t="s">
        <v>394</v>
      </c>
      <c r="H39" t="s">
        <v>391</v>
      </c>
      <c r="I39" t="s">
        <v>480</v>
      </c>
      <c r="J39" t="s">
        <v>488</v>
      </c>
      <c r="K39" t="s">
        <v>487</v>
      </c>
      <c r="L39" t="s">
        <v>553</v>
      </c>
      <c r="M39" t="s">
        <v>529</v>
      </c>
      <c r="N39" t="s">
        <v>589</v>
      </c>
      <c r="O39" t="s">
        <v>607</v>
      </c>
      <c r="P39" t="s">
        <v>508</v>
      </c>
      <c r="Q39">
        <v>0</v>
      </c>
      <c r="R39" t="s">
        <v>480</v>
      </c>
    </row>
    <row r="40" spans="1:48" x14ac:dyDescent="0.3">
      <c r="A40" t="s">
        <v>562</v>
      </c>
      <c r="B40" t="s">
        <v>606</v>
      </c>
      <c r="C40" t="s">
        <v>478</v>
      </c>
      <c r="D40" t="s">
        <v>508</v>
      </c>
      <c r="E40" t="s">
        <v>487</v>
      </c>
      <c r="F40" t="s">
        <v>479</v>
      </c>
      <c r="G40" t="s">
        <v>394</v>
      </c>
      <c r="H40" t="s">
        <v>391</v>
      </c>
      <c r="I40" t="s">
        <v>480</v>
      </c>
      <c r="J40" t="s">
        <v>488</v>
      </c>
      <c r="K40" t="s">
        <v>487</v>
      </c>
      <c r="L40" t="s">
        <v>553</v>
      </c>
      <c r="M40" t="s">
        <v>529</v>
      </c>
      <c r="N40" t="s">
        <v>589</v>
      </c>
      <c r="O40" t="s">
        <v>608</v>
      </c>
      <c r="P40" t="s">
        <v>508</v>
      </c>
      <c r="Q40">
        <v>0</v>
      </c>
      <c r="R40" t="s">
        <v>480</v>
      </c>
    </row>
    <row r="41" spans="1:48" x14ac:dyDescent="0.3">
      <c r="A41" t="s">
        <v>562</v>
      </c>
      <c r="B41" t="s">
        <v>606</v>
      </c>
      <c r="C41" t="s">
        <v>478</v>
      </c>
      <c r="D41" t="s">
        <v>508</v>
      </c>
      <c r="E41" t="s">
        <v>487</v>
      </c>
      <c r="F41" t="s">
        <v>479</v>
      </c>
      <c r="G41" t="s">
        <v>394</v>
      </c>
      <c r="H41" t="s">
        <v>391</v>
      </c>
      <c r="I41" t="s">
        <v>480</v>
      </c>
      <c r="J41" t="s">
        <v>488</v>
      </c>
      <c r="K41" t="s">
        <v>487</v>
      </c>
      <c r="L41" t="s">
        <v>553</v>
      </c>
      <c r="M41" t="s">
        <v>530</v>
      </c>
      <c r="N41" t="s">
        <v>589</v>
      </c>
      <c r="O41" t="s">
        <v>609</v>
      </c>
      <c r="P41" t="s">
        <v>508</v>
      </c>
      <c r="Q41">
        <v>0</v>
      </c>
      <c r="R41" t="s">
        <v>480</v>
      </c>
    </row>
    <row r="42" spans="1:48" x14ac:dyDescent="0.3">
      <c r="A42" t="s">
        <v>562</v>
      </c>
      <c r="B42" t="s">
        <v>606</v>
      </c>
      <c r="C42" t="s">
        <v>478</v>
      </c>
      <c r="D42" t="s">
        <v>508</v>
      </c>
      <c r="E42" t="s">
        <v>487</v>
      </c>
      <c r="F42" t="s">
        <v>479</v>
      </c>
      <c r="G42" t="s">
        <v>394</v>
      </c>
      <c r="H42" t="s">
        <v>391</v>
      </c>
      <c r="I42" t="s">
        <v>480</v>
      </c>
      <c r="J42" t="s">
        <v>488</v>
      </c>
      <c r="K42" t="s">
        <v>487</v>
      </c>
      <c r="L42" t="s">
        <v>553</v>
      </c>
      <c r="M42" t="s">
        <v>530</v>
      </c>
      <c r="N42" t="s">
        <v>589</v>
      </c>
      <c r="O42" t="s">
        <v>610</v>
      </c>
      <c r="P42" t="s">
        <v>508</v>
      </c>
      <c r="Q42">
        <v>0</v>
      </c>
      <c r="R42" t="s">
        <v>480</v>
      </c>
    </row>
    <row r="43" spans="1:48" x14ac:dyDescent="0.3">
      <c r="A43" t="s">
        <v>562</v>
      </c>
      <c r="B43" t="s">
        <v>606</v>
      </c>
      <c r="C43" t="s">
        <v>478</v>
      </c>
      <c r="D43" t="s">
        <v>508</v>
      </c>
      <c r="E43" t="s">
        <v>487</v>
      </c>
      <c r="F43" t="s">
        <v>479</v>
      </c>
      <c r="G43" t="s">
        <v>394</v>
      </c>
      <c r="H43" t="s">
        <v>391</v>
      </c>
      <c r="I43" t="s">
        <v>480</v>
      </c>
      <c r="J43" t="s">
        <v>488</v>
      </c>
      <c r="K43" t="s">
        <v>487</v>
      </c>
      <c r="L43" t="s">
        <v>553</v>
      </c>
      <c r="M43" t="s">
        <v>530</v>
      </c>
      <c r="N43" t="s">
        <v>589</v>
      </c>
      <c r="O43" t="s">
        <v>611</v>
      </c>
      <c r="P43" t="s">
        <v>508</v>
      </c>
      <c r="Q43">
        <v>0</v>
      </c>
      <c r="R43" t="s">
        <v>480</v>
      </c>
    </row>
    <row r="44" spans="1:48" x14ac:dyDescent="0.3">
      <c r="A44" t="s">
        <v>562</v>
      </c>
      <c r="B44" t="s">
        <v>606</v>
      </c>
      <c r="C44" t="s">
        <v>478</v>
      </c>
      <c r="D44" t="s">
        <v>508</v>
      </c>
      <c r="E44" t="s">
        <v>487</v>
      </c>
      <c r="F44" t="s">
        <v>479</v>
      </c>
      <c r="G44" t="s">
        <v>394</v>
      </c>
      <c r="H44" t="s">
        <v>391</v>
      </c>
      <c r="I44" t="s">
        <v>480</v>
      </c>
      <c r="J44" t="s">
        <v>488</v>
      </c>
      <c r="K44" t="s">
        <v>487</v>
      </c>
      <c r="L44" t="s">
        <v>553</v>
      </c>
      <c r="M44" t="s">
        <v>530</v>
      </c>
      <c r="N44" t="s">
        <v>589</v>
      </c>
      <c r="O44" t="s">
        <v>612</v>
      </c>
      <c r="P44" t="s">
        <v>508</v>
      </c>
      <c r="Q44">
        <v>0</v>
      </c>
      <c r="R44" t="s">
        <v>480</v>
      </c>
    </row>
    <row r="45" spans="1:48" x14ac:dyDescent="0.3">
      <c r="A45" t="s">
        <v>562</v>
      </c>
      <c r="B45" t="s">
        <v>606</v>
      </c>
      <c r="C45" t="s">
        <v>478</v>
      </c>
      <c r="D45" t="s">
        <v>508</v>
      </c>
      <c r="E45" t="s">
        <v>487</v>
      </c>
      <c r="F45" t="s">
        <v>479</v>
      </c>
      <c r="G45" t="s">
        <v>394</v>
      </c>
      <c r="H45" t="s">
        <v>391</v>
      </c>
      <c r="I45" t="s">
        <v>480</v>
      </c>
      <c r="J45" t="s">
        <v>488</v>
      </c>
      <c r="K45" t="s">
        <v>487</v>
      </c>
      <c r="L45" t="s">
        <v>553</v>
      </c>
      <c r="M45" t="s">
        <v>530</v>
      </c>
      <c r="N45" t="s">
        <v>589</v>
      </c>
      <c r="O45" t="s">
        <v>613</v>
      </c>
      <c r="P45" t="s">
        <v>508</v>
      </c>
      <c r="Q45">
        <v>0</v>
      </c>
      <c r="R45" t="s">
        <v>480</v>
      </c>
    </row>
    <row r="46" spans="1:48" x14ac:dyDescent="0.3">
      <c r="A46" t="s">
        <v>562</v>
      </c>
      <c r="B46" t="s">
        <v>606</v>
      </c>
      <c r="C46" t="s">
        <v>478</v>
      </c>
      <c r="D46" t="s">
        <v>508</v>
      </c>
      <c r="E46" t="s">
        <v>487</v>
      </c>
      <c r="F46" t="s">
        <v>479</v>
      </c>
      <c r="G46" t="s">
        <v>394</v>
      </c>
      <c r="H46" t="s">
        <v>391</v>
      </c>
      <c r="I46" t="s">
        <v>480</v>
      </c>
      <c r="J46" t="s">
        <v>488</v>
      </c>
      <c r="K46" t="s">
        <v>487</v>
      </c>
      <c r="L46" t="s">
        <v>553</v>
      </c>
      <c r="M46" t="s">
        <v>531</v>
      </c>
      <c r="N46" t="s">
        <v>589</v>
      </c>
      <c r="O46" t="s">
        <v>614</v>
      </c>
      <c r="P46" t="s">
        <v>508</v>
      </c>
      <c r="Q46">
        <v>0</v>
      </c>
      <c r="R46" t="s">
        <v>480</v>
      </c>
    </row>
    <row r="47" spans="1:48" x14ac:dyDescent="0.3">
      <c r="A47" t="s">
        <v>562</v>
      </c>
      <c r="B47" t="s">
        <v>606</v>
      </c>
      <c r="C47" t="s">
        <v>478</v>
      </c>
      <c r="D47" t="s">
        <v>508</v>
      </c>
      <c r="E47" t="s">
        <v>487</v>
      </c>
      <c r="F47" t="s">
        <v>479</v>
      </c>
      <c r="G47" t="s">
        <v>394</v>
      </c>
      <c r="H47" t="s">
        <v>391</v>
      </c>
      <c r="I47" t="s">
        <v>480</v>
      </c>
      <c r="J47" t="s">
        <v>488</v>
      </c>
      <c r="K47" t="s">
        <v>487</v>
      </c>
      <c r="L47" t="s">
        <v>553</v>
      </c>
      <c r="M47" t="s">
        <v>530</v>
      </c>
      <c r="N47" t="s">
        <v>589</v>
      </c>
      <c r="O47" t="s">
        <v>615</v>
      </c>
      <c r="P47" t="s">
        <v>508</v>
      </c>
      <c r="Q47">
        <v>0</v>
      </c>
      <c r="R47" t="s">
        <v>480</v>
      </c>
    </row>
    <row r="48" spans="1:48" x14ac:dyDescent="0.3">
      <c r="A48" t="s">
        <v>562</v>
      </c>
      <c r="B48" t="s">
        <v>606</v>
      </c>
      <c r="C48" t="s">
        <v>478</v>
      </c>
      <c r="D48" t="s">
        <v>508</v>
      </c>
      <c r="E48" t="s">
        <v>487</v>
      </c>
      <c r="F48" t="s">
        <v>479</v>
      </c>
      <c r="G48" t="s">
        <v>394</v>
      </c>
      <c r="H48" t="s">
        <v>391</v>
      </c>
      <c r="I48" t="s">
        <v>480</v>
      </c>
      <c r="J48" t="s">
        <v>488</v>
      </c>
      <c r="K48" t="s">
        <v>487</v>
      </c>
      <c r="L48" t="s">
        <v>553</v>
      </c>
      <c r="M48" t="s">
        <v>529</v>
      </c>
      <c r="N48" t="s">
        <v>589</v>
      </c>
      <c r="O48" t="s">
        <v>616</v>
      </c>
      <c r="P48" t="s">
        <v>508</v>
      </c>
      <c r="Q48">
        <v>0</v>
      </c>
      <c r="R48" t="s">
        <v>480</v>
      </c>
    </row>
    <row r="49" spans="1:18" x14ac:dyDescent="0.3">
      <c r="A49" t="s">
        <v>562</v>
      </c>
      <c r="B49" t="s">
        <v>617</v>
      </c>
      <c r="C49" t="s">
        <v>478</v>
      </c>
      <c r="D49" t="s">
        <v>508</v>
      </c>
      <c r="E49" t="s">
        <v>487</v>
      </c>
      <c r="F49" t="s">
        <v>479</v>
      </c>
      <c r="G49" t="s">
        <v>394</v>
      </c>
      <c r="H49" t="s">
        <v>391</v>
      </c>
      <c r="I49" t="s">
        <v>480</v>
      </c>
      <c r="J49" t="s">
        <v>488</v>
      </c>
      <c r="K49" t="s">
        <v>487</v>
      </c>
      <c r="L49" t="s">
        <v>553</v>
      </c>
      <c r="M49" t="s">
        <v>531</v>
      </c>
      <c r="N49" t="s">
        <v>589</v>
      </c>
      <c r="O49" t="s">
        <v>618</v>
      </c>
      <c r="P49" t="s">
        <v>508</v>
      </c>
      <c r="Q49">
        <v>0</v>
      </c>
      <c r="R49" t="s">
        <v>480</v>
      </c>
    </row>
    <row r="50" spans="1:18" x14ac:dyDescent="0.3">
      <c r="A50" t="s">
        <v>562</v>
      </c>
      <c r="B50" t="s">
        <v>617</v>
      </c>
      <c r="C50" t="s">
        <v>478</v>
      </c>
      <c r="D50" t="s">
        <v>508</v>
      </c>
      <c r="E50" t="s">
        <v>487</v>
      </c>
      <c r="F50" t="s">
        <v>479</v>
      </c>
      <c r="G50" t="s">
        <v>394</v>
      </c>
      <c r="H50" t="s">
        <v>391</v>
      </c>
      <c r="I50" t="s">
        <v>480</v>
      </c>
      <c r="J50" t="s">
        <v>488</v>
      </c>
      <c r="K50" t="s">
        <v>487</v>
      </c>
      <c r="L50" t="s">
        <v>553</v>
      </c>
      <c r="M50" t="s">
        <v>530</v>
      </c>
      <c r="N50" t="s">
        <v>589</v>
      </c>
      <c r="O50" t="s">
        <v>619</v>
      </c>
      <c r="P50" t="s">
        <v>508</v>
      </c>
      <c r="Q50">
        <v>0</v>
      </c>
      <c r="R50" t="s">
        <v>480</v>
      </c>
    </row>
    <row r="51" spans="1:18" x14ac:dyDescent="0.3">
      <c r="A51" t="s">
        <v>562</v>
      </c>
      <c r="B51" t="s">
        <v>617</v>
      </c>
      <c r="C51" t="s">
        <v>478</v>
      </c>
      <c r="D51" t="s">
        <v>508</v>
      </c>
      <c r="E51" t="s">
        <v>487</v>
      </c>
      <c r="F51" t="s">
        <v>479</v>
      </c>
      <c r="G51" t="s">
        <v>394</v>
      </c>
      <c r="H51" t="s">
        <v>391</v>
      </c>
      <c r="I51" t="s">
        <v>480</v>
      </c>
      <c r="J51" t="s">
        <v>488</v>
      </c>
      <c r="K51" t="s">
        <v>487</v>
      </c>
      <c r="L51" t="s">
        <v>553</v>
      </c>
      <c r="M51" t="s">
        <v>529</v>
      </c>
      <c r="N51" t="s">
        <v>589</v>
      </c>
      <c r="O51" t="s">
        <v>620</v>
      </c>
      <c r="P51" t="s">
        <v>508</v>
      </c>
      <c r="Q51">
        <v>0</v>
      </c>
      <c r="R51" t="s">
        <v>480</v>
      </c>
    </row>
    <row r="52" spans="1:18" x14ac:dyDescent="0.3">
      <c r="A52" t="s">
        <v>562</v>
      </c>
      <c r="B52" t="s">
        <v>617</v>
      </c>
      <c r="C52" t="s">
        <v>478</v>
      </c>
      <c r="D52" t="s">
        <v>508</v>
      </c>
      <c r="E52" t="s">
        <v>487</v>
      </c>
      <c r="F52" t="s">
        <v>479</v>
      </c>
      <c r="G52" t="s">
        <v>394</v>
      </c>
      <c r="H52" t="s">
        <v>391</v>
      </c>
      <c r="I52" t="s">
        <v>480</v>
      </c>
      <c r="J52" t="s">
        <v>488</v>
      </c>
      <c r="K52" t="s">
        <v>487</v>
      </c>
      <c r="L52" t="s">
        <v>553</v>
      </c>
      <c r="M52" t="s">
        <v>530</v>
      </c>
      <c r="N52" t="s">
        <v>589</v>
      </c>
      <c r="O52" t="s">
        <v>621</v>
      </c>
      <c r="P52" t="s">
        <v>508</v>
      </c>
      <c r="Q52">
        <v>0</v>
      </c>
      <c r="R52" t="s">
        <v>480</v>
      </c>
    </row>
    <row r="53" spans="1:18" x14ac:dyDescent="0.3">
      <c r="A53" t="s">
        <v>562</v>
      </c>
      <c r="B53" t="s">
        <v>617</v>
      </c>
      <c r="C53" t="s">
        <v>478</v>
      </c>
      <c r="D53" t="s">
        <v>508</v>
      </c>
      <c r="E53" t="s">
        <v>487</v>
      </c>
      <c r="F53" t="s">
        <v>479</v>
      </c>
      <c r="G53" t="s">
        <v>394</v>
      </c>
      <c r="H53" t="s">
        <v>391</v>
      </c>
      <c r="I53" t="s">
        <v>480</v>
      </c>
      <c r="J53" t="s">
        <v>488</v>
      </c>
      <c r="K53" t="s">
        <v>487</v>
      </c>
      <c r="L53" t="s">
        <v>553</v>
      </c>
      <c r="M53" t="s">
        <v>531</v>
      </c>
      <c r="N53" t="s">
        <v>589</v>
      </c>
      <c r="O53" t="s">
        <v>622</v>
      </c>
      <c r="P53" t="s">
        <v>508</v>
      </c>
      <c r="Q53">
        <v>0</v>
      </c>
      <c r="R53" t="s">
        <v>480</v>
      </c>
    </row>
    <row r="54" spans="1:18" x14ac:dyDescent="0.3">
      <c r="A54" t="s">
        <v>562</v>
      </c>
      <c r="B54" t="s">
        <v>617</v>
      </c>
      <c r="C54" t="s">
        <v>478</v>
      </c>
      <c r="D54" t="s">
        <v>508</v>
      </c>
      <c r="E54" t="s">
        <v>487</v>
      </c>
      <c r="F54" t="s">
        <v>479</v>
      </c>
      <c r="G54" t="s">
        <v>394</v>
      </c>
      <c r="H54" t="s">
        <v>391</v>
      </c>
      <c r="I54" t="s">
        <v>480</v>
      </c>
      <c r="J54" t="s">
        <v>488</v>
      </c>
      <c r="K54" t="s">
        <v>487</v>
      </c>
      <c r="L54" t="s">
        <v>553</v>
      </c>
      <c r="M54" t="s">
        <v>530</v>
      </c>
      <c r="N54" t="s">
        <v>589</v>
      </c>
      <c r="O54" t="s">
        <v>623</v>
      </c>
      <c r="P54" t="s">
        <v>508</v>
      </c>
      <c r="Q54">
        <v>0</v>
      </c>
      <c r="R54" t="s">
        <v>480</v>
      </c>
    </row>
    <row r="55" spans="1:18" x14ac:dyDescent="0.3">
      <c r="A55" t="s">
        <v>562</v>
      </c>
      <c r="B55" t="s">
        <v>617</v>
      </c>
      <c r="C55" t="s">
        <v>478</v>
      </c>
      <c r="D55" t="s">
        <v>508</v>
      </c>
      <c r="E55" t="s">
        <v>487</v>
      </c>
      <c r="F55" t="s">
        <v>479</v>
      </c>
      <c r="G55" t="s">
        <v>394</v>
      </c>
      <c r="H55" t="s">
        <v>391</v>
      </c>
      <c r="I55" t="s">
        <v>480</v>
      </c>
      <c r="J55" t="s">
        <v>488</v>
      </c>
      <c r="K55" t="s">
        <v>487</v>
      </c>
      <c r="L55" t="s">
        <v>553</v>
      </c>
      <c r="M55" t="s">
        <v>529</v>
      </c>
      <c r="N55" t="s">
        <v>589</v>
      </c>
      <c r="O55" t="s">
        <v>624</v>
      </c>
      <c r="P55" t="s">
        <v>508</v>
      </c>
      <c r="Q55">
        <v>0</v>
      </c>
      <c r="R55" t="s">
        <v>480</v>
      </c>
    </row>
    <row r="56" spans="1:18" x14ac:dyDescent="0.3">
      <c r="A56" t="s">
        <v>625</v>
      </c>
      <c r="B56" t="s">
        <v>617</v>
      </c>
      <c r="C56" t="s">
        <v>478</v>
      </c>
      <c r="D56" t="s">
        <v>508</v>
      </c>
      <c r="E56" t="s">
        <v>487</v>
      </c>
      <c r="F56" t="s">
        <v>479</v>
      </c>
      <c r="G56" t="s">
        <v>394</v>
      </c>
      <c r="H56" t="s">
        <v>391</v>
      </c>
      <c r="I56" t="s">
        <v>480</v>
      </c>
      <c r="J56" t="s">
        <v>488</v>
      </c>
      <c r="K56" t="s">
        <v>487</v>
      </c>
      <c r="L56" t="s">
        <v>553</v>
      </c>
      <c r="M56" t="s">
        <v>530</v>
      </c>
      <c r="N56" t="s">
        <v>589</v>
      </c>
      <c r="O56" t="s">
        <v>626</v>
      </c>
      <c r="P56" t="s">
        <v>508</v>
      </c>
      <c r="Q56">
        <v>0</v>
      </c>
      <c r="R56" t="s">
        <v>480</v>
      </c>
    </row>
    <row r="57" spans="1:18" x14ac:dyDescent="0.3">
      <c r="A57" t="s">
        <v>625</v>
      </c>
      <c r="B57" t="s">
        <v>617</v>
      </c>
      <c r="C57" t="s">
        <v>478</v>
      </c>
      <c r="D57" t="s">
        <v>508</v>
      </c>
      <c r="E57" t="s">
        <v>487</v>
      </c>
      <c r="F57" t="s">
        <v>479</v>
      </c>
      <c r="G57" t="s">
        <v>394</v>
      </c>
      <c r="H57" t="s">
        <v>391</v>
      </c>
      <c r="I57" t="s">
        <v>480</v>
      </c>
      <c r="J57" t="s">
        <v>488</v>
      </c>
      <c r="K57" t="s">
        <v>487</v>
      </c>
      <c r="L57" t="s">
        <v>553</v>
      </c>
      <c r="M57" t="s">
        <v>531</v>
      </c>
      <c r="N57" t="s">
        <v>589</v>
      </c>
      <c r="O57" t="s">
        <v>627</v>
      </c>
      <c r="P57" t="s">
        <v>508</v>
      </c>
      <c r="Q57">
        <v>0</v>
      </c>
      <c r="R57" t="s">
        <v>480</v>
      </c>
    </row>
    <row r="58" spans="1:18" x14ac:dyDescent="0.3">
      <c r="A58" t="s">
        <v>562</v>
      </c>
      <c r="B58" t="s">
        <v>483</v>
      </c>
      <c r="C58" t="s">
        <v>478</v>
      </c>
      <c r="D58" t="s">
        <v>508</v>
      </c>
      <c r="E58" t="s">
        <v>487</v>
      </c>
      <c r="F58" t="s">
        <v>479</v>
      </c>
      <c r="G58" t="s">
        <v>394</v>
      </c>
      <c r="H58" t="s">
        <v>391</v>
      </c>
      <c r="I58" t="s">
        <v>480</v>
      </c>
      <c r="J58" t="s">
        <v>488</v>
      </c>
      <c r="K58" t="s">
        <v>487</v>
      </c>
      <c r="L58" t="s">
        <v>553</v>
      </c>
      <c r="M58" t="s">
        <v>529</v>
      </c>
      <c r="N58" t="s">
        <v>589</v>
      </c>
      <c r="O58" t="s">
        <v>628</v>
      </c>
      <c r="P58" t="s">
        <v>508</v>
      </c>
      <c r="Q58">
        <v>0</v>
      </c>
      <c r="R58" t="s">
        <v>480</v>
      </c>
    </row>
    <row r="59" spans="1:18" x14ac:dyDescent="0.3">
      <c r="A59" t="s">
        <v>625</v>
      </c>
      <c r="B59" t="s">
        <v>483</v>
      </c>
      <c r="C59" t="s">
        <v>478</v>
      </c>
      <c r="D59" t="s">
        <v>508</v>
      </c>
      <c r="E59" t="s">
        <v>487</v>
      </c>
      <c r="F59" t="s">
        <v>479</v>
      </c>
      <c r="G59" t="s">
        <v>394</v>
      </c>
      <c r="H59" t="s">
        <v>391</v>
      </c>
      <c r="I59" t="s">
        <v>480</v>
      </c>
      <c r="J59" t="s">
        <v>488</v>
      </c>
      <c r="K59" t="s">
        <v>487</v>
      </c>
      <c r="L59" t="s">
        <v>553</v>
      </c>
      <c r="M59" t="s">
        <v>531</v>
      </c>
      <c r="N59" t="s">
        <v>589</v>
      </c>
      <c r="O59" t="s">
        <v>629</v>
      </c>
      <c r="P59" t="s">
        <v>508</v>
      </c>
      <c r="Q59">
        <v>0</v>
      </c>
      <c r="R59" t="s">
        <v>480</v>
      </c>
    </row>
    <row r="60" spans="1:18" x14ac:dyDescent="0.3">
      <c r="A60" t="s">
        <v>625</v>
      </c>
      <c r="B60" t="s">
        <v>483</v>
      </c>
      <c r="C60" t="s">
        <v>478</v>
      </c>
      <c r="D60" t="s">
        <v>508</v>
      </c>
      <c r="E60" t="s">
        <v>487</v>
      </c>
      <c r="F60" t="s">
        <v>479</v>
      </c>
      <c r="G60" t="s">
        <v>394</v>
      </c>
      <c r="H60" t="s">
        <v>391</v>
      </c>
      <c r="I60" t="s">
        <v>480</v>
      </c>
      <c r="J60" t="s">
        <v>488</v>
      </c>
      <c r="K60" t="s">
        <v>487</v>
      </c>
      <c r="L60" t="s">
        <v>553</v>
      </c>
      <c r="M60" t="s">
        <v>530</v>
      </c>
      <c r="N60" t="s">
        <v>589</v>
      </c>
      <c r="O60" t="s">
        <v>630</v>
      </c>
      <c r="P60" t="s">
        <v>508</v>
      </c>
      <c r="Q60">
        <v>0</v>
      </c>
      <c r="R60" t="s">
        <v>480</v>
      </c>
    </row>
    <row r="61" spans="1:18" x14ac:dyDescent="0.3">
      <c r="A61" t="s">
        <v>625</v>
      </c>
      <c r="B61" t="s">
        <v>483</v>
      </c>
      <c r="C61" t="s">
        <v>478</v>
      </c>
      <c r="D61" t="s">
        <v>508</v>
      </c>
      <c r="E61" t="s">
        <v>487</v>
      </c>
      <c r="F61" t="s">
        <v>479</v>
      </c>
      <c r="G61" t="s">
        <v>394</v>
      </c>
      <c r="H61" t="s">
        <v>391</v>
      </c>
      <c r="I61" t="s">
        <v>480</v>
      </c>
      <c r="J61" t="s">
        <v>488</v>
      </c>
      <c r="K61" t="s">
        <v>487</v>
      </c>
      <c r="L61" t="s">
        <v>553</v>
      </c>
      <c r="M61" t="s">
        <v>530</v>
      </c>
      <c r="N61" t="s">
        <v>589</v>
      </c>
      <c r="O61" t="s">
        <v>631</v>
      </c>
      <c r="P61" t="s">
        <v>508</v>
      </c>
      <c r="Q61">
        <v>0</v>
      </c>
      <c r="R61" t="s">
        <v>480</v>
      </c>
    </row>
    <row r="62" spans="1:18" x14ac:dyDescent="0.3">
      <c r="A62" t="s">
        <v>625</v>
      </c>
      <c r="B62" t="s">
        <v>483</v>
      </c>
      <c r="C62" t="s">
        <v>478</v>
      </c>
      <c r="D62" t="s">
        <v>508</v>
      </c>
      <c r="E62" t="s">
        <v>487</v>
      </c>
      <c r="F62" t="s">
        <v>479</v>
      </c>
      <c r="G62" t="s">
        <v>394</v>
      </c>
      <c r="H62" t="s">
        <v>391</v>
      </c>
      <c r="I62" t="s">
        <v>480</v>
      </c>
      <c r="J62" t="s">
        <v>488</v>
      </c>
      <c r="K62" t="s">
        <v>487</v>
      </c>
      <c r="L62" t="s">
        <v>553</v>
      </c>
      <c r="M62" t="s">
        <v>530</v>
      </c>
      <c r="N62" t="s">
        <v>589</v>
      </c>
      <c r="O62" t="s">
        <v>632</v>
      </c>
      <c r="P62" t="s">
        <v>508</v>
      </c>
      <c r="Q62">
        <v>0</v>
      </c>
      <c r="R62" t="s">
        <v>480</v>
      </c>
    </row>
    <row r="63" spans="1:18" x14ac:dyDescent="0.3">
      <c r="A63" t="s">
        <v>625</v>
      </c>
      <c r="B63" t="s">
        <v>483</v>
      </c>
      <c r="C63" t="s">
        <v>478</v>
      </c>
      <c r="D63" t="s">
        <v>508</v>
      </c>
      <c r="E63" t="s">
        <v>487</v>
      </c>
      <c r="F63" t="s">
        <v>479</v>
      </c>
      <c r="G63" t="s">
        <v>394</v>
      </c>
      <c r="H63" t="s">
        <v>391</v>
      </c>
      <c r="I63" t="s">
        <v>480</v>
      </c>
      <c r="J63" t="s">
        <v>488</v>
      </c>
      <c r="K63" t="s">
        <v>487</v>
      </c>
      <c r="L63" t="s">
        <v>553</v>
      </c>
      <c r="M63" t="s">
        <v>530</v>
      </c>
      <c r="N63" t="s">
        <v>589</v>
      </c>
      <c r="O63" t="s">
        <v>633</v>
      </c>
      <c r="P63" t="s">
        <v>508</v>
      </c>
      <c r="Q63">
        <v>0</v>
      </c>
      <c r="R63" t="s">
        <v>480</v>
      </c>
    </row>
    <row r="64" spans="1:18" x14ac:dyDescent="0.3">
      <c r="A64" t="s">
        <v>625</v>
      </c>
      <c r="B64" t="s">
        <v>483</v>
      </c>
      <c r="C64" t="s">
        <v>478</v>
      </c>
      <c r="D64" t="s">
        <v>508</v>
      </c>
      <c r="E64" t="s">
        <v>487</v>
      </c>
      <c r="F64" t="s">
        <v>479</v>
      </c>
      <c r="G64" t="s">
        <v>394</v>
      </c>
      <c r="H64" t="s">
        <v>391</v>
      </c>
      <c r="I64" t="s">
        <v>480</v>
      </c>
      <c r="J64" t="s">
        <v>488</v>
      </c>
      <c r="K64" t="s">
        <v>487</v>
      </c>
      <c r="L64" t="s">
        <v>553</v>
      </c>
      <c r="M64" t="s">
        <v>531</v>
      </c>
      <c r="N64" t="s">
        <v>589</v>
      </c>
      <c r="O64" t="s">
        <v>634</v>
      </c>
      <c r="P64" t="s">
        <v>508</v>
      </c>
      <c r="Q64">
        <v>0</v>
      </c>
      <c r="R64" t="s">
        <v>480</v>
      </c>
    </row>
    <row r="65" spans="1:18" x14ac:dyDescent="0.3">
      <c r="A65" t="s">
        <v>625</v>
      </c>
      <c r="B65" t="s">
        <v>483</v>
      </c>
      <c r="C65" t="s">
        <v>478</v>
      </c>
      <c r="D65" t="s">
        <v>508</v>
      </c>
      <c r="E65" t="s">
        <v>487</v>
      </c>
      <c r="F65" t="s">
        <v>479</v>
      </c>
      <c r="G65" t="s">
        <v>394</v>
      </c>
      <c r="H65" t="s">
        <v>391</v>
      </c>
      <c r="I65" t="s">
        <v>480</v>
      </c>
      <c r="J65" t="s">
        <v>488</v>
      </c>
      <c r="K65" t="s">
        <v>487</v>
      </c>
      <c r="L65" t="s">
        <v>553</v>
      </c>
      <c r="M65" t="s">
        <v>530</v>
      </c>
      <c r="N65" t="s">
        <v>589</v>
      </c>
      <c r="O65" t="s">
        <v>635</v>
      </c>
      <c r="P65" t="s">
        <v>508</v>
      </c>
      <c r="Q65">
        <v>0</v>
      </c>
      <c r="R65" t="s">
        <v>480</v>
      </c>
    </row>
    <row r="66" spans="1:18" x14ac:dyDescent="0.3">
      <c r="A66" t="s">
        <v>625</v>
      </c>
      <c r="B66" t="s">
        <v>483</v>
      </c>
      <c r="C66" t="s">
        <v>478</v>
      </c>
      <c r="D66" t="s">
        <v>508</v>
      </c>
      <c r="E66" t="s">
        <v>487</v>
      </c>
      <c r="F66" t="s">
        <v>479</v>
      </c>
      <c r="G66" t="s">
        <v>394</v>
      </c>
      <c r="H66" t="s">
        <v>391</v>
      </c>
      <c r="I66" t="s">
        <v>480</v>
      </c>
      <c r="J66" t="s">
        <v>488</v>
      </c>
      <c r="K66" t="s">
        <v>487</v>
      </c>
      <c r="L66" t="s">
        <v>553</v>
      </c>
      <c r="M66" t="s">
        <v>530</v>
      </c>
      <c r="N66" t="s">
        <v>589</v>
      </c>
      <c r="O66" t="s">
        <v>636</v>
      </c>
      <c r="P66" t="s">
        <v>508</v>
      </c>
      <c r="Q66">
        <v>0</v>
      </c>
      <c r="R66" t="s">
        <v>480</v>
      </c>
    </row>
    <row r="67" spans="1:18" x14ac:dyDescent="0.3">
      <c r="A67" t="s">
        <v>625</v>
      </c>
      <c r="B67" t="s">
        <v>483</v>
      </c>
      <c r="C67" t="s">
        <v>478</v>
      </c>
      <c r="D67" t="s">
        <v>508</v>
      </c>
      <c r="E67" t="s">
        <v>487</v>
      </c>
      <c r="F67" t="s">
        <v>479</v>
      </c>
      <c r="G67" t="s">
        <v>394</v>
      </c>
      <c r="H67" t="s">
        <v>391</v>
      </c>
      <c r="I67" t="s">
        <v>480</v>
      </c>
      <c r="J67" t="s">
        <v>488</v>
      </c>
      <c r="K67" t="s">
        <v>487</v>
      </c>
      <c r="L67" t="s">
        <v>553</v>
      </c>
      <c r="M67" t="s">
        <v>531</v>
      </c>
      <c r="N67" t="s">
        <v>589</v>
      </c>
      <c r="O67" t="s">
        <v>637</v>
      </c>
      <c r="P67" t="s">
        <v>508</v>
      </c>
      <c r="Q67">
        <v>0</v>
      </c>
      <c r="R67" t="s">
        <v>480</v>
      </c>
    </row>
    <row r="68" spans="1:18" x14ac:dyDescent="0.3">
      <c r="A68" t="s">
        <v>625</v>
      </c>
      <c r="B68" t="s">
        <v>483</v>
      </c>
      <c r="C68" t="s">
        <v>478</v>
      </c>
      <c r="D68" t="s">
        <v>508</v>
      </c>
      <c r="E68" t="s">
        <v>487</v>
      </c>
      <c r="F68" t="s">
        <v>479</v>
      </c>
      <c r="G68" t="s">
        <v>394</v>
      </c>
      <c r="H68" t="s">
        <v>391</v>
      </c>
      <c r="I68" t="s">
        <v>480</v>
      </c>
      <c r="J68" t="s">
        <v>488</v>
      </c>
      <c r="K68" t="s">
        <v>487</v>
      </c>
      <c r="L68" t="s">
        <v>553</v>
      </c>
      <c r="M68" t="s">
        <v>530</v>
      </c>
      <c r="N68" t="s">
        <v>589</v>
      </c>
      <c r="O68" t="s">
        <v>638</v>
      </c>
      <c r="P68" t="s">
        <v>508</v>
      </c>
      <c r="Q68">
        <v>0</v>
      </c>
      <c r="R68" t="s">
        <v>480</v>
      </c>
    </row>
    <row r="69" spans="1:18" x14ac:dyDescent="0.3">
      <c r="A69" t="s">
        <v>625</v>
      </c>
      <c r="B69" t="s">
        <v>483</v>
      </c>
      <c r="C69" t="s">
        <v>478</v>
      </c>
      <c r="D69" t="s">
        <v>508</v>
      </c>
      <c r="E69" t="s">
        <v>487</v>
      </c>
      <c r="F69" t="s">
        <v>479</v>
      </c>
      <c r="G69" t="s">
        <v>394</v>
      </c>
      <c r="H69" t="s">
        <v>391</v>
      </c>
      <c r="I69" t="s">
        <v>480</v>
      </c>
      <c r="J69" t="s">
        <v>488</v>
      </c>
      <c r="K69" t="s">
        <v>487</v>
      </c>
      <c r="L69" t="s">
        <v>553</v>
      </c>
      <c r="M69" t="s">
        <v>530</v>
      </c>
      <c r="N69" t="s">
        <v>589</v>
      </c>
      <c r="O69" t="s">
        <v>639</v>
      </c>
      <c r="P69" t="s">
        <v>508</v>
      </c>
      <c r="Q69">
        <v>0</v>
      </c>
      <c r="R69" t="s">
        <v>480</v>
      </c>
    </row>
    <row r="70" spans="1:18" x14ac:dyDescent="0.3">
      <c r="A70" t="s">
        <v>625</v>
      </c>
      <c r="B70" t="s">
        <v>483</v>
      </c>
      <c r="C70" t="s">
        <v>478</v>
      </c>
      <c r="D70" t="s">
        <v>508</v>
      </c>
      <c r="E70" t="s">
        <v>487</v>
      </c>
      <c r="F70" t="s">
        <v>479</v>
      </c>
      <c r="G70" t="s">
        <v>394</v>
      </c>
      <c r="H70" t="s">
        <v>391</v>
      </c>
      <c r="I70" t="s">
        <v>480</v>
      </c>
      <c r="J70" t="s">
        <v>488</v>
      </c>
      <c r="K70" t="s">
        <v>487</v>
      </c>
      <c r="L70" t="s">
        <v>553</v>
      </c>
      <c r="M70" t="s">
        <v>531</v>
      </c>
      <c r="N70" t="s">
        <v>589</v>
      </c>
      <c r="O70" t="s">
        <v>640</v>
      </c>
      <c r="P70" t="s">
        <v>508</v>
      </c>
      <c r="Q70">
        <v>0</v>
      </c>
      <c r="R70" t="s">
        <v>480</v>
      </c>
    </row>
    <row r="71" spans="1:18" x14ac:dyDescent="0.3">
      <c r="A71" t="s">
        <v>625</v>
      </c>
      <c r="B71" t="s">
        <v>483</v>
      </c>
      <c r="C71" t="s">
        <v>478</v>
      </c>
      <c r="D71" t="s">
        <v>508</v>
      </c>
      <c r="E71" t="s">
        <v>487</v>
      </c>
      <c r="F71" t="s">
        <v>479</v>
      </c>
      <c r="G71" t="s">
        <v>394</v>
      </c>
      <c r="H71" t="s">
        <v>391</v>
      </c>
      <c r="I71" t="s">
        <v>480</v>
      </c>
      <c r="J71" t="s">
        <v>488</v>
      </c>
      <c r="K71" t="s">
        <v>487</v>
      </c>
      <c r="L71" t="s">
        <v>553</v>
      </c>
      <c r="M71" t="s">
        <v>531</v>
      </c>
      <c r="N71" t="s">
        <v>589</v>
      </c>
      <c r="O71" t="s">
        <v>641</v>
      </c>
      <c r="P71" t="s">
        <v>508</v>
      </c>
      <c r="Q71">
        <v>0</v>
      </c>
      <c r="R71" t="s">
        <v>480</v>
      </c>
    </row>
    <row r="72" spans="1:18" x14ac:dyDescent="0.3">
      <c r="A72" t="s">
        <v>625</v>
      </c>
      <c r="B72" t="s">
        <v>483</v>
      </c>
      <c r="C72" t="s">
        <v>478</v>
      </c>
      <c r="D72" t="s">
        <v>508</v>
      </c>
      <c r="E72" t="s">
        <v>487</v>
      </c>
      <c r="F72" t="s">
        <v>479</v>
      </c>
      <c r="G72" t="s">
        <v>394</v>
      </c>
      <c r="H72" t="s">
        <v>391</v>
      </c>
      <c r="I72" t="s">
        <v>480</v>
      </c>
      <c r="J72" t="s">
        <v>488</v>
      </c>
      <c r="K72" t="s">
        <v>487</v>
      </c>
      <c r="L72" t="s">
        <v>553</v>
      </c>
      <c r="M72" t="s">
        <v>529</v>
      </c>
      <c r="N72" t="s">
        <v>589</v>
      </c>
      <c r="O72" t="s">
        <v>642</v>
      </c>
      <c r="P72" t="s">
        <v>508</v>
      </c>
      <c r="Q72">
        <v>0</v>
      </c>
      <c r="R72" t="s">
        <v>480</v>
      </c>
    </row>
    <row r="73" spans="1:18" x14ac:dyDescent="0.3">
      <c r="A73" t="s">
        <v>625</v>
      </c>
      <c r="B73" t="s">
        <v>483</v>
      </c>
      <c r="C73" t="s">
        <v>478</v>
      </c>
      <c r="D73" t="s">
        <v>508</v>
      </c>
      <c r="E73" t="s">
        <v>487</v>
      </c>
      <c r="F73" t="s">
        <v>479</v>
      </c>
      <c r="G73" t="s">
        <v>394</v>
      </c>
      <c r="H73" t="s">
        <v>391</v>
      </c>
      <c r="I73" t="s">
        <v>480</v>
      </c>
      <c r="J73" t="s">
        <v>488</v>
      </c>
      <c r="K73" t="s">
        <v>487</v>
      </c>
      <c r="L73" t="s">
        <v>553</v>
      </c>
      <c r="M73" t="s">
        <v>531</v>
      </c>
      <c r="N73" t="s">
        <v>589</v>
      </c>
      <c r="O73" t="s">
        <v>643</v>
      </c>
      <c r="P73" t="s">
        <v>508</v>
      </c>
      <c r="Q73">
        <v>0</v>
      </c>
      <c r="R73" t="s">
        <v>480</v>
      </c>
    </row>
    <row r="74" spans="1:18" x14ac:dyDescent="0.3">
      <c r="A74" t="s">
        <v>625</v>
      </c>
      <c r="B74" t="s">
        <v>483</v>
      </c>
      <c r="C74" t="s">
        <v>478</v>
      </c>
      <c r="D74" t="s">
        <v>508</v>
      </c>
      <c r="E74" t="s">
        <v>487</v>
      </c>
      <c r="F74" t="s">
        <v>479</v>
      </c>
      <c r="G74" t="s">
        <v>394</v>
      </c>
      <c r="H74" t="s">
        <v>391</v>
      </c>
      <c r="I74" t="s">
        <v>480</v>
      </c>
      <c r="J74" t="s">
        <v>488</v>
      </c>
      <c r="K74" t="s">
        <v>487</v>
      </c>
      <c r="L74" t="s">
        <v>553</v>
      </c>
      <c r="M74" t="s">
        <v>530</v>
      </c>
      <c r="N74" t="s">
        <v>589</v>
      </c>
      <c r="O74" t="s">
        <v>644</v>
      </c>
      <c r="P74" t="s">
        <v>508</v>
      </c>
      <c r="Q74">
        <v>0</v>
      </c>
      <c r="R74" t="s">
        <v>480</v>
      </c>
    </row>
    <row r="75" spans="1:18" x14ac:dyDescent="0.3">
      <c r="A75" t="s">
        <v>562</v>
      </c>
      <c r="B75" t="s">
        <v>645</v>
      </c>
      <c r="C75" t="s">
        <v>396</v>
      </c>
      <c r="D75" t="s">
        <v>508</v>
      </c>
      <c r="E75" t="s">
        <v>487</v>
      </c>
      <c r="F75" t="s">
        <v>479</v>
      </c>
      <c r="G75" t="s">
        <v>390</v>
      </c>
      <c r="H75" t="s">
        <v>391</v>
      </c>
      <c r="I75" t="s">
        <v>480</v>
      </c>
      <c r="J75" t="s">
        <v>488</v>
      </c>
      <c r="K75" t="s">
        <v>487</v>
      </c>
      <c r="L75" t="s">
        <v>536</v>
      </c>
      <c r="M75" t="s">
        <v>532</v>
      </c>
      <c r="N75" t="s">
        <v>528</v>
      </c>
      <c r="O75" t="s">
        <v>646</v>
      </c>
      <c r="P75" t="s">
        <v>508</v>
      </c>
      <c r="Q75">
        <v>0</v>
      </c>
      <c r="R75" t="s">
        <v>480</v>
      </c>
    </row>
    <row r="76" spans="1:18" x14ac:dyDescent="0.3">
      <c r="A76" t="s">
        <v>562</v>
      </c>
      <c r="B76" t="s">
        <v>645</v>
      </c>
      <c r="C76" t="s">
        <v>396</v>
      </c>
      <c r="D76" t="s">
        <v>508</v>
      </c>
      <c r="E76" t="s">
        <v>487</v>
      </c>
      <c r="F76" t="s">
        <v>479</v>
      </c>
      <c r="G76" t="s">
        <v>390</v>
      </c>
      <c r="H76" t="s">
        <v>391</v>
      </c>
      <c r="I76" t="s">
        <v>480</v>
      </c>
      <c r="J76" t="s">
        <v>488</v>
      </c>
      <c r="K76" t="s">
        <v>487</v>
      </c>
      <c r="L76" t="s">
        <v>536</v>
      </c>
      <c r="M76" t="s">
        <v>532</v>
      </c>
      <c r="N76" t="s">
        <v>589</v>
      </c>
      <c r="O76" t="s">
        <v>647</v>
      </c>
      <c r="P76" t="s">
        <v>508</v>
      </c>
      <c r="Q76">
        <v>0</v>
      </c>
      <c r="R76" t="s">
        <v>480</v>
      </c>
    </row>
    <row r="77" spans="1:18" x14ac:dyDescent="0.3">
      <c r="A77" t="s">
        <v>562</v>
      </c>
      <c r="B77" t="s">
        <v>648</v>
      </c>
      <c r="C77" t="s">
        <v>396</v>
      </c>
      <c r="D77" t="s">
        <v>508</v>
      </c>
      <c r="E77" t="s">
        <v>487</v>
      </c>
      <c r="F77" t="s">
        <v>479</v>
      </c>
      <c r="G77" t="s">
        <v>390</v>
      </c>
      <c r="H77" t="s">
        <v>391</v>
      </c>
      <c r="I77" t="s">
        <v>480</v>
      </c>
      <c r="J77" t="s">
        <v>488</v>
      </c>
      <c r="K77" t="s">
        <v>487</v>
      </c>
      <c r="L77" t="s">
        <v>536</v>
      </c>
      <c r="M77" t="s">
        <v>532</v>
      </c>
      <c r="N77" t="s">
        <v>589</v>
      </c>
      <c r="O77" t="s">
        <v>649</v>
      </c>
      <c r="P77" t="s">
        <v>508</v>
      </c>
      <c r="Q77">
        <v>0</v>
      </c>
      <c r="R77" t="s">
        <v>480</v>
      </c>
    </row>
    <row r="78" spans="1:18" x14ac:dyDescent="0.3">
      <c r="A78" t="s">
        <v>562</v>
      </c>
      <c r="B78" t="s">
        <v>648</v>
      </c>
      <c r="C78" t="s">
        <v>396</v>
      </c>
      <c r="D78" t="s">
        <v>508</v>
      </c>
      <c r="E78" t="s">
        <v>487</v>
      </c>
      <c r="F78" t="s">
        <v>479</v>
      </c>
      <c r="G78" t="s">
        <v>390</v>
      </c>
      <c r="H78" t="s">
        <v>391</v>
      </c>
      <c r="I78" t="s">
        <v>480</v>
      </c>
      <c r="J78" t="s">
        <v>488</v>
      </c>
      <c r="K78" t="s">
        <v>487</v>
      </c>
      <c r="L78" t="s">
        <v>536</v>
      </c>
      <c r="M78" t="s">
        <v>532</v>
      </c>
      <c r="N78" t="s">
        <v>589</v>
      </c>
      <c r="O78" t="s">
        <v>650</v>
      </c>
      <c r="P78" t="s">
        <v>508</v>
      </c>
      <c r="Q78">
        <v>0</v>
      </c>
      <c r="R78" t="s">
        <v>480</v>
      </c>
    </row>
    <row r="79" spans="1:18" x14ac:dyDescent="0.3">
      <c r="A79" t="s">
        <v>562</v>
      </c>
      <c r="B79" t="s">
        <v>648</v>
      </c>
      <c r="C79" t="s">
        <v>396</v>
      </c>
      <c r="D79" t="s">
        <v>508</v>
      </c>
      <c r="E79" t="s">
        <v>487</v>
      </c>
      <c r="F79" t="s">
        <v>479</v>
      </c>
      <c r="G79" t="s">
        <v>390</v>
      </c>
      <c r="H79" t="s">
        <v>391</v>
      </c>
      <c r="I79" t="s">
        <v>480</v>
      </c>
      <c r="J79" t="s">
        <v>488</v>
      </c>
      <c r="K79" t="s">
        <v>487</v>
      </c>
      <c r="L79" t="s">
        <v>536</v>
      </c>
      <c r="M79" t="s">
        <v>532</v>
      </c>
      <c r="N79" t="s">
        <v>589</v>
      </c>
      <c r="O79" t="s">
        <v>651</v>
      </c>
      <c r="P79" t="s">
        <v>508</v>
      </c>
      <c r="Q79">
        <v>0</v>
      </c>
      <c r="R79" t="s">
        <v>480</v>
      </c>
    </row>
    <row r="80" spans="1:18" x14ac:dyDescent="0.3">
      <c r="A80" t="s">
        <v>562</v>
      </c>
      <c r="B80" t="s">
        <v>648</v>
      </c>
      <c r="C80" t="s">
        <v>396</v>
      </c>
      <c r="D80" t="s">
        <v>508</v>
      </c>
      <c r="E80" t="s">
        <v>487</v>
      </c>
      <c r="F80" t="s">
        <v>479</v>
      </c>
      <c r="G80" t="s">
        <v>390</v>
      </c>
      <c r="H80" t="s">
        <v>391</v>
      </c>
      <c r="I80" t="s">
        <v>480</v>
      </c>
      <c r="J80" t="s">
        <v>488</v>
      </c>
      <c r="K80" t="s">
        <v>487</v>
      </c>
      <c r="L80" t="s">
        <v>536</v>
      </c>
      <c r="M80" t="s">
        <v>532</v>
      </c>
      <c r="N80" t="s">
        <v>589</v>
      </c>
      <c r="O80" t="s">
        <v>652</v>
      </c>
      <c r="P80" t="s">
        <v>508</v>
      </c>
      <c r="Q80">
        <v>0</v>
      </c>
      <c r="R80" t="s">
        <v>480</v>
      </c>
    </row>
    <row r="81" spans="1:18" x14ac:dyDescent="0.3">
      <c r="A81" t="s">
        <v>562</v>
      </c>
      <c r="B81" t="s">
        <v>653</v>
      </c>
      <c r="C81" t="s">
        <v>396</v>
      </c>
      <c r="D81" t="s">
        <v>508</v>
      </c>
      <c r="E81" t="s">
        <v>487</v>
      </c>
      <c r="F81" t="s">
        <v>479</v>
      </c>
      <c r="G81" t="s">
        <v>390</v>
      </c>
      <c r="H81" t="s">
        <v>391</v>
      </c>
      <c r="I81" t="s">
        <v>480</v>
      </c>
      <c r="J81" t="s">
        <v>488</v>
      </c>
      <c r="K81" t="s">
        <v>487</v>
      </c>
      <c r="L81" t="s">
        <v>536</v>
      </c>
      <c r="M81" t="s">
        <v>532</v>
      </c>
      <c r="N81" t="s">
        <v>589</v>
      </c>
      <c r="O81" t="s">
        <v>654</v>
      </c>
      <c r="P81" t="s">
        <v>508</v>
      </c>
      <c r="Q81">
        <v>0</v>
      </c>
      <c r="R81" t="s">
        <v>480</v>
      </c>
    </row>
    <row r="82" spans="1:18" x14ac:dyDescent="0.3">
      <c r="A82" t="s">
        <v>562</v>
      </c>
      <c r="B82" t="s">
        <v>653</v>
      </c>
      <c r="C82" t="s">
        <v>396</v>
      </c>
      <c r="D82" t="s">
        <v>508</v>
      </c>
      <c r="E82" t="s">
        <v>487</v>
      </c>
      <c r="F82" t="s">
        <v>479</v>
      </c>
      <c r="G82" t="s">
        <v>390</v>
      </c>
      <c r="H82" t="s">
        <v>391</v>
      </c>
      <c r="I82" t="s">
        <v>480</v>
      </c>
      <c r="J82" t="s">
        <v>488</v>
      </c>
      <c r="K82" t="s">
        <v>487</v>
      </c>
      <c r="L82" t="s">
        <v>536</v>
      </c>
      <c r="M82" t="s">
        <v>532</v>
      </c>
      <c r="N82" t="s">
        <v>589</v>
      </c>
      <c r="O82" t="s">
        <v>655</v>
      </c>
      <c r="P82" t="s">
        <v>508</v>
      </c>
      <c r="Q82">
        <v>0</v>
      </c>
      <c r="R82" t="s">
        <v>480</v>
      </c>
    </row>
    <row r="83" spans="1:18" x14ac:dyDescent="0.3">
      <c r="A83" t="s">
        <v>562</v>
      </c>
      <c r="B83" t="s">
        <v>653</v>
      </c>
      <c r="C83" t="s">
        <v>396</v>
      </c>
      <c r="D83" t="s">
        <v>508</v>
      </c>
      <c r="E83" t="s">
        <v>487</v>
      </c>
      <c r="F83" t="s">
        <v>479</v>
      </c>
      <c r="G83" t="s">
        <v>390</v>
      </c>
      <c r="H83" t="s">
        <v>391</v>
      </c>
      <c r="I83" t="s">
        <v>480</v>
      </c>
      <c r="J83" t="s">
        <v>488</v>
      </c>
      <c r="K83" t="s">
        <v>487</v>
      </c>
      <c r="L83" t="s">
        <v>536</v>
      </c>
      <c r="M83" t="s">
        <v>532</v>
      </c>
      <c r="N83" t="s">
        <v>589</v>
      </c>
      <c r="O83" t="s">
        <v>656</v>
      </c>
      <c r="P83" t="s">
        <v>508</v>
      </c>
      <c r="Q83">
        <v>0</v>
      </c>
      <c r="R83" t="s">
        <v>480</v>
      </c>
    </row>
    <row r="84" spans="1:18" x14ac:dyDescent="0.3">
      <c r="A84" t="s">
        <v>562</v>
      </c>
      <c r="B84" t="s">
        <v>653</v>
      </c>
      <c r="C84" t="s">
        <v>396</v>
      </c>
      <c r="D84" t="s">
        <v>508</v>
      </c>
      <c r="E84" t="s">
        <v>487</v>
      </c>
      <c r="F84" t="s">
        <v>479</v>
      </c>
      <c r="G84" t="s">
        <v>390</v>
      </c>
      <c r="H84" t="s">
        <v>391</v>
      </c>
      <c r="I84" t="s">
        <v>480</v>
      </c>
      <c r="J84" t="s">
        <v>488</v>
      </c>
      <c r="K84" t="s">
        <v>487</v>
      </c>
      <c r="L84" t="s">
        <v>536</v>
      </c>
      <c r="M84" t="s">
        <v>532</v>
      </c>
      <c r="N84" t="s">
        <v>589</v>
      </c>
      <c r="O84" t="s">
        <v>657</v>
      </c>
      <c r="P84" t="s">
        <v>508</v>
      </c>
      <c r="Q84">
        <v>0</v>
      </c>
      <c r="R84" t="s">
        <v>480</v>
      </c>
    </row>
    <row r="85" spans="1:18" x14ac:dyDescent="0.3">
      <c r="A85" t="s">
        <v>562</v>
      </c>
      <c r="B85" t="s">
        <v>483</v>
      </c>
      <c r="C85" t="s">
        <v>396</v>
      </c>
      <c r="D85" t="s">
        <v>508</v>
      </c>
      <c r="E85" t="s">
        <v>487</v>
      </c>
      <c r="F85" t="s">
        <v>479</v>
      </c>
      <c r="G85" t="s">
        <v>390</v>
      </c>
      <c r="H85" t="s">
        <v>391</v>
      </c>
      <c r="I85" t="s">
        <v>480</v>
      </c>
      <c r="J85" t="s">
        <v>488</v>
      </c>
      <c r="K85" t="s">
        <v>487</v>
      </c>
      <c r="L85" t="s">
        <v>536</v>
      </c>
      <c r="M85" t="s">
        <v>532</v>
      </c>
      <c r="N85" t="s">
        <v>589</v>
      </c>
      <c r="O85" t="s">
        <v>658</v>
      </c>
      <c r="P85" t="s">
        <v>508</v>
      </c>
      <c r="Q85">
        <v>0</v>
      </c>
      <c r="R85" t="s">
        <v>480</v>
      </c>
    </row>
    <row r="86" spans="1:18" x14ac:dyDescent="0.3">
      <c r="A86" t="s">
        <v>625</v>
      </c>
      <c r="B86" t="s">
        <v>483</v>
      </c>
      <c r="C86" t="s">
        <v>396</v>
      </c>
      <c r="D86" t="s">
        <v>508</v>
      </c>
      <c r="E86" t="s">
        <v>487</v>
      </c>
      <c r="F86" t="s">
        <v>479</v>
      </c>
      <c r="G86" t="s">
        <v>390</v>
      </c>
      <c r="H86" t="s">
        <v>391</v>
      </c>
      <c r="I86" t="s">
        <v>480</v>
      </c>
      <c r="J86" t="s">
        <v>488</v>
      </c>
      <c r="K86" t="s">
        <v>487</v>
      </c>
      <c r="L86" t="s">
        <v>536</v>
      </c>
      <c r="M86" t="s">
        <v>532</v>
      </c>
      <c r="N86" t="s">
        <v>589</v>
      </c>
      <c r="O86" t="s">
        <v>659</v>
      </c>
      <c r="P86" t="s">
        <v>508</v>
      </c>
      <c r="Q86">
        <v>0</v>
      </c>
      <c r="R86" t="s">
        <v>480</v>
      </c>
    </row>
    <row r="87" spans="1:18" x14ac:dyDescent="0.3">
      <c r="A87" t="s">
        <v>625</v>
      </c>
      <c r="B87" t="s">
        <v>483</v>
      </c>
      <c r="C87" t="s">
        <v>396</v>
      </c>
      <c r="D87" t="s">
        <v>508</v>
      </c>
      <c r="E87" t="s">
        <v>487</v>
      </c>
      <c r="F87" t="s">
        <v>479</v>
      </c>
      <c r="G87" t="s">
        <v>390</v>
      </c>
      <c r="H87" t="s">
        <v>391</v>
      </c>
      <c r="I87" t="s">
        <v>480</v>
      </c>
      <c r="J87" t="s">
        <v>488</v>
      </c>
      <c r="K87" t="s">
        <v>487</v>
      </c>
      <c r="L87" t="s">
        <v>536</v>
      </c>
      <c r="M87" t="s">
        <v>532</v>
      </c>
      <c r="N87" t="s">
        <v>589</v>
      </c>
      <c r="O87" t="s">
        <v>660</v>
      </c>
      <c r="P87" t="s">
        <v>508</v>
      </c>
      <c r="Q87">
        <v>0</v>
      </c>
      <c r="R87" t="s">
        <v>480</v>
      </c>
    </row>
    <row r="88" spans="1:18" x14ac:dyDescent="0.3">
      <c r="A88" t="s">
        <v>625</v>
      </c>
      <c r="B88" t="s">
        <v>483</v>
      </c>
      <c r="C88" t="s">
        <v>396</v>
      </c>
      <c r="D88" t="s">
        <v>508</v>
      </c>
      <c r="E88" t="s">
        <v>487</v>
      </c>
      <c r="F88" t="s">
        <v>479</v>
      </c>
      <c r="G88" t="s">
        <v>390</v>
      </c>
      <c r="H88" t="s">
        <v>391</v>
      </c>
      <c r="I88" t="s">
        <v>480</v>
      </c>
      <c r="J88" t="s">
        <v>488</v>
      </c>
      <c r="K88" t="s">
        <v>487</v>
      </c>
      <c r="L88" t="s">
        <v>536</v>
      </c>
      <c r="M88" t="s">
        <v>532</v>
      </c>
      <c r="N88" t="s">
        <v>589</v>
      </c>
      <c r="O88" t="s">
        <v>661</v>
      </c>
      <c r="P88" t="s">
        <v>508</v>
      </c>
      <c r="Q88">
        <v>0</v>
      </c>
      <c r="R88" t="s">
        <v>480</v>
      </c>
    </row>
    <row r="89" spans="1:18" x14ac:dyDescent="0.3">
      <c r="A89" t="s">
        <v>625</v>
      </c>
      <c r="B89" t="s">
        <v>483</v>
      </c>
      <c r="C89" t="s">
        <v>396</v>
      </c>
      <c r="D89" t="s">
        <v>508</v>
      </c>
      <c r="E89" t="s">
        <v>487</v>
      </c>
      <c r="F89" t="s">
        <v>479</v>
      </c>
      <c r="G89" t="s">
        <v>390</v>
      </c>
      <c r="H89" t="s">
        <v>391</v>
      </c>
      <c r="I89" t="s">
        <v>480</v>
      </c>
      <c r="J89" t="s">
        <v>488</v>
      </c>
      <c r="K89" t="s">
        <v>487</v>
      </c>
      <c r="L89" t="s">
        <v>536</v>
      </c>
      <c r="M89" t="s">
        <v>532</v>
      </c>
      <c r="N89" t="s">
        <v>589</v>
      </c>
      <c r="O89" t="s">
        <v>662</v>
      </c>
      <c r="P89" t="s">
        <v>508</v>
      </c>
      <c r="Q89">
        <v>0</v>
      </c>
      <c r="R89" t="s">
        <v>480</v>
      </c>
    </row>
    <row r="90" spans="1:18" x14ac:dyDescent="0.3">
      <c r="A90" t="s">
        <v>625</v>
      </c>
      <c r="B90" t="s">
        <v>483</v>
      </c>
      <c r="C90" t="s">
        <v>396</v>
      </c>
      <c r="D90" t="s">
        <v>508</v>
      </c>
      <c r="E90" t="s">
        <v>487</v>
      </c>
      <c r="F90" t="s">
        <v>479</v>
      </c>
      <c r="G90" t="s">
        <v>390</v>
      </c>
      <c r="H90" t="s">
        <v>391</v>
      </c>
      <c r="I90" t="s">
        <v>480</v>
      </c>
      <c r="J90" t="s">
        <v>488</v>
      </c>
      <c r="K90" t="s">
        <v>487</v>
      </c>
      <c r="L90" t="s">
        <v>536</v>
      </c>
      <c r="M90" t="s">
        <v>532</v>
      </c>
      <c r="N90" t="s">
        <v>589</v>
      </c>
      <c r="O90" t="s">
        <v>663</v>
      </c>
      <c r="P90" t="s">
        <v>508</v>
      </c>
      <c r="Q90">
        <v>0</v>
      </c>
      <c r="R90" t="s">
        <v>480</v>
      </c>
    </row>
    <row r="91" spans="1:18" x14ac:dyDescent="0.3">
      <c r="A91" t="s">
        <v>562</v>
      </c>
      <c r="B91" t="s">
        <v>664</v>
      </c>
      <c r="C91" t="s">
        <v>478</v>
      </c>
      <c r="D91" t="s">
        <v>508</v>
      </c>
      <c r="E91" t="s">
        <v>543</v>
      </c>
      <c r="F91" t="s">
        <v>479</v>
      </c>
      <c r="G91" t="s">
        <v>394</v>
      </c>
      <c r="H91" t="s">
        <v>391</v>
      </c>
      <c r="I91" t="s">
        <v>480</v>
      </c>
      <c r="J91" t="s">
        <v>488</v>
      </c>
      <c r="K91" t="s">
        <v>543</v>
      </c>
      <c r="L91" t="s">
        <v>544</v>
      </c>
      <c r="M91" t="s">
        <v>532</v>
      </c>
      <c r="N91" t="s">
        <v>528</v>
      </c>
      <c r="O91" t="s">
        <v>665</v>
      </c>
      <c r="P91" t="s">
        <v>508</v>
      </c>
      <c r="Q91">
        <v>0</v>
      </c>
      <c r="R91" t="s">
        <v>480</v>
      </c>
    </row>
    <row r="92" spans="1:18" x14ac:dyDescent="0.3">
      <c r="A92" t="s">
        <v>562</v>
      </c>
      <c r="B92" t="s">
        <v>664</v>
      </c>
      <c r="C92" t="s">
        <v>478</v>
      </c>
      <c r="D92" t="s">
        <v>508</v>
      </c>
      <c r="E92" t="s">
        <v>543</v>
      </c>
      <c r="F92" t="s">
        <v>479</v>
      </c>
      <c r="G92" t="s">
        <v>394</v>
      </c>
      <c r="H92" t="s">
        <v>391</v>
      </c>
      <c r="I92" t="s">
        <v>480</v>
      </c>
      <c r="J92" t="s">
        <v>488</v>
      </c>
      <c r="K92" t="s">
        <v>543</v>
      </c>
      <c r="L92" t="s">
        <v>544</v>
      </c>
      <c r="M92" t="s">
        <v>532</v>
      </c>
      <c r="N92" t="s">
        <v>589</v>
      </c>
      <c r="O92" t="s">
        <v>666</v>
      </c>
      <c r="P92" t="s">
        <v>508</v>
      </c>
      <c r="Q92">
        <v>0</v>
      </c>
      <c r="R92" t="s">
        <v>480</v>
      </c>
    </row>
    <row r="93" spans="1:18" x14ac:dyDescent="0.3">
      <c r="A93" t="s">
        <v>625</v>
      </c>
      <c r="B93" t="s">
        <v>483</v>
      </c>
      <c r="C93" t="s">
        <v>478</v>
      </c>
      <c r="D93" t="s">
        <v>508</v>
      </c>
      <c r="E93" t="s">
        <v>543</v>
      </c>
      <c r="F93" t="s">
        <v>479</v>
      </c>
      <c r="G93" t="s">
        <v>394</v>
      </c>
      <c r="H93" t="s">
        <v>391</v>
      </c>
      <c r="I93" t="s">
        <v>480</v>
      </c>
      <c r="J93" t="s">
        <v>488</v>
      </c>
      <c r="K93" t="s">
        <v>543</v>
      </c>
      <c r="L93" t="s">
        <v>544</v>
      </c>
      <c r="M93" t="s">
        <v>531</v>
      </c>
      <c r="N93" t="s">
        <v>589</v>
      </c>
      <c r="O93" t="s">
        <v>667</v>
      </c>
      <c r="P93" t="s">
        <v>508</v>
      </c>
      <c r="Q93">
        <v>0</v>
      </c>
      <c r="R93" t="s">
        <v>480</v>
      </c>
    </row>
    <row r="94" spans="1:18" x14ac:dyDescent="0.3">
      <c r="A94" t="s">
        <v>562</v>
      </c>
      <c r="B94" t="s">
        <v>668</v>
      </c>
      <c r="C94" t="s">
        <v>396</v>
      </c>
      <c r="D94" t="s">
        <v>508</v>
      </c>
      <c r="E94" t="s">
        <v>397</v>
      </c>
      <c r="F94" t="s">
        <v>479</v>
      </c>
      <c r="G94" t="s">
        <v>390</v>
      </c>
      <c r="H94" t="s">
        <v>391</v>
      </c>
      <c r="I94" t="s">
        <v>535</v>
      </c>
      <c r="J94" t="s">
        <v>398</v>
      </c>
      <c r="K94" t="s">
        <v>397</v>
      </c>
      <c r="L94" t="s">
        <v>536</v>
      </c>
      <c r="M94" t="s">
        <v>529</v>
      </c>
      <c r="N94" t="s">
        <v>528</v>
      </c>
      <c r="O94" t="s">
        <v>669</v>
      </c>
      <c r="P94" t="s">
        <v>508</v>
      </c>
      <c r="Q94">
        <v>0</v>
      </c>
      <c r="R94" t="s">
        <v>480</v>
      </c>
    </row>
    <row r="95" spans="1:18" x14ac:dyDescent="0.3">
      <c r="A95" t="s">
        <v>562</v>
      </c>
      <c r="B95" t="s">
        <v>668</v>
      </c>
      <c r="C95" t="s">
        <v>396</v>
      </c>
      <c r="D95" t="s">
        <v>508</v>
      </c>
      <c r="E95" t="s">
        <v>397</v>
      </c>
      <c r="F95" t="s">
        <v>479</v>
      </c>
      <c r="G95" t="s">
        <v>390</v>
      </c>
      <c r="H95" t="s">
        <v>391</v>
      </c>
      <c r="I95" t="s">
        <v>535</v>
      </c>
      <c r="J95" t="s">
        <v>398</v>
      </c>
      <c r="K95" t="s">
        <v>397</v>
      </c>
      <c r="L95" t="s">
        <v>536</v>
      </c>
      <c r="M95" t="s">
        <v>527</v>
      </c>
      <c r="N95" t="s">
        <v>528</v>
      </c>
      <c r="O95" t="s">
        <v>670</v>
      </c>
      <c r="P95" t="s">
        <v>508</v>
      </c>
      <c r="Q95">
        <v>0</v>
      </c>
      <c r="R95" t="s">
        <v>480</v>
      </c>
    </row>
    <row r="96" spans="1:18" x14ac:dyDescent="0.3">
      <c r="A96" t="s">
        <v>562</v>
      </c>
      <c r="B96" t="s">
        <v>668</v>
      </c>
      <c r="C96" t="s">
        <v>396</v>
      </c>
      <c r="D96" t="s">
        <v>508</v>
      </c>
      <c r="E96" t="s">
        <v>397</v>
      </c>
      <c r="F96" t="s">
        <v>479</v>
      </c>
      <c r="G96" t="s">
        <v>390</v>
      </c>
      <c r="H96" t="s">
        <v>391</v>
      </c>
      <c r="I96" t="s">
        <v>535</v>
      </c>
      <c r="J96" t="s">
        <v>398</v>
      </c>
      <c r="K96" t="s">
        <v>397</v>
      </c>
      <c r="L96" t="s">
        <v>536</v>
      </c>
      <c r="M96" t="s">
        <v>527</v>
      </c>
      <c r="N96" t="s">
        <v>528</v>
      </c>
      <c r="O96" t="s">
        <v>671</v>
      </c>
      <c r="P96" t="s">
        <v>508</v>
      </c>
      <c r="Q96">
        <v>0</v>
      </c>
      <c r="R96" t="s">
        <v>480</v>
      </c>
    </row>
    <row r="97" spans="1:18" x14ac:dyDescent="0.3">
      <c r="A97" t="s">
        <v>562</v>
      </c>
      <c r="B97" t="s">
        <v>668</v>
      </c>
      <c r="C97" t="s">
        <v>396</v>
      </c>
      <c r="D97" t="s">
        <v>508</v>
      </c>
      <c r="E97" t="s">
        <v>397</v>
      </c>
      <c r="F97" t="s">
        <v>479</v>
      </c>
      <c r="G97" t="s">
        <v>390</v>
      </c>
      <c r="H97" t="s">
        <v>391</v>
      </c>
      <c r="I97" t="s">
        <v>535</v>
      </c>
      <c r="J97" t="s">
        <v>398</v>
      </c>
      <c r="K97" t="s">
        <v>397</v>
      </c>
      <c r="L97" t="s">
        <v>536</v>
      </c>
      <c r="M97" t="s">
        <v>672</v>
      </c>
      <c r="N97" t="s">
        <v>528</v>
      </c>
      <c r="O97" t="s">
        <v>673</v>
      </c>
      <c r="P97" t="s">
        <v>508</v>
      </c>
      <c r="Q97">
        <v>0</v>
      </c>
      <c r="R97" t="s">
        <v>480</v>
      </c>
    </row>
    <row r="98" spans="1:18" x14ac:dyDescent="0.3">
      <c r="A98" t="s">
        <v>562</v>
      </c>
      <c r="B98" t="s">
        <v>668</v>
      </c>
      <c r="C98" t="s">
        <v>396</v>
      </c>
      <c r="D98" t="s">
        <v>508</v>
      </c>
      <c r="E98" t="s">
        <v>397</v>
      </c>
      <c r="F98" t="s">
        <v>479</v>
      </c>
      <c r="G98" t="s">
        <v>390</v>
      </c>
      <c r="H98" t="s">
        <v>391</v>
      </c>
      <c r="I98" t="s">
        <v>535</v>
      </c>
      <c r="J98" t="s">
        <v>398</v>
      </c>
      <c r="K98" t="s">
        <v>397</v>
      </c>
      <c r="L98" t="s">
        <v>536</v>
      </c>
      <c r="M98" t="s">
        <v>527</v>
      </c>
      <c r="N98" t="s">
        <v>528</v>
      </c>
      <c r="O98" t="s">
        <v>674</v>
      </c>
      <c r="P98" t="s">
        <v>508</v>
      </c>
      <c r="Q98">
        <v>0</v>
      </c>
      <c r="R98" t="s">
        <v>480</v>
      </c>
    </row>
    <row r="99" spans="1:18" x14ac:dyDescent="0.3">
      <c r="A99" t="s">
        <v>562</v>
      </c>
      <c r="B99" t="s">
        <v>675</v>
      </c>
      <c r="C99" t="s">
        <v>478</v>
      </c>
      <c r="D99" t="s">
        <v>508</v>
      </c>
      <c r="E99" t="s">
        <v>450</v>
      </c>
      <c r="F99" t="s">
        <v>479</v>
      </c>
      <c r="G99" t="s">
        <v>394</v>
      </c>
      <c r="H99" t="s">
        <v>391</v>
      </c>
      <c r="I99" t="s">
        <v>495</v>
      </c>
      <c r="J99" t="s">
        <v>439</v>
      </c>
      <c r="K99" t="s">
        <v>450</v>
      </c>
      <c r="L99" t="s">
        <v>509</v>
      </c>
      <c r="M99" t="s">
        <v>530</v>
      </c>
      <c r="N99" t="s">
        <v>528</v>
      </c>
      <c r="O99" t="s">
        <v>676</v>
      </c>
      <c r="P99" t="s">
        <v>508</v>
      </c>
      <c r="Q99">
        <v>0</v>
      </c>
      <c r="R99" t="s">
        <v>480</v>
      </c>
    </row>
    <row r="100" spans="1:18" x14ac:dyDescent="0.3">
      <c r="A100" t="s">
        <v>562</v>
      </c>
      <c r="B100" t="s">
        <v>675</v>
      </c>
      <c r="C100" t="s">
        <v>478</v>
      </c>
      <c r="D100" t="s">
        <v>508</v>
      </c>
      <c r="E100" t="s">
        <v>450</v>
      </c>
      <c r="F100" t="s">
        <v>479</v>
      </c>
      <c r="G100" t="s">
        <v>394</v>
      </c>
      <c r="H100" t="s">
        <v>391</v>
      </c>
      <c r="I100" t="s">
        <v>495</v>
      </c>
      <c r="J100" t="s">
        <v>439</v>
      </c>
      <c r="K100" t="s">
        <v>450</v>
      </c>
      <c r="L100" t="s">
        <v>509</v>
      </c>
      <c r="M100" t="s">
        <v>530</v>
      </c>
      <c r="N100" t="s">
        <v>528</v>
      </c>
      <c r="O100" t="s">
        <v>677</v>
      </c>
      <c r="P100" t="s">
        <v>508</v>
      </c>
      <c r="Q100">
        <v>0</v>
      </c>
      <c r="R100" t="s">
        <v>480</v>
      </c>
    </row>
    <row r="101" spans="1:18" x14ac:dyDescent="0.3">
      <c r="A101" t="s">
        <v>562</v>
      </c>
      <c r="B101" t="s">
        <v>678</v>
      </c>
      <c r="C101" t="s">
        <v>396</v>
      </c>
      <c r="D101" t="s">
        <v>508</v>
      </c>
      <c r="E101" t="s">
        <v>397</v>
      </c>
      <c r="F101" t="s">
        <v>479</v>
      </c>
      <c r="G101" t="s">
        <v>390</v>
      </c>
      <c r="H101" t="s">
        <v>391</v>
      </c>
      <c r="I101" t="s">
        <v>535</v>
      </c>
      <c r="J101" t="s">
        <v>398</v>
      </c>
      <c r="K101" t="s">
        <v>397</v>
      </c>
      <c r="L101" t="s">
        <v>536</v>
      </c>
      <c r="M101" t="s">
        <v>527</v>
      </c>
      <c r="N101" t="s">
        <v>528</v>
      </c>
      <c r="O101" t="s">
        <v>679</v>
      </c>
      <c r="P101" t="s">
        <v>508</v>
      </c>
      <c r="Q101">
        <v>0</v>
      </c>
      <c r="R101" t="s">
        <v>680</v>
      </c>
    </row>
    <row r="102" spans="1:18" x14ac:dyDescent="0.3">
      <c r="A102" t="s">
        <v>562</v>
      </c>
      <c r="B102" t="s">
        <v>678</v>
      </c>
      <c r="C102" t="s">
        <v>396</v>
      </c>
      <c r="D102" t="s">
        <v>508</v>
      </c>
      <c r="E102" t="s">
        <v>397</v>
      </c>
      <c r="F102" t="s">
        <v>479</v>
      </c>
      <c r="G102" t="s">
        <v>390</v>
      </c>
      <c r="H102" t="s">
        <v>391</v>
      </c>
      <c r="I102" t="s">
        <v>535</v>
      </c>
      <c r="J102" t="s">
        <v>398</v>
      </c>
      <c r="K102" t="s">
        <v>397</v>
      </c>
      <c r="L102" t="s">
        <v>536</v>
      </c>
      <c r="M102" t="s">
        <v>672</v>
      </c>
      <c r="N102" t="s">
        <v>528</v>
      </c>
      <c r="O102" t="s">
        <v>681</v>
      </c>
      <c r="P102" t="s">
        <v>508</v>
      </c>
      <c r="Q102">
        <v>0</v>
      </c>
      <c r="R102" t="s">
        <v>680</v>
      </c>
    </row>
    <row r="103" spans="1:18" x14ac:dyDescent="0.3">
      <c r="A103" t="s">
        <v>562</v>
      </c>
      <c r="B103" t="s">
        <v>678</v>
      </c>
      <c r="C103" t="s">
        <v>396</v>
      </c>
      <c r="D103" t="s">
        <v>508</v>
      </c>
      <c r="E103" t="s">
        <v>397</v>
      </c>
      <c r="F103" t="s">
        <v>479</v>
      </c>
      <c r="G103" t="s">
        <v>390</v>
      </c>
      <c r="H103" t="s">
        <v>391</v>
      </c>
      <c r="I103" t="s">
        <v>535</v>
      </c>
      <c r="J103" t="s">
        <v>398</v>
      </c>
      <c r="K103" t="s">
        <v>397</v>
      </c>
      <c r="L103" t="s">
        <v>536</v>
      </c>
      <c r="M103" t="s">
        <v>527</v>
      </c>
      <c r="N103" t="s">
        <v>528</v>
      </c>
      <c r="O103" t="s">
        <v>682</v>
      </c>
      <c r="P103" t="s">
        <v>508</v>
      </c>
      <c r="Q103">
        <v>0</v>
      </c>
      <c r="R103" t="s">
        <v>680</v>
      </c>
    </row>
    <row r="104" spans="1:18" x14ac:dyDescent="0.3">
      <c r="A104" t="s">
        <v>562</v>
      </c>
      <c r="B104" t="s">
        <v>683</v>
      </c>
      <c r="C104" t="s">
        <v>478</v>
      </c>
      <c r="D104" t="s">
        <v>508</v>
      </c>
      <c r="E104" t="s">
        <v>493</v>
      </c>
      <c r="F104" t="s">
        <v>479</v>
      </c>
      <c r="G104" t="s">
        <v>394</v>
      </c>
      <c r="H104" t="s">
        <v>391</v>
      </c>
      <c r="I104" t="s">
        <v>512</v>
      </c>
      <c r="J104" t="s">
        <v>488</v>
      </c>
      <c r="K104" t="s">
        <v>493</v>
      </c>
      <c r="L104" t="s">
        <v>509</v>
      </c>
      <c r="M104" t="s">
        <v>531</v>
      </c>
      <c r="N104" t="s">
        <v>528</v>
      </c>
      <c r="O104" t="s">
        <v>684</v>
      </c>
      <c r="P104" t="s">
        <v>508</v>
      </c>
      <c r="Q104">
        <v>0</v>
      </c>
      <c r="R104" t="s">
        <v>480</v>
      </c>
    </row>
    <row r="105" spans="1:18" x14ac:dyDescent="0.3">
      <c r="A105" t="s">
        <v>562</v>
      </c>
      <c r="B105" t="s">
        <v>678</v>
      </c>
      <c r="C105" t="s">
        <v>396</v>
      </c>
      <c r="D105" t="s">
        <v>508</v>
      </c>
      <c r="E105" t="s">
        <v>397</v>
      </c>
      <c r="F105" t="s">
        <v>479</v>
      </c>
      <c r="G105" t="s">
        <v>390</v>
      </c>
      <c r="H105" t="s">
        <v>391</v>
      </c>
      <c r="I105" t="s">
        <v>535</v>
      </c>
      <c r="J105" t="s">
        <v>398</v>
      </c>
      <c r="K105" t="s">
        <v>397</v>
      </c>
      <c r="L105" t="s">
        <v>536</v>
      </c>
      <c r="M105" t="s">
        <v>527</v>
      </c>
      <c r="N105" t="s">
        <v>528</v>
      </c>
      <c r="O105" t="s">
        <v>685</v>
      </c>
      <c r="P105" t="s">
        <v>508</v>
      </c>
      <c r="Q105">
        <v>0</v>
      </c>
      <c r="R105" t="s">
        <v>680</v>
      </c>
    </row>
    <row r="106" spans="1:18" x14ac:dyDescent="0.3">
      <c r="A106" t="s">
        <v>562</v>
      </c>
      <c r="B106" t="s">
        <v>678</v>
      </c>
      <c r="C106" t="s">
        <v>396</v>
      </c>
      <c r="D106" t="s">
        <v>508</v>
      </c>
      <c r="E106" t="s">
        <v>397</v>
      </c>
      <c r="F106" t="s">
        <v>479</v>
      </c>
      <c r="G106" t="s">
        <v>390</v>
      </c>
      <c r="H106" t="s">
        <v>391</v>
      </c>
      <c r="I106" t="s">
        <v>535</v>
      </c>
      <c r="J106" t="s">
        <v>398</v>
      </c>
      <c r="K106" t="s">
        <v>397</v>
      </c>
      <c r="L106" t="s">
        <v>536</v>
      </c>
      <c r="M106" t="s">
        <v>527</v>
      </c>
      <c r="N106" t="s">
        <v>528</v>
      </c>
      <c r="O106" t="s">
        <v>686</v>
      </c>
      <c r="P106" t="s">
        <v>508</v>
      </c>
      <c r="Q106">
        <v>0</v>
      </c>
      <c r="R106" t="s">
        <v>680</v>
      </c>
    </row>
    <row r="107" spans="1:18" x14ac:dyDescent="0.3">
      <c r="A107" t="s">
        <v>562</v>
      </c>
      <c r="B107" t="s">
        <v>678</v>
      </c>
      <c r="C107" t="s">
        <v>396</v>
      </c>
      <c r="D107" t="s">
        <v>508</v>
      </c>
      <c r="E107" t="s">
        <v>397</v>
      </c>
      <c r="F107" t="s">
        <v>479</v>
      </c>
      <c r="G107" t="s">
        <v>390</v>
      </c>
      <c r="H107" t="s">
        <v>391</v>
      </c>
      <c r="I107" t="s">
        <v>535</v>
      </c>
      <c r="J107" t="s">
        <v>398</v>
      </c>
      <c r="K107" t="s">
        <v>397</v>
      </c>
      <c r="L107" t="s">
        <v>536</v>
      </c>
      <c r="M107" t="s">
        <v>672</v>
      </c>
      <c r="N107" t="s">
        <v>528</v>
      </c>
      <c r="O107" t="s">
        <v>687</v>
      </c>
      <c r="P107" t="s">
        <v>508</v>
      </c>
      <c r="Q107">
        <v>0</v>
      </c>
      <c r="R107" t="s">
        <v>680</v>
      </c>
    </row>
    <row r="108" spans="1:18" x14ac:dyDescent="0.3">
      <c r="A108" t="s">
        <v>562</v>
      </c>
      <c r="B108" t="s">
        <v>678</v>
      </c>
      <c r="C108" t="s">
        <v>396</v>
      </c>
      <c r="D108" t="s">
        <v>508</v>
      </c>
      <c r="E108" t="s">
        <v>397</v>
      </c>
      <c r="F108" t="s">
        <v>479</v>
      </c>
      <c r="G108" t="s">
        <v>390</v>
      </c>
      <c r="H108" t="s">
        <v>391</v>
      </c>
      <c r="I108" t="s">
        <v>535</v>
      </c>
      <c r="J108" t="s">
        <v>398</v>
      </c>
      <c r="K108" t="s">
        <v>397</v>
      </c>
      <c r="L108" t="s">
        <v>536</v>
      </c>
      <c r="M108" t="s">
        <v>527</v>
      </c>
      <c r="N108" t="s">
        <v>528</v>
      </c>
      <c r="O108" t="s">
        <v>688</v>
      </c>
      <c r="P108" t="s">
        <v>508</v>
      </c>
      <c r="Q108">
        <v>0</v>
      </c>
      <c r="R108" t="s">
        <v>680</v>
      </c>
    </row>
    <row r="109" spans="1:18" x14ac:dyDescent="0.3">
      <c r="A109" t="s">
        <v>562</v>
      </c>
      <c r="B109" t="s">
        <v>683</v>
      </c>
      <c r="C109" t="s">
        <v>478</v>
      </c>
      <c r="D109" t="s">
        <v>508</v>
      </c>
      <c r="E109" t="s">
        <v>493</v>
      </c>
      <c r="F109" t="s">
        <v>479</v>
      </c>
      <c r="G109" t="s">
        <v>394</v>
      </c>
      <c r="H109" t="s">
        <v>391</v>
      </c>
      <c r="I109" t="s">
        <v>512</v>
      </c>
      <c r="J109" t="s">
        <v>488</v>
      </c>
      <c r="K109" t="s">
        <v>493</v>
      </c>
      <c r="L109" t="s">
        <v>509</v>
      </c>
      <c r="M109" t="s">
        <v>530</v>
      </c>
      <c r="N109" t="s">
        <v>528</v>
      </c>
      <c r="O109" t="s">
        <v>689</v>
      </c>
      <c r="P109" t="s">
        <v>508</v>
      </c>
      <c r="Q109">
        <v>0</v>
      </c>
      <c r="R109" t="s">
        <v>480</v>
      </c>
    </row>
    <row r="110" spans="1:18" x14ac:dyDescent="0.3">
      <c r="A110" t="s">
        <v>562</v>
      </c>
      <c r="B110" t="s">
        <v>690</v>
      </c>
      <c r="C110" t="s">
        <v>478</v>
      </c>
      <c r="D110" t="s">
        <v>508</v>
      </c>
      <c r="E110" t="s">
        <v>493</v>
      </c>
      <c r="F110" t="s">
        <v>479</v>
      </c>
      <c r="G110" t="s">
        <v>394</v>
      </c>
      <c r="H110" t="s">
        <v>391</v>
      </c>
      <c r="I110" t="s">
        <v>512</v>
      </c>
      <c r="J110" t="s">
        <v>488</v>
      </c>
      <c r="K110" t="s">
        <v>493</v>
      </c>
      <c r="L110" t="s">
        <v>509</v>
      </c>
      <c r="M110" t="s">
        <v>530</v>
      </c>
      <c r="N110" t="s">
        <v>528</v>
      </c>
      <c r="O110" t="s">
        <v>691</v>
      </c>
      <c r="P110" t="s">
        <v>508</v>
      </c>
      <c r="Q110">
        <v>0</v>
      </c>
      <c r="R110" t="s">
        <v>480</v>
      </c>
    </row>
    <row r="111" spans="1:18" x14ac:dyDescent="0.3">
      <c r="A111" t="s">
        <v>562</v>
      </c>
      <c r="B111" t="s">
        <v>692</v>
      </c>
      <c r="C111" t="s">
        <v>396</v>
      </c>
      <c r="D111" t="s">
        <v>508</v>
      </c>
      <c r="E111" t="s">
        <v>397</v>
      </c>
      <c r="F111" t="s">
        <v>479</v>
      </c>
      <c r="G111" t="s">
        <v>390</v>
      </c>
      <c r="H111" t="s">
        <v>391</v>
      </c>
      <c r="I111" t="s">
        <v>535</v>
      </c>
      <c r="J111" t="s">
        <v>398</v>
      </c>
      <c r="K111" t="s">
        <v>397</v>
      </c>
      <c r="L111" t="s">
        <v>536</v>
      </c>
      <c r="M111" t="s">
        <v>527</v>
      </c>
      <c r="N111" t="s">
        <v>528</v>
      </c>
      <c r="O111" t="s">
        <v>693</v>
      </c>
      <c r="P111" t="s">
        <v>508</v>
      </c>
      <c r="Q111">
        <v>0</v>
      </c>
      <c r="R111" t="s">
        <v>480</v>
      </c>
    </row>
    <row r="112" spans="1:18" x14ac:dyDescent="0.3">
      <c r="A112" t="s">
        <v>562</v>
      </c>
      <c r="B112" t="s">
        <v>694</v>
      </c>
      <c r="C112" t="s">
        <v>478</v>
      </c>
      <c r="D112" t="s">
        <v>508</v>
      </c>
      <c r="E112" t="s">
        <v>493</v>
      </c>
      <c r="F112" t="s">
        <v>479</v>
      </c>
      <c r="G112" t="s">
        <v>394</v>
      </c>
      <c r="H112" t="s">
        <v>391</v>
      </c>
      <c r="I112" t="s">
        <v>514</v>
      </c>
      <c r="J112" t="s">
        <v>488</v>
      </c>
      <c r="K112" t="s">
        <v>493</v>
      </c>
      <c r="L112" t="s">
        <v>509</v>
      </c>
      <c r="M112" t="s">
        <v>530</v>
      </c>
      <c r="N112" t="s">
        <v>589</v>
      </c>
      <c r="O112" t="s">
        <v>695</v>
      </c>
      <c r="P112" t="s">
        <v>508</v>
      </c>
      <c r="Q112">
        <v>0</v>
      </c>
      <c r="R112" t="s">
        <v>480</v>
      </c>
    </row>
    <row r="113" spans="1:18" x14ac:dyDescent="0.3">
      <c r="A113" t="s">
        <v>562</v>
      </c>
      <c r="B113" t="s">
        <v>692</v>
      </c>
      <c r="C113" t="s">
        <v>396</v>
      </c>
      <c r="D113" t="s">
        <v>508</v>
      </c>
      <c r="E113" t="s">
        <v>397</v>
      </c>
      <c r="F113" t="s">
        <v>479</v>
      </c>
      <c r="G113" t="s">
        <v>390</v>
      </c>
      <c r="H113" t="s">
        <v>391</v>
      </c>
      <c r="I113" t="s">
        <v>535</v>
      </c>
      <c r="J113" t="s">
        <v>398</v>
      </c>
      <c r="K113" t="s">
        <v>397</v>
      </c>
      <c r="L113" t="s">
        <v>536</v>
      </c>
      <c r="M113" t="s">
        <v>527</v>
      </c>
      <c r="N113" t="s">
        <v>528</v>
      </c>
      <c r="O113" t="s">
        <v>696</v>
      </c>
      <c r="P113" t="s">
        <v>508</v>
      </c>
      <c r="Q113">
        <v>0</v>
      </c>
      <c r="R113" t="s">
        <v>480</v>
      </c>
    </row>
    <row r="114" spans="1:18" x14ac:dyDescent="0.3">
      <c r="A114" t="s">
        <v>562</v>
      </c>
      <c r="B114" t="s">
        <v>690</v>
      </c>
      <c r="C114" t="s">
        <v>478</v>
      </c>
      <c r="D114" t="s">
        <v>508</v>
      </c>
      <c r="E114" t="s">
        <v>493</v>
      </c>
      <c r="F114" t="s">
        <v>479</v>
      </c>
      <c r="G114" t="s">
        <v>394</v>
      </c>
      <c r="H114" t="s">
        <v>391</v>
      </c>
      <c r="I114" t="s">
        <v>512</v>
      </c>
      <c r="J114" t="s">
        <v>488</v>
      </c>
      <c r="K114" t="s">
        <v>493</v>
      </c>
      <c r="L114" t="s">
        <v>509</v>
      </c>
      <c r="M114" t="s">
        <v>531</v>
      </c>
      <c r="N114" t="s">
        <v>528</v>
      </c>
      <c r="O114" t="s">
        <v>697</v>
      </c>
      <c r="P114" t="s">
        <v>508</v>
      </c>
      <c r="Q114">
        <v>0</v>
      </c>
      <c r="R114" t="s">
        <v>480</v>
      </c>
    </row>
    <row r="115" spans="1:18" x14ac:dyDescent="0.3">
      <c r="A115" t="s">
        <v>562</v>
      </c>
      <c r="B115" t="s">
        <v>692</v>
      </c>
      <c r="C115" t="s">
        <v>396</v>
      </c>
      <c r="D115" t="s">
        <v>508</v>
      </c>
      <c r="E115" t="s">
        <v>397</v>
      </c>
      <c r="F115" t="s">
        <v>479</v>
      </c>
      <c r="G115" t="s">
        <v>390</v>
      </c>
      <c r="H115" t="s">
        <v>391</v>
      </c>
      <c r="I115" t="s">
        <v>535</v>
      </c>
      <c r="J115" t="s">
        <v>398</v>
      </c>
      <c r="K115" t="s">
        <v>397</v>
      </c>
      <c r="L115" t="s">
        <v>536</v>
      </c>
      <c r="M115" t="s">
        <v>527</v>
      </c>
      <c r="N115" t="s">
        <v>589</v>
      </c>
      <c r="O115" t="s">
        <v>698</v>
      </c>
      <c r="P115" t="s">
        <v>508</v>
      </c>
      <c r="Q115">
        <v>0</v>
      </c>
      <c r="R115" t="s">
        <v>480</v>
      </c>
    </row>
    <row r="116" spans="1:18" x14ac:dyDescent="0.3">
      <c r="A116" t="s">
        <v>562</v>
      </c>
      <c r="B116" t="s">
        <v>694</v>
      </c>
      <c r="C116" t="s">
        <v>478</v>
      </c>
      <c r="D116" t="s">
        <v>508</v>
      </c>
      <c r="E116" t="s">
        <v>493</v>
      </c>
      <c r="F116" t="s">
        <v>479</v>
      </c>
      <c r="G116" t="s">
        <v>394</v>
      </c>
      <c r="H116" t="s">
        <v>391</v>
      </c>
      <c r="I116" t="s">
        <v>514</v>
      </c>
      <c r="J116" t="s">
        <v>488</v>
      </c>
      <c r="K116" t="s">
        <v>493</v>
      </c>
      <c r="L116" t="s">
        <v>509</v>
      </c>
      <c r="M116" t="s">
        <v>530</v>
      </c>
      <c r="N116" t="s">
        <v>589</v>
      </c>
      <c r="O116" t="s">
        <v>699</v>
      </c>
      <c r="P116" t="s">
        <v>508</v>
      </c>
      <c r="Q116">
        <v>0</v>
      </c>
      <c r="R116" t="s">
        <v>480</v>
      </c>
    </row>
    <row r="117" spans="1:18" x14ac:dyDescent="0.3">
      <c r="A117" t="s">
        <v>562</v>
      </c>
      <c r="B117" t="s">
        <v>483</v>
      </c>
      <c r="C117" t="s">
        <v>396</v>
      </c>
      <c r="D117" t="s">
        <v>508</v>
      </c>
      <c r="E117" t="s">
        <v>397</v>
      </c>
      <c r="F117" t="s">
        <v>479</v>
      </c>
      <c r="G117" t="s">
        <v>390</v>
      </c>
      <c r="H117" t="s">
        <v>391</v>
      </c>
      <c r="I117" t="s">
        <v>535</v>
      </c>
      <c r="J117" t="s">
        <v>398</v>
      </c>
      <c r="K117" t="s">
        <v>397</v>
      </c>
      <c r="L117" t="s">
        <v>536</v>
      </c>
      <c r="M117" t="s">
        <v>672</v>
      </c>
      <c r="N117" t="s">
        <v>528</v>
      </c>
      <c r="O117" t="s">
        <v>700</v>
      </c>
      <c r="P117" t="s">
        <v>508</v>
      </c>
      <c r="Q117">
        <v>0</v>
      </c>
      <c r="R117" t="s">
        <v>480</v>
      </c>
    </row>
    <row r="118" spans="1:18" x14ac:dyDescent="0.3">
      <c r="A118" t="s">
        <v>562</v>
      </c>
      <c r="B118" t="s">
        <v>692</v>
      </c>
      <c r="C118" t="s">
        <v>396</v>
      </c>
      <c r="D118" t="s">
        <v>508</v>
      </c>
      <c r="E118" t="s">
        <v>397</v>
      </c>
      <c r="F118" t="s">
        <v>479</v>
      </c>
      <c r="G118" t="s">
        <v>390</v>
      </c>
      <c r="H118" t="s">
        <v>391</v>
      </c>
      <c r="I118" t="s">
        <v>535</v>
      </c>
      <c r="J118" t="s">
        <v>398</v>
      </c>
      <c r="K118" t="s">
        <v>397</v>
      </c>
      <c r="L118" t="s">
        <v>536</v>
      </c>
      <c r="M118" t="s">
        <v>527</v>
      </c>
      <c r="N118" t="s">
        <v>528</v>
      </c>
      <c r="O118" t="s">
        <v>701</v>
      </c>
      <c r="P118" t="s">
        <v>508</v>
      </c>
      <c r="Q118">
        <v>0</v>
      </c>
      <c r="R118" t="s">
        <v>480</v>
      </c>
    </row>
    <row r="119" spans="1:18" x14ac:dyDescent="0.3">
      <c r="A119" t="s">
        <v>562</v>
      </c>
      <c r="B119" t="s">
        <v>692</v>
      </c>
      <c r="C119" t="s">
        <v>396</v>
      </c>
      <c r="D119" t="s">
        <v>508</v>
      </c>
      <c r="E119" t="s">
        <v>397</v>
      </c>
      <c r="F119" t="s">
        <v>479</v>
      </c>
      <c r="G119" t="s">
        <v>390</v>
      </c>
      <c r="H119" t="s">
        <v>391</v>
      </c>
      <c r="I119" t="s">
        <v>535</v>
      </c>
      <c r="J119" t="s">
        <v>398</v>
      </c>
      <c r="K119" t="s">
        <v>397</v>
      </c>
      <c r="L119" t="s">
        <v>536</v>
      </c>
      <c r="M119" t="s">
        <v>527</v>
      </c>
      <c r="N119" t="s">
        <v>528</v>
      </c>
      <c r="O119" t="s">
        <v>702</v>
      </c>
      <c r="P119" t="s">
        <v>508</v>
      </c>
      <c r="Q119">
        <v>0</v>
      </c>
      <c r="R119" t="s">
        <v>480</v>
      </c>
    </row>
    <row r="120" spans="1:18" x14ac:dyDescent="0.3">
      <c r="A120" t="s">
        <v>562</v>
      </c>
      <c r="B120" t="s">
        <v>692</v>
      </c>
      <c r="C120" t="s">
        <v>396</v>
      </c>
      <c r="D120" t="s">
        <v>508</v>
      </c>
      <c r="E120" t="s">
        <v>397</v>
      </c>
      <c r="F120" t="s">
        <v>479</v>
      </c>
      <c r="G120" t="s">
        <v>390</v>
      </c>
      <c r="H120" t="s">
        <v>391</v>
      </c>
      <c r="I120" t="s">
        <v>535</v>
      </c>
      <c r="J120" t="s">
        <v>398</v>
      </c>
      <c r="K120" t="s">
        <v>397</v>
      </c>
      <c r="L120" t="s">
        <v>536</v>
      </c>
      <c r="M120" t="s">
        <v>527</v>
      </c>
      <c r="N120" t="s">
        <v>528</v>
      </c>
      <c r="O120" t="s">
        <v>703</v>
      </c>
      <c r="P120" t="s">
        <v>508</v>
      </c>
      <c r="Q120">
        <v>0</v>
      </c>
      <c r="R120" t="s">
        <v>480</v>
      </c>
    </row>
    <row r="121" spans="1:18" x14ac:dyDescent="0.3">
      <c r="A121" t="s">
        <v>562</v>
      </c>
      <c r="B121" t="s">
        <v>692</v>
      </c>
      <c r="C121" t="s">
        <v>396</v>
      </c>
      <c r="D121" t="s">
        <v>508</v>
      </c>
      <c r="E121" t="s">
        <v>397</v>
      </c>
      <c r="F121" t="s">
        <v>479</v>
      </c>
      <c r="G121" t="s">
        <v>390</v>
      </c>
      <c r="H121" t="s">
        <v>391</v>
      </c>
      <c r="I121" t="s">
        <v>535</v>
      </c>
      <c r="J121" t="s">
        <v>398</v>
      </c>
      <c r="K121" t="s">
        <v>397</v>
      </c>
      <c r="L121" t="s">
        <v>536</v>
      </c>
      <c r="M121" t="s">
        <v>527</v>
      </c>
      <c r="N121" t="s">
        <v>528</v>
      </c>
      <c r="O121" t="s">
        <v>704</v>
      </c>
      <c r="P121" t="s">
        <v>508</v>
      </c>
      <c r="Q121">
        <v>0</v>
      </c>
      <c r="R121" t="s">
        <v>480</v>
      </c>
    </row>
    <row r="122" spans="1:18" x14ac:dyDescent="0.3">
      <c r="A122" t="s">
        <v>562</v>
      </c>
      <c r="B122" t="s">
        <v>483</v>
      </c>
      <c r="C122" t="s">
        <v>396</v>
      </c>
      <c r="D122" t="s">
        <v>508</v>
      </c>
      <c r="E122" t="s">
        <v>397</v>
      </c>
      <c r="F122" t="s">
        <v>479</v>
      </c>
      <c r="G122" t="s">
        <v>390</v>
      </c>
      <c r="H122" t="s">
        <v>391</v>
      </c>
      <c r="I122" t="s">
        <v>535</v>
      </c>
      <c r="J122" t="s">
        <v>398</v>
      </c>
      <c r="K122" t="s">
        <v>397</v>
      </c>
      <c r="L122" t="s">
        <v>536</v>
      </c>
      <c r="M122" t="s">
        <v>672</v>
      </c>
      <c r="N122" t="s">
        <v>528</v>
      </c>
      <c r="O122" t="s">
        <v>705</v>
      </c>
      <c r="P122" t="s">
        <v>508</v>
      </c>
      <c r="Q122">
        <v>0</v>
      </c>
      <c r="R122" t="s">
        <v>480</v>
      </c>
    </row>
    <row r="123" spans="1:18" x14ac:dyDescent="0.3">
      <c r="A123" t="s">
        <v>562</v>
      </c>
      <c r="B123" t="s">
        <v>692</v>
      </c>
      <c r="C123" t="s">
        <v>396</v>
      </c>
      <c r="D123" t="s">
        <v>508</v>
      </c>
      <c r="E123" t="s">
        <v>397</v>
      </c>
      <c r="F123" t="s">
        <v>479</v>
      </c>
      <c r="G123" t="s">
        <v>390</v>
      </c>
      <c r="H123" t="s">
        <v>391</v>
      </c>
      <c r="I123" t="s">
        <v>535</v>
      </c>
      <c r="J123" t="s">
        <v>398</v>
      </c>
      <c r="K123" t="s">
        <v>397</v>
      </c>
      <c r="L123" t="s">
        <v>536</v>
      </c>
      <c r="M123" t="s">
        <v>527</v>
      </c>
      <c r="N123" t="s">
        <v>528</v>
      </c>
      <c r="O123" t="s">
        <v>706</v>
      </c>
      <c r="P123" t="s">
        <v>508</v>
      </c>
      <c r="Q123">
        <v>0</v>
      </c>
      <c r="R123" t="s">
        <v>480</v>
      </c>
    </row>
    <row r="124" spans="1:18" x14ac:dyDescent="0.3">
      <c r="A124" t="s">
        <v>562</v>
      </c>
      <c r="B124" t="s">
        <v>483</v>
      </c>
      <c r="C124" t="s">
        <v>396</v>
      </c>
      <c r="D124" t="s">
        <v>508</v>
      </c>
      <c r="E124" t="s">
        <v>397</v>
      </c>
      <c r="F124" t="s">
        <v>479</v>
      </c>
      <c r="G124" t="s">
        <v>390</v>
      </c>
      <c r="H124" t="s">
        <v>391</v>
      </c>
      <c r="I124" t="s">
        <v>535</v>
      </c>
      <c r="J124" t="s">
        <v>398</v>
      </c>
      <c r="K124" t="s">
        <v>397</v>
      </c>
      <c r="L124" t="s">
        <v>536</v>
      </c>
      <c r="M124" t="s">
        <v>527</v>
      </c>
      <c r="N124" t="s">
        <v>589</v>
      </c>
      <c r="O124" t="s">
        <v>707</v>
      </c>
      <c r="P124" t="s">
        <v>508</v>
      </c>
      <c r="Q124">
        <v>0</v>
      </c>
      <c r="R124" t="s">
        <v>480</v>
      </c>
    </row>
    <row r="125" spans="1:18" x14ac:dyDescent="0.3">
      <c r="A125" t="s">
        <v>562</v>
      </c>
      <c r="B125" t="s">
        <v>694</v>
      </c>
      <c r="C125" t="s">
        <v>478</v>
      </c>
      <c r="D125" t="s">
        <v>508</v>
      </c>
      <c r="E125" t="s">
        <v>493</v>
      </c>
      <c r="F125" t="s">
        <v>479</v>
      </c>
      <c r="G125" t="s">
        <v>394</v>
      </c>
      <c r="H125" t="s">
        <v>391</v>
      </c>
      <c r="I125" t="s">
        <v>514</v>
      </c>
      <c r="J125" t="s">
        <v>488</v>
      </c>
      <c r="K125" t="s">
        <v>493</v>
      </c>
      <c r="L125" t="s">
        <v>509</v>
      </c>
      <c r="M125" t="s">
        <v>530</v>
      </c>
      <c r="N125" t="s">
        <v>589</v>
      </c>
      <c r="O125" t="s">
        <v>708</v>
      </c>
      <c r="P125" t="s">
        <v>508</v>
      </c>
      <c r="Q125">
        <v>0</v>
      </c>
      <c r="R125" t="s">
        <v>480</v>
      </c>
    </row>
    <row r="126" spans="1:18" x14ac:dyDescent="0.3">
      <c r="A126" t="s">
        <v>562</v>
      </c>
      <c r="B126" t="s">
        <v>692</v>
      </c>
      <c r="C126" t="s">
        <v>396</v>
      </c>
      <c r="D126" t="s">
        <v>508</v>
      </c>
      <c r="E126" t="s">
        <v>397</v>
      </c>
      <c r="F126" t="s">
        <v>479</v>
      </c>
      <c r="G126" t="s">
        <v>390</v>
      </c>
      <c r="H126" t="s">
        <v>391</v>
      </c>
      <c r="I126" t="s">
        <v>535</v>
      </c>
      <c r="J126" t="s">
        <v>398</v>
      </c>
      <c r="K126" t="s">
        <v>397</v>
      </c>
      <c r="L126" t="s">
        <v>536</v>
      </c>
      <c r="M126" t="s">
        <v>527</v>
      </c>
      <c r="N126" t="s">
        <v>589</v>
      </c>
      <c r="O126" t="s">
        <v>709</v>
      </c>
      <c r="P126" t="s">
        <v>508</v>
      </c>
      <c r="Q126">
        <v>0</v>
      </c>
      <c r="R126" t="s">
        <v>480</v>
      </c>
    </row>
    <row r="127" spans="1:18" x14ac:dyDescent="0.3">
      <c r="A127" t="s">
        <v>562</v>
      </c>
      <c r="B127" t="s">
        <v>483</v>
      </c>
      <c r="C127" t="s">
        <v>396</v>
      </c>
      <c r="D127" t="s">
        <v>508</v>
      </c>
      <c r="E127" t="s">
        <v>397</v>
      </c>
      <c r="F127" t="s">
        <v>479</v>
      </c>
      <c r="G127" t="s">
        <v>390</v>
      </c>
      <c r="H127" t="s">
        <v>391</v>
      </c>
      <c r="I127" t="s">
        <v>535</v>
      </c>
      <c r="J127" t="s">
        <v>398</v>
      </c>
      <c r="K127" t="s">
        <v>397</v>
      </c>
      <c r="L127" t="s">
        <v>536</v>
      </c>
      <c r="M127" t="s">
        <v>527</v>
      </c>
      <c r="N127" t="s">
        <v>589</v>
      </c>
      <c r="O127" t="s">
        <v>710</v>
      </c>
      <c r="P127" t="s">
        <v>508</v>
      </c>
      <c r="Q127">
        <v>0</v>
      </c>
      <c r="R127" t="s">
        <v>480</v>
      </c>
    </row>
    <row r="128" spans="1:18" x14ac:dyDescent="0.3">
      <c r="A128" t="s">
        <v>562</v>
      </c>
      <c r="B128" t="s">
        <v>694</v>
      </c>
      <c r="C128" t="s">
        <v>478</v>
      </c>
      <c r="D128" t="s">
        <v>508</v>
      </c>
      <c r="E128" t="s">
        <v>493</v>
      </c>
      <c r="F128" t="s">
        <v>479</v>
      </c>
      <c r="G128" t="s">
        <v>394</v>
      </c>
      <c r="H128" t="s">
        <v>391</v>
      </c>
      <c r="I128" t="s">
        <v>514</v>
      </c>
      <c r="J128" t="s">
        <v>488</v>
      </c>
      <c r="K128" t="s">
        <v>493</v>
      </c>
      <c r="L128" t="s">
        <v>509</v>
      </c>
      <c r="M128" t="s">
        <v>530</v>
      </c>
      <c r="N128" t="s">
        <v>589</v>
      </c>
      <c r="O128" t="s">
        <v>711</v>
      </c>
      <c r="P128" t="s">
        <v>508</v>
      </c>
      <c r="Q128">
        <v>0</v>
      </c>
      <c r="R128" t="s">
        <v>480</v>
      </c>
    </row>
    <row r="129" spans="1:18" x14ac:dyDescent="0.3">
      <c r="A129" t="s">
        <v>562</v>
      </c>
      <c r="B129" t="s">
        <v>692</v>
      </c>
      <c r="C129" t="s">
        <v>396</v>
      </c>
      <c r="D129" t="s">
        <v>508</v>
      </c>
      <c r="E129" t="s">
        <v>397</v>
      </c>
      <c r="F129" t="s">
        <v>479</v>
      </c>
      <c r="G129" t="s">
        <v>390</v>
      </c>
      <c r="H129" t="s">
        <v>391</v>
      </c>
      <c r="I129" t="s">
        <v>535</v>
      </c>
      <c r="J129" t="s">
        <v>398</v>
      </c>
      <c r="K129" t="s">
        <v>397</v>
      </c>
      <c r="L129" t="s">
        <v>536</v>
      </c>
      <c r="M129" t="s">
        <v>672</v>
      </c>
      <c r="N129" t="s">
        <v>589</v>
      </c>
      <c r="O129" t="s">
        <v>712</v>
      </c>
      <c r="P129" t="s">
        <v>508</v>
      </c>
      <c r="Q129">
        <v>0</v>
      </c>
      <c r="R129" t="s">
        <v>480</v>
      </c>
    </row>
    <row r="130" spans="1:18" x14ac:dyDescent="0.3">
      <c r="A130" t="s">
        <v>562</v>
      </c>
      <c r="B130" t="s">
        <v>692</v>
      </c>
      <c r="C130" t="s">
        <v>396</v>
      </c>
      <c r="D130" t="s">
        <v>508</v>
      </c>
      <c r="E130" t="s">
        <v>397</v>
      </c>
      <c r="F130" t="s">
        <v>479</v>
      </c>
      <c r="G130" t="s">
        <v>390</v>
      </c>
      <c r="H130" t="s">
        <v>391</v>
      </c>
      <c r="I130" t="s">
        <v>535</v>
      </c>
      <c r="J130" t="s">
        <v>398</v>
      </c>
      <c r="K130" t="s">
        <v>397</v>
      </c>
      <c r="L130" t="s">
        <v>536</v>
      </c>
      <c r="M130" t="s">
        <v>527</v>
      </c>
      <c r="N130" t="s">
        <v>589</v>
      </c>
      <c r="O130" t="s">
        <v>713</v>
      </c>
      <c r="P130" t="s">
        <v>508</v>
      </c>
      <c r="Q130">
        <v>0</v>
      </c>
      <c r="R130" t="s">
        <v>480</v>
      </c>
    </row>
    <row r="131" spans="1:18" x14ac:dyDescent="0.3">
      <c r="A131" t="s">
        <v>562</v>
      </c>
      <c r="B131" t="s">
        <v>714</v>
      </c>
      <c r="C131" t="s">
        <v>478</v>
      </c>
      <c r="D131" t="s">
        <v>508</v>
      </c>
      <c r="E131" t="s">
        <v>547</v>
      </c>
      <c r="F131" t="s">
        <v>479</v>
      </c>
      <c r="G131" t="s">
        <v>394</v>
      </c>
      <c r="H131" t="s">
        <v>391</v>
      </c>
      <c r="I131" t="s">
        <v>548</v>
      </c>
      <c r="J131" t="s">
        <v>488</v>
      </c>
      <c r="K131" t="s">
        <v>547</v>
      </c>
      <c r="L131" t="s">
        <v>544</v>
      </c>
      <c r="M131" t="s">
        <v>529</v>
      </c>
      <c r="N131" t="s">
        <v>589</v>
      </c>
      <c r="O131" t="s">
        <v>715</v>
      </c>
      <c r="P131" t="s">
        <v>508</v>
      </c>
      <c r="Q131">
        <v>0</v>
      </c>
      <c r="R131" t="s">
        <v>480</v>
      </c>
    </row>
    <row r="132" spans="1:18" x14ac:dyDescent="0.3">
      <c r="A132" t="s">
        <v>562</v>
      </c>
      <c r="B132" t="s">
        <v>694</v>
      </c>
      <c r="C132" t="s">
        <v>478</v>
      </c>
      <c r="D132" t="s">
        <v>508</v>
      </c>
      <c r="E132" t="s">
        <v>493</v>
      </c>
      <c r="F132" t="s">
        <v>479</v>
      </c>
      <c r="G132" t="s">
        <v>394</v>
      </c>
      <c r="H132" t="s">
        <v>391</v>
      </c>
      <c r="I132" t="s">
        <v>514</v>
      </c>
      <c r="J132" t="s">
        <v>488</v>
      </c>
      <c r="K132" t="s">
        <v>493</v>
      </c>
      <c r="L132" t="s">
        <v>509</v>
      </c>
      <c r="M132" t="s">
        <v>531</v>
      </c>
      <c r="N132" t="s">
        <v>589</v>
      </c>
      <c r="O132" t="s">
        <v>716</v>
      </c>
      <c r="P132" t="s">
        <v>508</v>
      </c>
      <c r="Q132">
        <v>0</v>
      </c>
      <c r="R132" t="s">
        <v>480</v>
      </c>
    </row>
    <row r="133" spans="1:18" x14ac:dyDescent="0.3">
      <c r="A133" t="s">
        <v>562</v>
      </c>
      <c r="B133" t="s">
        <v>690</v>
      </c>
      <c r="C133" t="s">
        <v>478</v>
      </c>
      <c r="D133" t="s">
        <v>508</v>
      </c>
      <c r="E133" t="s">
        <v>493</v>
      </c>
      <c r="F133" t="s">
        <v>479</v>
      </c>
      <c r="G133" t="s">
        <v>394</v>
      </c>
      <c r="H133" t="s">
        <v>391</v>
      </c>
      <c r="I133" t="s">
        <v>514</v>
      </c>
      <c r="J133" t="s">
        <v>488</v>
      </c>
      <c r="K133" t="s">
        <v>493</v>
      </c>
      <c r="L133" t="s">
        <v>509</v>
      </c>
      <c r="M133" t="s">
        <v>530</v>
      </c>
      <c r="N133" t="s">
        <v>589</v>
      </c>
      <c r="O133" t="s">
        <v>717</v>
      </c>
      <c r="P133" t="s">
        <v>508</v>
      </c>
      <c r="Q133">
        <v>0</v>
      </c>
      <c r="R133" t="s">
        <v>480</v>
      </c>
    </row>
    <row r="134" spans="1:18" x14ac:dyDescent="0.3">
      <c r="A134" t="s">
        <v>562</v>
      </c>
      <c r="B134" t="s">
        <v>483</v>
      </c>
      <c r="C134" t="s">
        <v>396</v>
      </c>
      <c r="D134" t="s">
        <v>508</v>
      </c>
      <c r="E134" t="s">
        <v>397</v>
      </c>
      <c r="F134" t="s">
        <v>479</v>
      </c>
      <c r="G134" t="s">
        <v>390</v>
      </c>
      <c r="H134" t="s">
        <v>391</v>
      </c>
      <c r="I134" t="s">
        <v>535</v>
      </c>
      <c r="J134" t="s">
        <v>398</v>
      </c>
      <c r="K134" t="s">
        <v>397</v>
      </c>
      <c r="L134" t="s">
        <v>536</v>
      </c>
      <c r="M134" t="s">
        <v>672</v>
      </c>
      <c r="N134" t="s">
        <v>589</v>
      </c>
      <c r="O134" t="s">
        <v>718</v>
      </c>
      <c r="P134" t="s">
        <v>508</v>
      </c>
      <c r="Q134">
        <v>0</v>
      </c>
      <c r="R134" t="s">
        <v>480</v>
      </c>
    </row>
    <row r="135" spans="1:18" x14ac:dyDescent="0.3">
      <c r="A135" t="s">
        <v>562</v>
      </c>
      <c r="B135" t="s">
        <v>483</v>
      </c>
      <c r="C135" t="s">
        <v>396</v>
      </c>
      <c r="D135" t="s">
        <v>508</v>
      </c>
      <c r="E135" t="s">
        <v>397</v>
      </c>
      <c r="F135" t="s">
        <v>479</v>
      </c>
      <c r="G135" t="s">
        <v>390</v>
      </c>
      <c r="H135" t="s">
        <v>391</v>
      </c>
      <c r="I135" t="s">
        <v>535</v>
      </c>
      <c r="J135" t="s">
        <v>398</v>
      </c>
      <c r="K135" t="s">
        <v>397</v>
      </c>
      <c r="L135" t="s">
        <v>536</v>
      </c>
      <c r="M135" t="s">
        <v>527</v>
      </c>
      <c r="N135" t="s">
        <v>589</v>
      </c>
      <c r="O135" t="s">
        <v>719</v>
      </c>
      <c r="P135" t="s">
        <v>508</v>
      </c>
      <c r="Q135">
        <v>0</v>
      </c>
      <c r="R135" t="s">
        <v>480</v>
      </c>
    </row>
    <row r="136" spans="1:18" x14ac:dyDescent="0.3">
      <c r="A136" t="s">
        <v>562</v>
      </c>
      <c r="B136" t="s">
        <v>483</v>
      </c>
      <c r="C136" t="s">
        <v>396</v>
      </c>
      <c r="D136" t="s">
        <v>508</v>
      </c>
      <c r="E136" t="s">
        <v>397</v>
      </c>
      <c r="F136" t="s">
        <v>479</v>
      </c>
      <c r="G136" t="s">
        <v>390</v>
      </c>
      <c r="H136" t="s">
        <v>391</v>
      </c>
      <c r="I136" t="s">
        <v>535</v>
      </c>
      <c r="J136" t="s">
        <v>398</v>
      </c>
      <c r="K136" t="s">
        <v>397</v>
      </c>
      <c r="L136" t="s">
        <v>536</v>
      </c>
      <c r="M136" t="s">
        <v>527</v>
      </c>
      <c r="N136" t="s">
        <v>589</v>
      </c>
      <c r="O136" t="s">
        <v>720</v>
      </c>
      <c r="P136" t="s">
        <v>508</v>
      </c>
      <c r="Q136">
        <v>0</v>
      </c>
      <c r="R136" t="s">
        <v>480</v>
      </c>
    </row>
    <row r="137" spans="1:18" x14ac:dyDescent="0.3">
      <c r="A137" t="s">
        <v>562</v>
      </c>
      <c r="B137" t="s">
        <v>483</v>
      </c>
      <c r="C137" t="s">
        <v>396</v>
      </c>
      <c r="D137" t="s">
        <v>508</v>
      </c>
      <c r="E137" t="s">
        <v>397</v>
      </c>
      <c r="F137" t="s">
        <v>479</v>
      </c>
      <c r="G137" t="s">
        <v>390</v>
      </c>
      <c r="H137" t="s">
        <v>391</v>
      </c>
      <c r="I137" t="s">
        <v>535</v>
      </c>
      <c r="J137" t="s">
        <v>398</v>
      </c>
      <c r="K137" t="s">
        <v>397</v>
      </c>
      <c r="L137" t="s">
        <v>536</v>
      </c>
      <c r="M137" t="s">
        <v>672</v>
      </c>
      <c r="N137" t="s">
        <v>589</v>
      </c>
      <c r="O137" t="s">
        <v>721</v>
      </c>
      <c r="P137" t="s">
        <v>508</v>
      </c>
      <c r="Q137">
        <v>0</v>
      </c>
      <c r="R137" t="s">
        <v>480</v>
      </c>
    </row>
    <row r="138" spans="1:18" x14ac:dyDescent="0.3">
      <c r="A138" t="s">
        <v>562</v>
      </c>
      <c r="B138" t="s">
        <v>483</v>
      </c>
      <c r="C138" t="s">
        <v>396</v>
      </c>
      <c r="D138" t="s">
        <v>508</v>
      </c>
      <c r="E138" t="s">
        <v>397</v>
      </c>
      <c r="F138" t="s">
        <v>479</v>
      </c>
      <c r="G138" t="s">
        <v>494</v>
      </c>
      <c r="H138" t="s">
        <v>419</v>
      </c>
      <c r="I138" t="s">
        <v>430</v>
      </c>
      <c r="J138" t="s">
        <v>398</v>
      </c>
      <c r="K138" t="s">
        <v>397</v>
      </c>
      <c r="L138" t="s">
        <v>536</v>
      </c>
      <c r="M138" t="s">
        <v>533</v>
      </c>
      <c r="N138" t="s">
        <v>589</v>
      </c>
      <c r="O138" t="s">
        <v>722</v>
      </c>
      <c r="P138" t="s">
        <v>508</v>
      </c>
      <c r="Q138">
        <v>0</v>
      </c>
      <c r="R138" t="s">
        <v>480</v>
      </c>
    </row>
    <row r="139" spans="1:18" x14ac:dyDescent="0.3">
      <c r="A139" t="s">
        <v>562</v>
      </c>
      <c r="B139" t="s">
        <v>483</v>
      </c>
      <c r="C139" t="s">
        <v>396</v>
      </c>
      <c r="D139" t="s">
        <v>508</v>
      </c>
      <c r="E139" t="s">
        <v>397</v>
      </c>
      <c r="F139" t="s">
        <v>479</v>
      </c>
      <c r="G139" t="s">
        <v>390</v>
      </c>
      <c r="H139" t="s">
        <v>391</v>
      </c>
      <c r="I139" t="s">
        <v>535</v>
      </c>
      <c r="J139" t="s">
        <v>398</v>
      </c>
      <c r="K139" t="s">
        <v>397</v>
      </c>
      <c r="L139" t="s">
        <v>536</v>
      </c>
      <c r="M139" t="s">
        <v>527</v>
      </c>
      <c r="N139" t="s">
        <v>589</v>
      </c>
      <c r="O139" t="s">
        <v>723</v>
      </c>
      <c r="P139" t="s">
        <v>508</v>
      </c>
      <c r="Q139">
        <v>0</v>
      </c>
      <c r="R139" t="s">
        <v>480</v>
      </c>
    </row>
    <row r="140" spans="1:18" x14ac:dyDescent="0.3">
      <c r="A140" t="s">
        <v>562</v>
      </c>
      <c r="B140" t="s">
        <v>483</v>
      </c>
      <c r="C140" t="s">
        <v>396</v>
      </c>
      <c r="D140" t="s">
        <v>508</v>
      </c>
      <c r="E140" t="s">
        <v>397</v>
      </c>
      <c r="F140" t="s">
        <v>479</v>
      </c>
      <c r="G140" t="s">
        <v>390</v>
      </c>
      <c r="H140" t="s">
        <v>391</v>
      </c>
      <c r="I140" t="s">
        <v>535</v>
      </c>
      <c r="J140" t="s">
        <v>398</v>
      </c>
      <c r="K140" t="s">
        <v>397</v>
      </c>
      <c r="L140" t="s">
        <v>536</v>
      </c>
      <c r="M140" t="s">
        <v>672</v>
      </c>
      <c r="N140" t="s">
        <v>589</v>
      </c>
      <c r="O140" t="s">
        <v>724</v>
      </c>
      <c r="P140" t="s">
        <v>508</v>
      </c>
      <c r="Q140">
        <v>0</v>
      </c>
      <c r="R140" t="s">
        <v>480</v>
      </c>
    </row>
    <row r="141" spans="1:18" x14ac:dyDescent="0.3">
      <c r="A141" t="s">
        <v>562</v>
      </c>
      <c r="B141" t="s">
        <v>714</v>
      </c>
      <c r="C141" t="s">
        <v>478</v>
      </c>
      <c r="D141" t="s">
        <v>508</v>
      </c>
      <c r="E141" t="s">
        <v>547</v>
      </c>
      <c r="F141" t="s">
        <v>479</v>
      </c>
      <c r="G141" t="s">
        <v>394</v>
      </c>
      <c r="H141" t="s">
        <v>391</v>
      </c>
      <c r="I141" t="s">
        <v>548</v>
      </c>
      <c r="J141" t="s">
        <v>488</v>
      </c>
      <c r="K141" t="s">
        <v>547</v>
      </c>
      <c r="L141" t="s">
        <v>544</v>
      </c>
      <c r="M141" t="s">
        <v>529</v>
      </c>
      <c r="N141" t="s">
        <v>589</v>
      </c>
      <c r="O141" t="s">
        <v>725</v>
      </c>
      <c r="P141" t="s">
        <v>508</v>
      </c>
      <c r="Q141">
        <v>0</v>
      </c>
      <c r="R141" t="s">
        <v>480</v>
      </c>
    </row>
    <row r="142" spans="1:18" x14ac:dyDescent="0.3">
      <c r="A142" t="s">
        <v>562</v>
      </c>
      <c r="B142" t="s">
        <v>690</v>
      </c>
      <c r="C142" t="s">
        <v>478</v>
      </c>
      <c r="D142" t="s">
        <v>508</v>
      </c>
      <c r="E142" t="s">
        <v>493</v>
      </c>
      <c r="F142" t="s">
        <v>479</v>
      </c>
      <c r="G142" t="s">
        <v>394</v>
      </c>
      <c r="H142" t="s">
        <v>391</v>
      </c>
      <c r="I142" t="s">
        <v>514</v>
      </c>
      <c r="J142" t="s">
        <v>488</v>
      </c>
      <c r="K142" t="s">
        <v>493</v>
      </c>
      <c r="L142" t="s">
        <v>509</v>
      </c>
      <c r="M142" t="s">
        <v>530</v>
      </c>
      <c r="N142" t="s">
        <v>589</v>
      </c>
      <c r="O142" t="s">
        <v>726</v>
      </c>
      <c r="P142" t="s">
        <v>508</v>
      </c>
      <c r="Q142">
        <v>0</v>
      </c>
      <c r="R142" t="s">
        <v>480</v>
      </c>
    </row>
    <row r="143" spans="1:18" x14ac:dyDescent="0.3">
      <c r="A143" t="s">
        <v>562</v>
      </c>
      <c r="B143" t="s">
        <v>483</v>
      </c>
      <c r="C143" t="s">
        <v>396</v>
      </c>
      <c r="D143" t="s">
        <v>508</v>
      </c>
      <c r="E143" t="s">
        <v>397</v>
      </c>
      <c r="F143" t="s">
        <v>479</v>
      </c>
      <c r="G143" t="s">
        <v>390</v>
      </c>
      <c r="H143" t="s">
        <v>391</v>
      </c>
      <c r="I143" t="s">
        <v>535</v>
      </c>
      <c r="J143" t="s">
        <v>398</v>
      </c>
      <c r="K143" t="s">
        <v>397</v>
      </c>
      <c r="L143" t="s">
        <v>536</v>
      </c>
      <c r="M143" t="s">
        <v>527</v>
      </c>
      <c r="N143" t="s">
        <v>589</v>
      </c>
      <c r="O143" t="s">
        <v>727</v>
      </c>
      <c r="P143" t="s">
        <v>508</v>
      </c>
      <c r="Q143">
        <v>0</v>
      </c>
      <c r="R143" t="s">
        <v>480</v>
      </c>
    </row>
    <row r="144" spans="1:18" x14ac:dyDescent="0.3">
      <c r="A144" t="s">
        <v>562</v>
      </c>
      <c r="B144" t="s">
        <v>483</v>
      </c>
      <c r="C144" t="s">
        <v>396</v>
      </c>
      <c r="D144" t="s">
        <v>508</v>
      </c>
      <c r="E144" t="s">
        <v>397</v>
      </c>
      <c r="F144" t="s">
        <v>479</v>
      </c>
      <c r="G144" t="s">
        <v>494</v>
      </c>
      <c r="H144" t="s">
        <v>419</v>
      </c>
      <c r="I144" t="s">
        <v>430</v>
      </c>
      <c r="J144" t="s">
        <v>398</v>
      </c>
      <c r="K144" t="s">
        <v>397</v>
      </c>
      <c r="L144" t="s">
        <v>536</v>
      </c>
      <c r="M144" t="s">
        <v>533</v>
      </c>
      <c r="N144" t="s">
        <v>589</v>
      </c>
      <c r="O144" t="s">
        <v>728</v>
      </c>
      <c r="P144" t="s">
        <v>508</v>
      </c>
      <c r="Q144">
        <v>0</v>
      </c>
      <c r="R144" t="s">
        <v>480</v>
      </c>
    </row>
    <row r="145" spans="1:18" x14ac:dyDescent="0.3">
      <c r="A145" t="s">
        <v>562</v>
      </c>
      <c r="B145" t="s">
        <v>714</v>
      </c>
      <c r="C145" t="s">
        <v>478</v>
      </c>
      <c r="D145" t="s">
        <v>508</v>
      </c>
      <c r="E145" t="s">
        <v>547</v>
      </c>
      <c r="F145" t="s">
        <v>479</v>
      </c>
      <c r="G145" t="s">
        <v>394</v>
      </c>
      <c r="H145" t="s">
        <v>391</v>
      </c>
      <c r="I145" t="s">
        <v>548</v>
      </c>
      <c r="J145" t="s">
        <v>488</v>
      </c>
      <c r="K145" t="s">
        <v>547</v>
      </c>
      <c r="L145" t="s">
        <v>544</v>
      </c>
      <c r="M145" t="s">
        <v>530</v>
      </c>
      <c r="N145" t="s">
        <v>589</v>
      </c>
      <c r="O145" t="s">
        <v>729</v>
      </c>
      <c r="P145" t="s">
        <v>508</v>
      </c>
      <c r="Q145">
        <v>0</v>
      </c>
      <c r="R145" t="s">
        <v>480</v>
      </c>
    </row>
    <row r="146" spans="1:18" x14ac:dyDescent="0.3">
      <c r="A146" t="s">
        <v>562</v>
      </c>
      <c r="B146" t="s">
        <v>690</v>
      </c>
      <c r="C146" t="s">
        <v>478</v>
      </c>
      <c r="D146" t="s">
        <v>508</v>
      </c>
      <c r="E146" t="s">
        <v>493</v>
      </c>
      <c r="F146" t="s">
        <v>479</v>
      </c>
      <c r="G146" t="s">
        <v>394</v>
      </c>
      <c r="H146" t="s">
        <v>391</v>
      </c>
      <c r="I146" t="s">
        <v>514</v>
      </c>
      <c r="J146" t="s">
        <v>488</v>
      </c>
      <c r="K146" t="s">
        <v>493</v>
      </c>
      <c r="L146" t="s">
        <v>509</v>
      </c>
      <c r="M146" t="s">
        <v>531</v>
      </c>
      <c r="N146" t="s">
        <v>589</v>
      </c>
      <c r="O146" t="s">
        <v>730</v>
      </c>
      <c r="P146" t="s">
        <v>508</v>
      </c>
      <c r="Q146">
        <v>0</v>
      </c>
      <c r="R146" t="s">
        <v>480</v>
      </c>
    </row>
    <row r="147" spans="1:18" x14ac:dyDescent="0.3">
      <c r="A147" t="s">
        <v>562</v>
      </c>
      <c r="B147" t="s">
        <v>714</v>
      </c>
      <c r="C147" t="s">
        <v>478</v>
      </c>
      <c r="D147" t="s">
        <v>508</v>
      </c>
      <c r="E147" t="s">
        <v>547</v>
      </c>
      <c r="F147" t="s">
        <v>479</v>
      </c>
      <c r="G147" t="s">
        <v>394</v>
      </c>
      <c r="H147" t="s">
        <v>391</v>
      </c>
      <c r="I147" t="s">
        <v>548</v>
      </c>
      <c r="J147" t="s">
        <v>488</v>
      </c>
      <c r="K147" t="s">
        <v>547</v>
      </c>
      <c r="L147" t="s">
        <v>544</v>
      </c>
      <c r="M147" t="s">
        <v>529</v>
      </c>
      <c r="N147" t="s">
        <v>589</v>
      </c>
      <c r="O147" t="s">
        <v>731</v>
      </c>
      <c r="P147" t="s">
        <v>508</v>
      </c>
      <c r="Q147">
        <v>0</v>
      </c>
      <c r="R147" t="s">
        <v>480</v>
      </c>
    </row>
    <row r="148" spans="1:18" x14ac:dyDescent="0.3">
      <c r="A148" t="s">
        <v>562</v>
      </c>
      <c r="B148" t="s">
        <v>714</v>
      </c>
      <c r="C148" t="s">
        <v>478</v>
      </c>
      <c r="D148" t="s">
        <v>508</v>
      </c>
      <c r="E148" t="s">
        <v>547</v>
      </c>
      <c r="F148" t="s">
        <v>479</v>
      </c>
      <c r="G148" t="s">
        <v>394</v>
      </c>
      <c r="H148" t="s">
        <v>391</v>
      </c>
      <c r="I148" t="s">
        <v>548</v>
      </c>
      <c r="J148" t="s">
        <v>488</v>
      </c>
      <c r="K148" t="s">
        <v>547</v>
      </c>
      <c r="L148" t="s">
        <v>544</v>
      </c>
      <c r="M148" t="s">
        <v>530</v>
      </c>
      <c r="N148" t="s">
        <v>589</v>
      </c>
      <c r="O148" t="s">
        <v>732</v>
      </c>
      <c r="P148" t="s">
        <v>508</v>
      </c>
      <c r="Q148">
        <v>0</v>
      </c>
      <c r="R148" t="s">
        <v>480</v>
      </c>
    </row>
    <row r="149" spans="1:18" x14ac:dyDescent="0.3">
      <c r="A149" t="s">
        <v>625</v>
      </c>
      <c r="B149" t="s">
        <v>483</v>
      </c>
      <c r="C149" t="s">
        <v>396</v>
      </c>
      <c r="D149" t="s">
        <v>508</v>
      </c>
      <c r="E149" t="s">
        <v>397</v>
      </c>
      <c r="F149" t="s">
        <v>479</v>
      </c>
      <c r="G149" t="s">
        <v>390</v>
      </c>
      <c r="H149" t="s">
        <v>391</v>
      </c>
      <c r="I149" t="s">
        <v>535</v>
      </c>
      <c r="J149" t="s">
        <v>398</v>
      </c>
      <c r="K149" t="s">
        <v>397</v>
      </c>
      <c r="L149" t="s">
        <v>536</v>
      </c>
      <c r="M149" t="s">
        <v>527</v>
      </c>
      <c r="N149" t="s">
        <v>589</v>
      </c>
      <c r="O149" t="s">
        <v>733</v>
      </c>
      <c r="P149" t="s">
        <v>508</v>
      </c>
      <c r="Q149">
        <v>0</v>
      </c>
      <c r="R149" t="s">
        <v>480</v>
      </c>
    </row>
    <row r="150" spans="1:18" x14ac:dyDescent="0.3">
      <c r="A150" t="s">
        <v>562</v>
      </c>
      <c r="B150" t="s">
        <v>483</v>
      </c>
      <c r="C150" t="s">
        <v>396</v>
      </c>
      <c r="D150" t="s">
        <v>508</v>
      </c>
      <c r="E150" t="s">
        <v>397</v>
      </c>
      <c r="F150" t="s">
        <v>479</v>
      </c>
      <c r="G150" t="s">
        <v>494</v>
      </c>
      <c r="H150" t="s">
        <v>419</v>
      </c>
      <c r="I150" t="s">
        <v>430</v>
      </c>
      <c r="J150" t="s">
        <v>398</v>
      </c>
      <c r="K150" t="s">
        <v>397</v>
      </c>
      <c r="L150" t="s">
        <v>536</v>
      </c>
      <c r="M150" t="s">
        <v>534</v>
      </c>
      <c r="N150" t="s">
        <v>589</v>
      </c>
      <c r="O150" t="s">
        <v>734</v>
      </c>
      <c r="P150" t="s">
        <v>508</v>
      </c>
      <c r="Q150">
        <v>0</v>
      </c>
      <c r="R150" t="s">
        <v>480</v>
      </c>
    </row>
    <row r="151" spans="1:18" x14ac:dyDescent="0.3">
      <c r="A151" t="s">
        <v>562</v>
      </c>
      <c r="B151" t="s">
        <v>483</v>
      </c>
      <c r="C151" t="s">
        <v>396</v>
      </c>
      <c r="D151" t="s">
        <v>508</v>
      </c>
      <c r="E151" t="s">
        <v>397</v>
      </c>
      <c r="F151" t="s">
        <v>479</v>
      </c>
      <c r="G151" t="s">
        <v>390</v>
      </c>
      <c r="H151" t="s">
        <v>391</v>
      </c>
      <c r="I151" t="s">
        <v>535</v>
      </c>
      <c r="J151" t="s">
        <v>398</v>
      </c>
      <c r="K151" t="s">
        <v>397</v>
      </c>
      <c r="L151" t="s">
        <v>536</v>
      </c>
      <c r="M151" t="s">
        <v>672</v>
      </c>
      <c r="N151" t="s">
        <v>589</v>
      </c>
      <c r="O151" t="s">
        <v>735</v>
      </c>
      <c r="P151" t="s">
        <v>508</v>
      </c>
      <c r="Q151">
        <v>0</v>
      </c>
      <c r="R151" t="s">
        <v>480</v>
      </c>
    </row>
    <row r="152" spans="1:18" x14ac:dyDescent="0.3">
      <c r="A152" t="s">
        <v>562</v>
      </c>
      <c r="B152" t="s">
        <v>483</v>
      </c>
      <c r="C152" t="s">
        <v>396</v>
      </c>
      <c r="D152" t="s">
        <v>508</v>
      </c>
      <c r="E152" t="s">
        <v>397</v>
      </c>
      <c r="F152" t="s">
        <v>479</v>
      </c>
      <c r="G152" t="s">
        <v>390</v>
      </c>
      <c r="H152" t="s">
        <v>391</v>
      </c>
      <c r="I152" t="s">
        <v>535</v>
      </c>
      <c r="J152" t="s">
        <v>398</v>
      </c>
      <c r="K152" t="s">
        <v>397</v>
      </c>
      <c r="L152" t="s">
        <v>536</v>
      </c>
      <c r="M152" t="s">
        <v>527</v>
      </c>
      <c r="N152" t="s">
        <v>589</v>
      </c>
      <c r="O152" t="s">
        <v>736</v>
      </c>
      <c r="P152" t="s">
        <v>508</v>
      </c>
      <c r="Q152">
        <v>0</v>
      </c>
      <c r="R152" t="s">
        <v>480</v>
      </c>
    </row>
    <row r="153" spans="1:18" x14ac:dyDescent="0.3">
      <c r="A153" t="s">
        <v>562</v>
      </c>
      <c r="B153" t="s">
        <v>483</v>
      </c>
      <c r="C153" t="s">
        <v>396</v>
      </c>
      <c r="D153" t="s">
        <v>508</v>
      </c>
      <c r="E153" t="s">
        <v>397</v>
      </c>
      <c r="F153" t="s">
        <v>479</v>
      </c>
      <c r="G153" t="s">
        <v>390</v>
      </c>
      <c r="H153" t="s">
        <v>391</v>
      </c>
      <c r="I153" t="s">
        <v>535</v>
      </c>
      <c r="J153" t="s">
        <v>398</v>
      </c>
      <c r="K153" t="s">
        <v>397</v>
      </c>
      <c r="L153" t="s">
        <v>536</v>
      </c>
      <c r="M153" t="s">
        <v>527</v>
      </c>
      <c r="N153" t="s">
        <v>589</v>
      </c>
      <c r="O153" t="s">
        <v>737</v>
      </c>
      <c r="P153" t="s">
        <v>508</v>
      </c>
      <c r="Q153">
        <v>0</v>
      </c>
      <c r="R153" t="s">
        <v>480</v>
      </c>
    </row>
    <row r="154" spans="1:18" x14ac:dyDescent="0.3">
      <c r="A154" t="s">
        <v>562</v>
      </c>
      <c r="B154" t="s">
        <v>483</v>
      </c>
      <c r="C154" t="s">
        <v>396</v>
      </c>
      <c r="D154" t="s">
        <v>508</v>
      </c>
      <c r="E154" t="s">
        <v>397</v>
      </c>
      <c r="F154" t="s">
        <v>479</v>
      </c>
      <c r="G154" t="s">
        <v>390</v>
      </c>
      <c r="H154" t="s">
        <v>391</v>
      </c>
      <c r="I154" t="s">
        <v>535</v>
      </c>
      <c r="J154" t="s">
        <v>398</v>
      </c>
      <c r="K154" t="s">
        <v>397</v>
      </c>
      <c r="L154" t="s">
        <v>536</v>
      </c>
      <c r="M154" t="s">
        <v>672</v>
      </c>
      <c r="N154" t="s">
        <v>589</v>
      </c>
      <c r="O154" t="s">
        <v>738</v>
      </c>
      <c r="P154" t="s">
        <v>508</v>
      </c>
      <c r="Q154">
        <v>0</v>
      </c>
      <c r="R154" t="s">
        <v>480</v>
      </c>
    </row>
    <row r="155" spans="1:18" x14ac:dyDescent="0.3">
      <c r="A155" t="s">
        <v>562</v>
      </c>
      <c r="B155" t="s">
        <v>483</v>
      </c>
      <c r="C155" t="s">
        <v>396</v>
      </c>
      <c r="D155" t="s">
        <v>508</v>
      </c>
      <c r="E155" t="s">
        <v>397</v>
      </c>
      <c r="F155" t="s">
        <v>479</v>
      </c>
      <c r="G155" t="s">
        <v>390</v>
      </c>
      <c r="H155" t="s">
        <v>391</v>
      </c>
      <c r="I155" t="s">
        <v>535</v>
      </c>
      <c r="J155" t="s">
        <v>398</v>
      </c>
      <c r="K155" t="s">
        <v>397</v>
      </c>
      <c r="L155" t="s">
        <v>536</v>
      </c>
      <c r="M155" t="s">
        <v>672</v>
      </c>
      <c r="N155" t="s">
        <v>589</v>
      </c>
      <c r="O155" t="s">
        <v>739</v>
      </c>
      <c r="P155" t="s">
        <v>508</v>
      </c>
      <c r="Q155">
        <v>0</v>
      </c>
      <c r="R155" t="s">
        <v>480</v>
      </c>
    </row>
    <row r="156" spans="1:18" x14ac:dyDescent="0.3">
      <c r="A156" t="s">
        <v>625</v>
      </c>
      <c r="B156" t="s">
        <v>483</v>
      </c>
      <c r="C156" t="s">
        <v>478</v>
      </c>
      <c r="D156" t="s">
        <v>508</v>
      </c>
      <c r="E156" t="s">
        <v>547</v>
      </c>
      <c r="F156" t="s">
        <v>479</v>
      </c>
      <c r="G156" t="s">
        <v>394</v>
      </c>
      <c r="H156" t="s">
        <v>391</v>
      </c>
      <c r="I156" t="s">
        <v>548</v>
      </c>
      <c r="J156" t="s">
        <v>488</v>
      </c>
      <c r="K156" t="s">
        <v>547</v>
      </c>
      <c r="L156" t="s">
        <v>544</v>
      </c>
      <c r="M156" t="s">
        <v>530</v>
      </c>
      <c r="N156" t="s">
        <v>589</v>
      </c>
      <c r="O156" t="s">
        <v>740</v>
      </c>
      <c r="P156" t="s">
        <v>508</v>
      </c>
      <c r="Q156">
        <v>0</v>
      </c>
      <c r="R156" t="s">
        <v>480</v>
      </c>
    </row>
    <row r="157" spans="1:18" x14ac:dyDescent="0.3">
      <c r="A157" t="s">
        <v>625</v>
      </c>
      <c r="B157" t="s">
        <v>483</v>
      </c>
      <c r="C157" t="s">
        <v>478</v>
      </c>
      <c r="D157" t="s">
        <v>508</v>
      </c>
      <c r="E157" t="s">
        <v>547</v>
      </c>
      <c r="F157" t="s">
        <v>479</v>
      </c>
      <c r="G157" t="s">
        <v>394</v>
      </c>
      <c r="H157" t="s">
        <v>391</v>
      </c>
      <c r="I157" t="s">
        <v>548</v>
      </c>
      <c r="J157" t="s">
        <v>488</v>
      </c>
      <c r="K157" t="s">
        <v>547</v>
      </c>
      <c r="L157" t="s">
        <v>544</v>
      </c>
      <c r="M157" t="s">
        <v>530</v>
      </c>
      <c r="N157" t="s">
        <v>589</v>
      </c>
      <c r="O157" t="s">
        <v>741</v>
      </c>
      <c r="P157" t="s">
        <v>508</v>
      </c>
      <c r="Q157">
        <v>0</v>
      </c>
      <c r="R157" t="s">
        <v>480</v>
      </c>
    </row>
    <row r="158" spans="1:18" x14ac:dyDescent="0.3">
      <c r="A158" t="s">
        <v>625</v>
      </c>
      <c r="B158" t="s">
        <v>483</v>
      </c>
      <c r="C158" t="s">
        <v>478</v>
      </c>
      <c r="D158" t="s">
        <v>508</v>
      </c>
      <c r="E158" t="s">
        <v>547</v>
      </c>
      <c r="F158" t="s">
        <v>479</v>
      </c>
      <c r="G158" t="s">
        <v>394</v>
      </c>
      <c r="H158" t="s">
        <v>391</v>
      </c>
      <c r="I158" t="s">
        <v>548</v>
      </c>
      <c r="J158" t="s">
        <v>488</v>
      </c>
      <c r="K158" t="s">
        <v>547</v>
      </c>
      <c r="L158" t="s">
        <v>544</v>
      </c>
      <c r="M158" t="s">
        <v>529</v>
      </c>
      <c r="N158" t="s">
        <v>589</v>
      </c>
      <c r="O158" t="s">
        <v>742</v>
      </c>
      <c r="P158" t="s">
        <v>508</v>
      </c>
      <c r="Q158">
        <v>0</v>
      </c>
      <c r="R158" t="s">
        <v>480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119ED-7985-4E3C-A6BA-5C7D9C973C27}">
  <sheetPr codeName="Sheet4"/>
  <dimension ref="A1:C181"/>
  <sheetViews>
    <sheetView workbookViewId="0">
      <selection activeCell="C76" sqref="C76"/>
    </sheetView>
  </sheetViews>
  <sheetFormatPr defaultRowHeight="14.4" x14ac:dyDescent="0.3"/>
  <cols>
    <col min="1" max="1" width="12.6640625" style="2" bestFit="1" customWidth="1"/>
    <col min="2" max="2" width="15.6640625" bestFit="1" customWidth="1"/>
    <col min="3" max="3" width="45.33203125" bestFit="1" customWidth="1"/>
  </cols>
  <sheetData>
    <row r="1" spans="1:3" x14ac:dyDescent="0.3">
      <c r="A1" s="1" t="s">
        <v>2</v>
      </c>
      <c r="B1" t="s">
        <v>3</v>
      </c>
      <c r="C1" t="s">
        <v>4</v>
      </c>
    </row>
    <row r="2" spans="1:3" hidden="1" x14ac:dyDescent="0.3">
      <c r="A2" s="1">
        <v>59</v>
      </c>
      <c r="B2" t="s">
        <v>5</v>
      </c>
      <c r="C2" t="s">
        <v>6</v>
      </c>
    </row>
    <row r="3" spans="1:3" hidden="1" x14ac:dyDescent="0.3">
      <c r="A3" s="1">
        <v>60</v>
      </c>
      <c r="B3" t="s">
        <v>7</v>
      </c>
      <c r="C3" t="s">
        <v>8</v>
      </c>
    </row>
    <row r="4" spans="1:3" hidden="1" x14ac:dyDescent="0.3">
      <c r="A4" s="1">
        <v>61</v>
      </c>
      <c r="B4" t="s">
        <v>9</v>
      </c>
      <c r="C4" t="s">
        <v>10</v>
      </c>
    </row>
    <row r="5" spans="1:3" hidden="1" x14ac:dyDescent="0.3">
      <c r="A5" s="1">
        <v>62</v>
      </c>
      <c r="B5" t="s">
        <v>11</v>
      </c>
      <c r="C5" t="s">
        <v>12</v>
      </c>
    </row>
    <row r="6" spans="1:3" hidden="1" x14ac:dyDescent="0.3">
      <c r="A6" s="1">
        <v>63</v>
      </c>
      <c r="B6" t="s">
        <v>13</v>
      </c>
      <c r="C6" t="s">
        <v>14</v>
      </c>
    </row>
    <row r="7" spans="1:3" hidden="1" x14ac:dyDescent="0.3">
      <c r="A7" s="1">
        <v>64</v>
      </c>
      <c r="B7" t="s">
        <v>15</v>
      </c>
      <c r="C7" t="s">
        <v>16</v>
      </c>
    </row>
    <row r="8" spans="1:3" hidden="1" x14ac:dyDescent="0.3">
      <c r="A8" s="1">
        <v>65</v>
      </c>
      <c r="B8" t="s">
        <v>17</v>
      </c>
      <c r="C8" t="s">
        <v>18</v>
      </c>
    </row>
    <row r="9" spans="1:3" x14ac:dyDescent="0.3">
      <c r="A9" s="1">
        <v>66</v>
      </c>
      <c r="B9" t="s">
        <v>19</v>
      </c>
      <c r="C9" t="s">
        <v>20</v>
      </c>
    </row>
    <row r="10" spans="1:3" x14ac:dyDescent="0.3">
      <c r="A10" s="1">
        <v>67</v>
      </c>
      <c r="B10" t="s">
        <v>21</v>
      </c>
      <c r="C10" t="s">
        <v>22</v>
      </c>
    </row>
    <row r="11" spans="1:3" x14ac:dyDescent="0.3">
      <c r="A11" s="1">
        <v>68</v>
      </c>
      <c r="B11" t="s">
        <v>23</v>
      </c>
      <c r="C11" t="s">
        <v>24</v>
      </c>
    </row>
    <row r="12" spans="1:3" hidden="1" x14ac:dyDescent="0.3">
      <c r="A12" s="1">
        <v>69</v>
      </c>
      <c r="B12" t="s">
        <v>25</v>
      </c>
      <c r="C12" t="s">
        <v>26</v>
      </c>
    </row>
    <row r="13" spans="1:3" x14ac:dyDescent="0.3">
      <c r="A13" s="1">
        <v>70</v>
      </c>
      <c r="B13" t="s">
        <v>27</v>
      </c>
      <c r="C13" t="s">
        <v>28</v>
      </c>
    </row>
    <row r="14" spans="1:3" x14ac:dyDescent="0.3">
      <c r="A14" s="1">
        <v>71</v>
      </c>
      <c r="B14" t="s">
        <v>29</v>
      </c>
      <c r="C14" t="s">
        <v>30</v>
      </c>
    </row>
    <row r="15" spans="1:3" x14ac:dyDescent="0.3">
      <c r="A15" s="3">
        <v>72</v>
      </c>
      <c r="B15" s="4" t="s">
        <v>1</v>
      </c>
      <c r="C15" s="4" t="s">
        <v>31</v>
      </c>
    </row>
    <row r="16" spans="1:3" x14ac:dyDescent="0.3">
      <c r="A16" s="1">
        <v>73</v>
      </c>
      <c r="B16" t="s">
        <v>32</v>
      </c>
      <c r="C16" t="s">
        <v>33</v>
      </c>
    </row>
    <row r="17" spans="1:3" x14ac:dyDescent="0.3">
      <c r="A17" s="1">
        <v>74</v>
      </c>
      <c r="B17" t="s">
        <v>34</v>
      </c>
      <c r="C17" t="s">
        <v>35</v>
      </c>
    </row>
    <row r="18" spans="1:3" x14ac:dyDescent="0.3">
      <c r="A18" s="1">
        <v>75</v>
      </c>
      <c r="B18" t="s">
        <v>36</v>
      </c>
      <c r="C18" t="s">
        <v>37</v>
      </c>
    </row>
    <row r="19" spans="1:3" x14ac:dyDescent="0.3">
      <c r="A19" s="1">
        <v>76</v>
      </c>
      <c r="B19" t="s">
        <v>38</v>
      </c>
      <c r="C19" t="s">
        <v>39</v>
      </c>
    </row>
    <row r="20" spans="1:3" x14ac:dyDescent="0.3">
      <c r="A20" s="1">
        <v>77</v>
      </c>
      <c r="B20" t="s">
        <v>40</v>
      </c>
      <c r="C20" t="s">
        <v>41</v>
      </c>
    </row>
    <row r="21" spans="1:3" x14ac:dyDescent="0.3">
      <c r="A21" s="1">
        <v>78</v>
      </c>
      <c r="B21" t="s">
        <v>42</v>
      </c>
      <c r="C21" t="s">
        <v>43</v>
      </c>
    </row>
    <row r="22" spans="1:3" x14ac:dyDescent="0.3">
      <c r="A22" s="1">
        <v>79</v>
      </c>
      <c r="B22" t="s">
        <v>44</v>
      </c>
      <c r="C22" t="s">
        <v>45</v>
      </c>
    </row>
    <row r="23" spans="1:3" x14ac:dyDescent="0.3">
      <c r="A23" s="1">
        <v>80</v>
      </c>
      <c r="B23" t="s">
        <v>46</v>
      </c>
      <c r="C23" t="s">
        <v>47</v>
      </c>
    </row>
    <row r="24" spans="1:3" x14ac:dyDescent="0.3">
      <c r="A24" s="1">
        <v>81</v>
      </c>
      <c r="B24" t="s">
        <v>48</v>
      </c>
      <c r="C24" t="s">
        <v>49</v>
      </c>
    </row>
    <row r="25" spans="1:3" x14ac:dyDescent="0.3">
      <c r="A25" s="1">
        <v>82</v>
      </c>
      <c r="B25" t="s">
        <v>50</v>
      </c>
      <c r="C25" t="s">
        <v>51</v>
      </c>
    </row>
    <row r="26" spans="1:3" x14ac:dyDescent="0.3">
      <c r="A26" s="1">
        <v>83</v>
      </c>
      <c r="B26" t="s">
        <v>52</v>
      </c>
      <c r="C26" t="s">
        <v>53</v>
      </c>
    </row>
    <row r="27" spans="1:3" x14ac:dyDescent="0.3">
      <c r="A27" s="1">
        <v>84</v>
      </c>
      <c r="B27" t="s">
        <v>54</v>
      </c>
      <c r="C27" t="s">
        <v>55</v>
      </c>
    </row>
    <row r="28" spans="1:3" x14ac:dyDescent="0.3">
      <c r="A28" s="1">
        <v>85</v>
      </c>
      <c r="B28" t="s">
        <v>56</v>
      </c>
      <c r="C28" t="s">
        <v>57</v>
      </c>
    </row>
    <row r="29" spans="1:3" x14ac:dyDescent="0.3">
      <c r="A29" s="1">
        <v>86</v>
      </c>
      <c r="B29" t="s">
        <v>58</v>
      </c>
      <c r="C29" t="s">
        <v>59</v>
      </c>
    </row>
    <row r="30" spans="1:3" x14ac:dyDescent="0.3">
      <c r="A30" s="1">
        <v>87</v>
      </c>
      <c r="B30" t="s">
        <v>60</v>
      </c>
      <c r="C30" t="s">
        <v>61</v>
      </c>
    </row>
    <row r="31" spans="1:3" x14ac:dyDescent="0.3">
      <c r="A31" s="1">
        <v>88</v>
      </c>
      <c r="B31" t="s">
        <v>62</v>
      </c>
      <c r="C31" t="s">
        <v>63</v>
      </c>
    </row>
    <row r="32" spans="1:3" x14ac:dyDescent="0.3">
      <c r="A32" s="1">
        <v>89</v>
      </c>
      <c r="B32" t="s">
        <v>64</v>
      </c>
      <c r="C32" t="s">
        <v>65</v>
      </c>
    </row>
    <row r="33" spans="1:3" x14ac:dyDescent="0.3">
      <c r="A33" s="1">
        <v>90</v>
      </c>
      <c r="B33" t="s">
        <v>66</v>
      </c>
      <c r="C33" t="s">
        <v>67</v>
      </c>
    </row>
    <row r="34" spans="1:3" x14ac:dyDescent="0.3">
      <c r="A34" s="1">
        <v>91</v>
      </c>
      <c r="B34" t="s">
        <v>68</v>
      </c>
      <c r="C34" t="s">
        <v>69</v>
      </c>
    </row>
    <row r="35" spans="1:3" x14ac:dyDescent="0.3">
      <c r="A35" s="1">
        <v>92</v>
      </c>
      <c r="B35" t="s">
        <v>70</v>
      </c>
      <c r="C35" t="s">
        <v>71</v>
      </c>
    </row>
    <row r="36" spans="1:3" x14ac:dyDescent="0.3">
      <c r="A36" s="1">
        <v>93</v>
      </c>
      <c r="B36" t="s">
        <v>72</v>
      </c>
      <c r="C36" t="s">
        <v>73</v>
      </c>
    </row>
    <row r="37" spans="1:3" x14ac:dyDescent="0.3">
      <c r="A37" s="1">
        <v>94</v>
      </c>
      <c r="B37" t="s">
        <v>74</v>
      </c>
      <c r="C37" t="s">
        <v>75</v>
      </c>
    </row>
    <row r="38" spans="1:3" x14ac:dyDescent="0.3">
      <c r="A38" s="1">
        <v>95</v>
      </c>
      <c r="B38" t="s">
        <v>76</v>
      </c>
      <c r="C38" t="s">
        <v>77</v>
      </c>
    </row>
    <row r="39" spans="1:3" x14ac:dyDescent="0.3">
      <c r="A39" s="1">
        <v>96</v>
      </c>
      <c r="B39" t="s">
        <v>78</v>
      </c>
      <c r="C39" t="s">
        <v>79</v>
      </c>
    </row>
    <row r="40" spans="1:3" x14ac:dyDescent="0.3">
      <c r="A40" s="1">
        <v>97</v>
      </c>
      <c r="B40" t="s">
        <v>80</v>
      </c>
      <c r="C40" t="s">
        <v>81</v>
      </c>
    </row>
    <row r="41" spans="1:3" x14ac:dyDescent="0.3">
      <c r="A41" s="1">
        <v>98</v>
      </c>
      <c r="B41" t="s">
        <v>82</v>
      </c>
      <c r="C41" t="s">
        <v>83</v>
      </c>
    </row>
    <row r="42" spans="1:3" x14ac:dyDescent="0.3">
      <c r="A42" s="1">
        <v>99</v>
      </c>
      <c r="B42" t="s">
        <v>84</v>
      </c>
      <c r="C42" t="s">
        <v>85</v>
      </c>
    </row>
    <row r="43" spans="1:3" x14ac:dyDescent="0.3">
      <c r="A43" s="1">
        <v>100</v>
      </c>
      <c r="B43" t="s">
        <v>86</v>
      </c>
      <c r="C43" t="s">
        <v>87</v>
      </c>
    </row>
    <row r="44" spans="1:3" x14ac:dyDescent="0.3">
      <c r="A44" s="1">
        <v>101</v>
      </c>
      <c r="B44" t="s">
        <v>88</v>
      </c>
      <c r="C44" t="s">
        <v>89</v>
      </c>
    </row>
    <row r="45" spans="1:3" x14ac:dyDescent="0.3">
      <c r="A45" s="1">
        <v>102</v>
      </c>
      <c r="B45" t="s">
        <v>90</v>
      </c>
      <c r="C45" t="s">
        <v>91</v>
      </c>
    </row>
    <row r="46" spans="1:3" x14ac:dyDescent="0.3">
      <c r="A46" s="1">
        <v>103</v>
      </c>
      <c r="B46" t="s">
        <v>92</v>
      </c>
      <c r="C46" t="s">
        <v>93</v>
      </c>
    </row>
    <row r="47" spans="1:3" x14ac:dyDescent="0.3">
      <c r="A47" s="1">
        <v>104</v>
      </c>
      <c r="B47" t="s">
        <v>94</v>
      </c>
      <c r="C47" t="s">
        <v>95</v>
      </c>
    </row>
    <row r="48" spans="1:3" x14ac:dyDescent="0.3">
      <c r="A48" s="1">
        <v>105</v>
      </c>
      <c r="B48" t="s">
        <v>96</v>
      </c>
      <c r="C48" t="s">
        <v>97</v>
      </c>
    </row>
    <row r="49" spans="1:3" x14ac:dyDescent="0.3">
      <c r="A49" s="1">
        <v>106</v>
      </c>
      <c r="B49" t="s">
        <v>98</v>
      </c>
      <c r="C49" t="s">
        <v>99</v>
      </c>
    </row>
    <row r="50" spans="1:3" x14ac:dyDescent="0.3">
      <c r="A50" s="1">
        <v>107</v>
      </c>
      <c r="B50" t="s">
        <v>100</v>
      </c>
      <c r="C50" t="s">
        <v>101</v>
      </c>
    </row>
    <row r="51" spans="1:3" x14ac:dyDescent="0.3">
      <c r="A51" s="1">
        <v>108</v>
      </c>
      <c r="B51" t="s">
        <v>102</v>
      </c>
      <c r="C51" t="s">
        <v>103</v>
      </c>
    </row>
    <row r="52" spans="1:3" x14ac:dyDescent="0.3">
      <c r="A52" s="1">
        <v>109</v>
      </c>
      <c r="B52" t="s">
        <v>104</v>
      </c>
      <c r="C52" t="s">
        <v>105</v>
      </c>
    </row>
    <row r="53" spans="1:3" x14ac:dyDescent="0.3">
      <c r="A53" s="1">
        <v>110</v>
      </c>
      <c r="B53" t="s">
        <v>106</v>
      </c>
      <c r="C53" t="s">
        <v>107</v>
      </c>
    </row>
    <row r="54" spans="1:3" x14ac:dyDescent="0.3">
      <c r="A54" s="1">
        <v>111</v>
      </c>
      <c r="B54" t="s">
        <v>108</v>
      </c>
      <c r="C54" t="s">
        <v>109</v>
      </c>
    </row>
    <row r="55" spans="1:3" x14ac:dyDescent="0.3">
      <c r="A55" s="1">
        <v>112</v>
      </c>
      <c r="B55" t="s">
        <v>110</v>
      </c>
      <c r="C55" t="s">
        <v>111</v>
      </c>
    </row>
    <row r="56" spans="1:3" x14ac:dyDescent="0.3">
      <c r="A56" s="1">
        <v>113</v>
      </c>
      <c r="B56" t="s">
        <v>112</v>
      </c>
      <c r="C56" t="s">
        <v>113</v>
      </c>
    </row>
    <row r="57" spans="1:3" hidden="1" x14ac:dyDescent="0.3">
      <c r="A57" s="1">
        <v>114</v>
      </c>
      <c r="B57" t="s">
        <v>114</v>
      </c>
      <c r="C57" t="s">
        <v>115</v>
      </c>
    </row>
    <row r="58" spans="1:3" x14ac:dyDescent="0.3">
      <c r="A58" s="1">
        <v>117</v>
      </c>
      <c r="B58" t="s">
        <v>116</v>
      </c>
      <c r="C58" t="s">
        <v>117</v>
      </c>
    </row>
    <row r="59" spans="1:3" x14ac:dyDescent="0.3">
      <c r="A59" s="1">
        <v>119</v>
      </c>
      <c r="B59" t="s">
        <v>118</v>
      </c>
      <c r="C59" t="s">
        <v>119</v>
      </c>
    </row>
    <row r="60" spans="1:3" x14ac:dyDescent="0.3">
      <c r="A60" s="3">
        <v>120</v>
      </c>
      <c r="B60" s="4" t="s">
        <v>120</v>
      </c>
      <c r="C60" s="4" t="s">
        <v>121</v>
      </c>
    </row>
    <row r="61" spans="1:3" x14ac:dyDescent="0.3">
      <c r="A61" s="1">
        <v>121</v>
      </c>
      <c r="B61" t="s">
        <v>122</v>
      </c>
      <c r="C61" t="s">
        <v>123</v>
      </c>
    </row>
    <row r="62" spans="1:3" x14ac:dyDescent="0.3">
      <c r="A62" s="1">
        <v>122</v>
      </c>
      <c r="B62" t="s">
        <v>124</v>
      </c>
      <c r="C62" t="s">
        <v>125</v>
      </c>
    </row>
    <row r="63" spans="1:3" x14ac:dyDescent="0.3">
      <c r="A63" s="1">
        <v>123</v>
      </c>
      <c r="B63" t="s">
        <v>126</v>
      </c>
      <c r="C63" t="s">
        <v>127</v>
      </c>
    </row>
    <row r="64" spans="1:3" x14ac:dyDescent="0.3">
      <c r="A64" s="1">
        <v>124</v>
      </c>
      <c r="B64" t="s">
        <v>128</v>
      </c>
      <c r="C64" t="s">
        <v>129</v>
      </c>
    </row>
    <row r="65" spans="1:3" x14ac:dyDescent="0.3">
      <c r="A65" s="1">
        <v>125</v>
      </c>
      <c r="B65" t="s">
        <v>130</v>
      </c>
      <c r="C65" t="s">
        <v>131</v>
      </c>
    </row>
    <row r="66" spans="1:3" x14ac:dyDescent="0.3">
      <c r="A66" s="1">
        <v>126</v>
      </c>
      <c r="B66" t="s">
        <v>132</v>
      </c>
      <c r="C66" t="s">
        <v>133</v>
      </c>
    </row>
    <row r="67" spans="1:3" x14ac:dyDescent="0.3">
      <c r="A67" s="1">
        <v>127</v>
      </c>
      <c r="B67" t="s">
        <v>134</v>
      </c>
      <c r="C67" t="s">
        <v>135</v>
      </c>
    </row>
    <row r="68" spans="1:3" x14ac:dyDescent="0.3">
      <c r="A68" s="1">
        <v>128</v>
      </c>
      <c r="B68" t="s">
        <v>136</v>
      </c>
      <c r="C68" t="s">
        <v>137</v>
      </c>
    </row>
    <row r="69" spans="1:3" x14ac:dyDescent="0.3">
      <c r="A69" s="1">
        <v>129</v>
      </c>
      <c r="B69" t="s">
        <v>138</v>
      </c>
      <c r="C69" t="s">
        <v>139</v>
      </c>
    </row>
    <row r="70" spans="1:3" x14ac:dyDescent="0.3">
      <c r="A70" s="1">
        <v>130</v>
      </c>
      <c r="B70" t="s">
        <v>140</v>
      </c>
      <c r="C70" t="s">
        <v>141</v>
      </c>
    </row>
    <row r="71" spans="1:3" hidden="1" x14ac:dyDescent="0.3">
      <c r="A71" s="1">
        <v>131</v>
      </c>
      <c r="B71" t="s">
        <v>142</v>
      </c>
      <c r="C71" t="s">
        <v>143</v>
      </c>
    </row>
    <row r="72" spans="1:3" x14ac:dyDescent="0.3">
      <c r="A72" s="1">
        <v>132</v>
      </c>
      <c r="B72" t="s">
        <v>144</v>
      </c>
      <c r="C72" t="s">
        <v>145</v>
      </c>
    </row>
    <row r="73" spans="1:3" x14ac:dyDescent="0.3">
      <c r="A73" s="1">
        <v>133</v>
      </c>
      <c r="B73" t="s">
        <v>146</v>
      </c>
      <c r="C73" t="s">
        <v>147</v>
      </c>
    </row>
    <row r="74" spans="1:3" x14ac:dyDescent="0.3">
      <c r="A74" s="1">
        <v>134</v>
      </c>
      <c r="B74" t="s">
        <v>148</v>
      </c>
      <c r="C74" t="s">
        <v>149</v>
      </c>
    </row>
    <row r="75" spans="1:3" x14ac:dyDescent="0.3">
      <c r="A75" s="1">
        <v>135</v>
      </c>
      <c r="B75" t="s">
        <v>150</v>
      </c>
      <c r="C75" t="s">
        <v>151</v>
      </c>
    </row>
    <row r="76" spans="1:3" x14ac:dyDescent="0.3">
      <c r="A76" s="1">
        <v>136</v>
      </c>
      <c r="B76" t="s">
        <v>152</v>
      </c>
      <c r="C76" t="s">
        <v>153</v>
      </c>
    </row>
    <row r="77" spans="1:3" x14ac:dyDescent="0.3">
      <c r="A77" s="1">
        <v>137</v>
      </c>
      <c r="B77" t="s">
        <v>154</v>
      </c>
      <c r="C77" t="s">
        <v>155</v>
      </c>
    </row>
    <row r="78" spans="1:3" x14ac:dyDescent="0.3">
      <c r="A78" s="1">
        <v>138</v>
      </c>
      <c r="B78" t="s">
        <v>156</v>
      </c>
      <c r="C78" t="s">
        <v>157</v>
      </c>
    </row>
    <row r="79" spans="1:3" x14ac:dyDescent="0.3">
      <c r="A79" s="1">
        <v>139</v>
      </c>
      <c r="B79" t="s">
        <v>158</v>
      </c>
      <c r="C79" t="s">
        <v>159</v>
      </c>
    </row>
    <row r="80" spans="1:3" x14ac:dyDescent="0.3">
      <c r="A80" s="1">
        <v>140</v>
      </c>
      <c r="B80" t="s">
        <v>160</v>
      </c>
      <c r="C80" t="s">
        <v>161</v>
      </c>
    </row>
    <row r="81" spans="1:3" x14ac:dyDescent="0.3">
      <c r="A81" s="1">
        <v>141</v>
      </c>
      <c r="B81" t="s">
        <v>162</v>
      </c>
      <c r="C81" t="s">
        <v>163</v>
      </c>
    </row>
    <row r="82" spans="1:3" x14ac:dyDescent="0.3">
      <c r="A82" s="1">
        <v>142</v>
      </c>
      <c r="B82" t="s">
        <v>164</v>
      </c>
      <c r="C82" t="s">
        <v>165</v>
      </c>
    </row>
    <row r="83" spans="1:3" x14ac:dyDescent="0.3">
      <c r="A83" s="1">
        <v>143</v>
      </c>
      <c r="B83" t="s">
        <v>166</v>
      </c>
      <c r="C83" t="s">
        <v>167</v>
      </c>
    </row>
    <row r="84" spans="1:3" x14ac:dyDescent="0.3">
      <c r="A84" s="1">
        <v>144</v>
      </c>
      <c r="B84" t="s">
        <v>168</v>
      </c>
      <c r="C84" t="s">
        <v>169</v>
      </c>
    </row>
    <row r="85" spans="1:3" x14ac:dyDescent="0.3">
      <c r="A85" s="1">
        <v>145</v>
      </c>
      <c r="B85" t="s">
        <v>170</v>
      </c>
      <c r="C85" t="s">
        <v>171</v>
      </c>
    </row>
    <row r="86" spans="1:3" x14ac:dyDescent="0.3">
      <c r="A86" s="1">
        <v>146</v>
      </c>
      <c r="B86" t="s">
        <v>172</v>
      </c>
      <c r="C86" t="s">
        <v>173</v>
      </c>
    </row>
    <row r="87" spans="1:3" x14ac:dyDescent="0.3">
      <c r="A87" s="1">
        <v>147</v>
      </c>
      <c r="B87" t="s">
        <v>174</v>
      </c>
      <c r="C87" t="s">
        <v>175</v>
      </c>
    </row>
    <row r="88" spans="1:3" x14ac:dyDescent="0.3">
      <c r="A88" s="1">
        <v>148</v>
      </c>
      <c r="B88" t="s">
        <v>176</v>
      </c>
      <c r="C88" t="s">
        <v>177</v>
      </c>
    </row>
    <row r="89" spans="1:3" x14ac:dyDescent="0.3">
      <c r="A89" s="1">
        <v>149</v>
      </c>
      <c r="B89" t="s">
        <v>178</v>
      </c>
      <c r="C89" t="s">
        <v>179</v>
      </c>
    </row>
    <row r="90" spans="1:3" x14ac:dyDescent="0.3">
      <c r="A90" s="1">
        <v>150</v>
      </c>
      <c r="B90" t="s">
        <v>180</v>
      </c>
      <c r="C90" t="s">
        <v>181</v>
      </c>
    </row>
    <row r="91" spans="1:3" x14ac:dyDescent="0.3">
      <c r="A91" s="1">
        <v>151</v>
      </c>
      <c r="B91" t="s">
        <v>182</v>
      </c>
      <c r="C91" t="s">
        <v>183</v>
      </c>
    </row>
    <row r="92" spans="1:3" x14ac:dyDescent="0.3">
      <c r="A92" s="1">
        <v>152</v>
      </c>
      <c r="B92" t="s">
        <v>184</v>
      </c>
      <c r="C92" t="s">
        <v>185</v>
      </c>
    </row>
    <row r="93" spans="1:3" x14ac:dyDescent="0.3">
      <c r="A93" s="1">
        <v>153</v>
      </c>
      <c r="B93" t="s">
        <v>186</v>
      </c>
      <c r="C93" t="s">
        <v>187</v>
      </c>
    </row>
    <row r="94" spans="1:3" x14ac:dyDescent="0.3">
      <c r="A94" s="1">
        <v>154</v>
      </c>
      <c r="B94" t="s">
        <v>188</v>
      </c>
      <c r="C94" t="s">
        <v>189</v>
      </c>
    </row>
    <row r="95" spans="1:3" x14ac:dyDescent="0.3">
      <c r="A95" s="1">
        <v>155</v>
      </c>
      <c r="B95" t="s">
        <v>190</v>
      </c>
      <c r="C95" t="s">
        <v>191</v>
      </c>
    </row>
    <row r="96" spans="1:3" x14ac:dyDescent="0.3">
      <c r="A96" s="1">
        <v>156</v>
      </c>
      <c r="B96" t="s">
        <v>192</v>
      </c>
      <c r="C96" t="s">
        <v>193</v>
      </c>
    </row>
    <row r="97" spans="1:3" x14ac:dyDescent="0.3">
      <c r="A97" s="1">
        <v>157</v>
      </c>
      <c r="B97" t="s">
        <v>194</v>
      </c>
      <c r="C97" t="s">
        <v>195</v>
      </c>
    </row>
    <row r="98" spans="1:3" x14ac:dyDescent="0.3">
      <c r="A98" s="1">
        <v>158</v>
      </c>
      <c r="B98" t="s">
        <v>196</v>
      </c>
      <c r="C98" t="s">
        <v>197</v>
      </c>
    </row>
    <row r="99" spans="1:3" x14ac:dyDescent="0.3">
      <c r="A99" s="1">
        <v>159</v>
      </c>
      <c r="B99" t="s">
        <v>198</v>
      </c>
      <c r="C99" t="s">
        <v>199</v>
      </c>
    </row>
    <row r="100" spans="1:3" x14ac:dyDescent="0.3">
      <c r="A100" s="1">
        <v>160</v>
      </c>
      <c r="B100" t="s">
        <v>200</v>
      </c>
      <c r="C100" t="s">
        <v>201</v>
      </c>
    </row>
    <row r="101" spans="1:3" x14ac:dyDescent="0.3">
      <c r="A101" s="1">
        <v>161</v>
      </c>
      <c r="B101" t="s">
        <v>202</v>
      </c>
      <c r="C101" t="s">
        <v>203</v>
      </c>
    </row>
    <row r="102" spans="1:3" x14ac:dyDescent="0.3">
      <c r="A102" s="1">
        <v>162</v>
      </c>
      <c r="B102" t="s">
        <v>204</v>
      </c>
      <c r="C102" t="s">
        <v>205</v>
      </c>
    </row>
    <row r="103" spans="1:3" x14ac:dyDescent="0.3">
      <c r="A103" s="1">
        <v>163</v>
      </c>
      <c r="B103" t="s">
        <v>206</v>
      </c>
      <c r="C103" t="s">
        <v>207</v>
      </c>
    </row>
    <row r="104" spans="1:3" x14ac:dyDescent="0.3">
      <c r="A104" s="1">
        <v>164</v>
      </c>
      <c r="B104" t="s">
        <v>208</v>
      </c>
      <c r="C104" t="s">
        <v>209</v>
      </c>
    </row>
    <row r="105" spans="1:3" x14ac:dyDescent="0.3">
      <c r="A105" s="1">
        <v>165</v>
      </c>
      <c r="B105" t="s">
        <v>210</v>
      </c>
      <c r="C105" t="s">
        <v>211</v>
      </c>
    </row>
    <row r="106" spans="1:3" x14ac:dyDescent="0.3">
      <c r="A106" s="1">
        <v>166</v>
      </c>
      <c r="B106" t="s">
        <v>212</v>
      </c>
      <c r="C106" t="s">
        <v>213</v>
      </c>
    </row>
    <row r="107" spans="1:3" x14ac:dyDescent="0.3">
      <c r="A107" s="1">
        <v>167</v>
      </c>
      <c r="B107" t="s">
        <v>214</v>
      </c>
      <c r="C107" t="s">
        <v>215</v>
      </c>
    </row>
    <row r="108" spans="1:3" x14ac:dyDescent="0.3">
      <c r="A108" s="1">
        <v>168</v>
      </c>
      <c r="B108" t="s">
        <v>0</v>
      </c>
      <c r="C108" t="s">
        <v>216</v>
      </c>
    </row>
    <row r="109" spans="1:3" x14ac:dyDescent="0.3">
      <c r="A109" s="1">
        <v>169</v>
      </c>
      <c r="B109" t="s">
        <v>217</v>
      </c>
      <c r="C109" t="s">
        <v>218</v>
      </c>
    </row>
    <row r="110" spans="1:3" x14ac:dyDescent="0.3">
      <c r="A110" s="1">
        <v>170</v>
      </c>
      <c r="B110" t="s">
        <v>219</v>
      </c>
      <c r="C110" t="s">
        <v>220</v>
      </c>
    </row>
    <row r="111" spans="1:3" hidden="1" x14ac:dyDescent="0.3">
      <c r="A111" s="1">
        <v>171</v>
      </c>
      <c r="B111" t="s">
        <v>221</v>
      </c>
      <c r="C111" t="s">
        <v>222</v>
      </c>
    </row>
    <row r="112" spans="1:3" x14ac:dyDescent="0.3">
      <c r="A112" s="3">
        <v>172</v>
      </c>
      <c r="B112" s="4" t="s">
        <v>223</v>
      </c>
      <c r="C112" s="4" t="s">
        <v>224</v>
      </c>
    </row>
    <row r="113" spans="1:3" x14ac:dyDescent="0.3">
      <c r="A113" s="1">
        <v>173</v>
      </c>
      <c r="B113" t="s">
        <v>225</v>
      </c>
      <c r="C113" t="s">
        <v>226</v>
      </c>
    </row>
    <row r="114" spans="1:3" x14ac:dyDescent="0.3">
      <c r="A114" s="1">
        <v>174</v>
      </c>
      <c r="B114" t="s">
        <v>227</v>
      </c>
      <c r="C114" t="s">
        <v>228</v>
      </c>
    </row>
    <row r="115" spans="1:3" x14ac:dyDescent="0.3">
      <c r="A115" s="1">
        <v>175</v>
      </c>
      <c r="B115" t="s">
        <v>229</v>
      </c>
      <c r="C115" t="s">
        <v>230</v>
      </c>
    </row>
    <row r="116" spans="1:3" x14ac:dyDescent="0.3">
      <c r="A116" s="1">
        <v>176</v>
      </c>
      <c r="B116" t="s">
        <v>231</v>
      </c>
      <c r="C116" t="s">
        <v>232</v>
      </c>
    </row>
    <row r="117" spans="1:3" x14ac:dyDescent="0.3">
      <c r="A117" s="1">
        <v>177</v>
      </c>
      <c r="B117" t="s">
        <v>233</v>
      </c>
      <c r="C117" t="s">
        <v>234</v>
      </c>
    </row>
    <row r="118" spans="1:3" x14ac:dyDescent="0.3">
      <c r="A118" s="1">
        <v>178</v>
      </c>
      <c r="B118" t="s">
        <v>235</v>
      </c>
      <c r="C118" t="s">
        <v>236</v>
      </c>
    </row>
    <row r="119" spans="1:3" x14ac:dyDescent="0.3">
      <c r="A119" s="1">
        <v>179</v>
      </c>
      <c r="B119" t="s">
        <v>237</v>
      </c>
      <c r="C119" t="s">
        <v>238</v>
      </c>
    </row>
    <row r="120" spans="1:3" x14ac:dyDescent="0.3">
      <c r="A120" s="1">
        <v>180</v>
      </c>
      <c r="B120" t="s">
        <v>239</v>
      </c>
      <c r="C120" t="s">
        <v>240</v>
      </c>
    </row>
    <row r="121" spans="1:3" x14ac:dyDescent="0.3">
      <c r="A121" s="1">
        <v>181</v>
      </c>
      <c r="B121" t="s">
        <v>241</v>
      </c>
      <c r="C121" t="s">
        <v>242</v>
      </c>
    </row>
    <row r="122" spans="1:3" x14ac:dyDescent="0.3">
      <c r="A122" s="1">
        <v>182</v>
      </c>
      <c r="B122" t="s">
        <v>243</v>
      </c>
      <c r="C122" t="s">
        <v>244</v>
      </c>
    </row>
    <row r="123" spans="1:3" x14ac:dyDescent="0.3">
      <c r="A123" s="1">
        <v>183</v>
      </c>
      <c r="B123" t="s">
        <v>245</v>
      </c>
      <c r="C123" t="s">
        <v>246</v>
      </c>
    </row>
    <row r="124" spans="1:3" x14ac:dyDescent="0.3">
      <c r="A124" s="1">
        <v>184</v>
      </c>
      <c r="B124" t="s">
        <v>247</v>
      </c>
      <c r="C124" t="s">
        <v>248</v>
      </c>
    </row>
    <row r="125" spans="1:3" x14ac:dyDescent="0.3">
      <c r="A125" s="1">
        <v>185</v>
      </c>
      <c r="B125" t="s">
        <v>249</v>
      </c>
      <c r="C125" t="s">
        <v>250</v>
      </c>
    </row>
    <row r="126" spans="1:3" x14ac:dyDescent="0.3">
      <c r="A126" s="1">
        <v>186</v>
      </c>
      <c r="B126" t="s">
        <v>251</v>
      </c>
      <c r="C126" t="s">
        <v>252</v>
      </c>
    </row>
    <row r="127" spans="1:3" x14ac:dyDescent="0.3">
      <c r="A127" s="1">
        <v>187</v>
      </c>
      <c r="B127" t="s">
        <v>253</v>
      </c>
      <c r="C127" t="s">
        <v>254</v>
      </c>
    </row>
    <row r="128" spans="1:3" x14ac:dyDescent="0.3">
      <c r="A128" s="1">
        <v>188</v>
      </c>
      <c r="B128" t="s">
        <v>255</v>
      </c>
      <c r="C128" t="s">
        <v>256</v>
      </c>
    </row>
    <row r="129" spans="1:3" x14ac:dyDescent="0.3">
      <c r="A129" s="1">
        <v>189</v>
      </c>
      <c r="B129" t="s">
        <v>257</v>
      </c>
      <c r="C129" t="s">
        <v>258</v>
      </c>
    </row>
    <row r="130" spans="1:3" hidden="1" x14ac:dyDescent="0.3">
      <c r="A130" s="1">
        <v>190</v>
      </c>
      <c r="B130" t="s">
        <v>259</v>
      </c>
      <c r="C130" t="s">
        <v>260</v>
      </c>
    </row>
    <row r="131" spans="1:3" hidden="1" x14ac:dyDescent="0.3">
      <c r="A131" s="1">
        <v>191</v>
      </c>
      <c r="B131" t="s">
        <v>261</v>
      </c>
      <c r="C131" t="s">
        <v>262</v>
      </c>
    </row>
    <row r="132" spans="1:3" x14ac:dyDescent="0.3">
      <c r="A132" s="1">
        <v>193</v>
      </c>
      <c r="B132" t="s">
        <v>263</v>
      </c>
      <c r="C132" t="s">
        <v>264</v>
      </c>
    </row>
    <row r="133" spans="1:3" x14ac:dyDescent="0.3">
      <c r="A133" s="1">
        <v>194</v>
      </c>
      <c r="B133" t="s">
        <v>265</v>
      </c>
      <c r="C133" t="s">
        <v>266</v>
      </c>
    </row>
    <row r="134" spans="1:3" x14ac:dyDescent="0.3">
      <c r="A134" s="1">
        <v>195</v>
      </c>
      <c r="B134" t="s">
        <v>267</v>
      </c>
      <c r="C134" t="s">
        <v>268</v>
      </c>
    </row>
    <row r="135" spans="1:3" x14ac:dyDescent="0.3">
      <c r="A135" s="1">
        <v>196</v>
      </c>
      <c r="B135" t="s">
        <v>269</v>
      </c>
      <c r="C135" t="s">
        <v>270</v>
      </c>
    </row>
    <row r="136" spans="1:3" x14ac:dyDescent="0.3">
      <c r="A136" s="1">
        <v>197</v>
      </c>
      <c r="B136" t="s">
        <v>271</v>
      </c>
      <c r="C136" t="s">
        <v>272</v>
      </c>
    </row>
    <row r="137" spans="1:3" x14ac:dyDescent="0.3">
      <c r="A137" s="1">
        <v>198</v>
      </c>
      <c r="B137" t="s">
        <v>273</v>
      </c>
      <c r="C137" t="s">
        <v>274</v>
      </c>
    </row>
    <row r="138" spans="1:3" x14ac:dyDescent="0.3">
      <c r="A138" s="1">
        <v>200</v>
      </c>
      <c r="B138" t="s">
        <v>275</v>
      </c>
      <c r="C138" t="s">
        <v>276</v>
      </c>
    </row>
    <row r="139" spans="1:3" x14ac:dyDescent="0.3">
      <c r="A139" s="1">
        <v>201</v>
      </c>
      <c r="B139" t="s">
        <v>277</v>
      </c>
      <c r="C139" t="s">
        <v>278</v>
      </c>
    </row>
    <row r="140" spans="1:3" x14ac:dyDescent="0.3">
      <c r="A140" s="1">
        <v>202</v>
      </c>
      <c r="B140" t="s">
        <v>279</v>
      </c>
      <c r="C140" t="s">
        <v>278</v>
      </c>
    </row>
    <row r="141" spans="1:3" x14ac:dyDescent="0.3">
      <c r="A141" s="1">
        <v>203</v>
      </c>
      <c r="B141" t="s">
        <v>280</v>
      </c>
      <c r="C141" t="s">
        <v>281</v>
      </c>
    </row>
    <row r="142" spans="1:3" x14ac:dyDescent="0.3">
      <c r="A142" s="1">
        <v>204</v>
      </c>
      <c r="B142" t="s">
        <v>282</v>
      </c>
      <c r="C142" t="s">
        <v>283</v>
      </c>
    </row>
    <row r="143" spans="1:3" x14ac:dyDescent="0.3">
      <c r="A143" s="1">
        <v>205</v>
      </c>
      <c r="B143" t="s">
        <v>284</v>
      </c>
      <c r="C143" t="s">
        <v>285</v>
      </c>
    </row>
    <row r="144" spans="1:3" x14ac:dyDescent="0.3">
      <c r="A144" s="1">
        <v>206</v>
      </c>
      <c r="B144" t="s">
        <v>286</v>
      </c>
      <c r="C144" t="s">
        <v>287</v>
      </c>
    </row>
    <row r="145" spans="1:3" x14ac:dyDescent="0.3">
      <c r="A145" s="1">
        <v>207</v>
      </c>
      <c r="B145" t="s">
        <v>288</v>
      </c>
      <c r="C145" t="s">
        <v>289</v>
      </c>
    </row>
    <row r="146" spans="1:3" x14ac:dyDescent="0.3">
      <c r="A146" s="1">
        <v>208</v>
      </c>
      <c r="B146" t="s">
        <v>290</v>
      </c>
      <c r="C146" t="s">
        <v>291</v>
      </c>
    </row>
    <row r="147" spans="1:3" x14ac:dyDescent="0.3">
      <c r="A147" s="1">
        <v>209</v>
      </c>
      <c r="B147" t="s">
        <v>292</v>
      </c>
      <c r="C147" t="s">
        <v>293</v>
      </c>
    </row>
    <row r="148" spans="1:3" x14ac:dyDescent="0.3">
      <c r="A148" s="1">
        <v>210</v>
      </c>
      <c r="B148" t="s">
        <v>294</v>
      </c>
      <c r="C148" t="s">
        <v>295</v>
      </c>
    </row>
    <row r="149" spans="1:3" x14ac:dyDescent="0.3">
      <c r="A149" s="1">
        <v>211</v>
      </c>
      <c r="B149" t="s">
        <v>296</v>
      </c>
      <c r="C149" t="s">
        <v>297</v>
      </c>
    </row>
    <row r="150" spans="1:3" x14ac:dyDescent="0.3">
      <c r="A150" s="1">
        <v>212</v>
      </c>
      <c r="B150" t="s">
        <v>298</v>
      </c>
      <c r="C150" t="s">
        <v>299</v>
      </c>
    </row>
    <row r="151" spans="1:3" x14ac:dyDescent="0.3">
      <c r="A151" s="1">
        <v>213</v>
      </c>
      <c r="B151" t="s">
        <v>300</v>
      </c>
      <c r="C151" t="s">
        <v>301</v>
      </c>
    </row>
    <row r="152" spans="1:3" x14ac:dyDescent="0.3">
      <c r="A152" s="1">
        <v>214</v>
      </c>
      <c r="B152" t="s">
        <v>302</v>
      </c>
      <c r="C152" t="s">
        <v>303</v>
      </c>
    </row>
    <row r="153" spans="1:3" x14ac:dyDescent="0.3">
      <c r="A153" s="1">
        <v>215</v>
      </c>
      <c r="B153" t="s">
        <v>304</v>
      </c>
      <c r="C153" t="s">
        <v>305</v>
      </c>
    </row>
    <row r="154" spans="1:3" x14ac:dyDescent="0.3">
      <c r="A154" s="1">
        <v>216</v>
      </c>
      <c r="B154" t="s">
        <v>306</v>
      </c>
      <c r="C154" t="s">
        <v>359</v>
      </c>
    </row>
    <row r="155" spans="1:3" x14ac:dyDescent="0.3">
      <c r="A155" s="1">
        <v>217</v>
      </c>
      <c r="B155" t="s">
        <v>307</v>
      </c>
      <c r="C155" t="s">
        <v>308</v>
      </c>
    </row>
    <row r="156" spans="1:3" x14ac:dyDescent="0.3">
      <c r="A156" s="1">
        <v>218</v>
      </c>
      <c r="B156" t="s">
        <v>309</v>
      </c>
      <c r="C156" t="s">
        <v>310</v>
      </c>
    </row>
    <row r="157" spans="1:3" x14ac:dyDescent="0.3">
      <c r="A157" s="1">
        <v>219</v>
      </c>
      <c r="B157" t="s">
        <v>311</v>
      </c>
      <c r="C157" t="s">
        <v>312</v>
      </c>
    </row>
    <row r="158" spans="1:3" x14ac:dyDescent="0.3">
      <c r="A158" s="1">
        <v>220</v>
      </c>
      <c r="B158" t="s">
        <v>313</v>
      </c>
      <c r="C158" t="s">
        <v>314</v>
      </c>
    </row>
    <row r="159" spans="1:3" x14ac:dyDescent="0.3">
      <c r="A159" s="1">
        <v>223</v>
      </c>
      <c r="B159" t="s">
        <v>315</v>
      </c>
      <c r="C159" t="s">
        <v>316</v>
      </c>
    </row>
    <row r="160" spans="1:3" x14ac:dyDescent="0.3">
      <c r="A160" s="5">
        <v>224</v>
      </c>
      <c r="B160" s="6" t="s">
        <v>317</v>
      </c>
      <c r="C160" s="6" t="s">
        <v>318</v>
      </c>
    </row>
    <row r="161" spans="1:3" x14ac:dyDescent="0.3">
      <c r="A161" s="5">
        <v>225</v>
      </c>
      <c r="B161" s="6" t="s">
        <v>319</v>
      </c>
      <c r="C161" s="6" t="s">
        <v>320</v>
      </c>
    </row>
    <row r="162" spans="1:3" x14ac:dyDescent="0.3">
      <c r="A162" s="1">
        <v>226</v>
      </c>
      <c r="B162" t="s">
        <v>321</v>
      </c>
      <c r="C162" t="s">
        <v>322</v>
      </c>
    </row>
    <row r="163" spans="1:3" x14ac:dyDescent="0.3">
      <c r="A163" s="1">
        <v>227</v>
      </c>
      <c r="B163" t="s">
        <v>323</v>
      </c>
      <c r="C163" t="s">
        <v>324</v>
      </c>
    </row>
    <row r="164" spans="1:3" x14ac:dyDescent="0.3">
      <c r="A164" s="1">
        <v>228</v>
      </c>
      <c r="B164" t="s">
        <v>325</v>
      </c>
      <c r="C164" t="s">
        <v>326</v>
      </c>
    </row>
    <row r="165" spans="1:3" x14ac:dyDescent="0.3">
      <c r="A165" s="1">
        <v>229</v>
      </c>
      <c r="B165" t="s">
        <v>327</v>
      </c>
      <c r="C165" t="s">
        <v>328</v>
      </c>
    </row>
    <row r="166" spans="1:3" x14ac:dyDescent="0.3">
      <c r="A166" s="1">
        <v>230</v>
      </c>
      <c r="B166" t="s">
        <v>329</v>
      </c>
      <c r="C166" t="s">
        <v>330</v>
      </c>
    </row>
    <row r="167" spans="1:3" x14ac:dyDescent="0.3">
      <c r="A167" s="1">
        <v>231</v>
      </c>
      <c r="B167" t="s">
        <v>331</v>
      </c>
      <c r="C167" t="s">
        <v>332</v>
      </c>
    </row>
    <row r="168" spans="1:3" x14ac:dyDescent="0.3">
      <c r="A168" s="1">
        <v>233</v>
      </c>
      <c r="B168" t="s">
        <v>333</v>
      </c>
      <c r="C168" t="s">
        <v>334</v>
      </c>
    </row>
    <row r="169" spans="1:3" x14ac:dyDescent="0.3">
      <c r="A169" s="1">
        <v>234</v>
      </c>
      <c r="B169" t="s">
        <v>335</v>
      </c>
      <c r="C169" t="s">
        <v>336</v>
      </c>
    </row>
    <row r="170" spans="1:3" hidden="1" x14ac:dyDescent="0.3">
      <c r="A170" s="1">
        <v>235</v>
      </c>
      <c r="B170" t="s">
        <v>337</v>
      </c>
      <c r="C170" t="s">
        <v>338</v>
      </c>
    </row>
    <row r="171" spans="1:3" x14ac:dyDescent="0.3">
      <c r="A171" s="1">
        <v>236</v>
      </c>
      <c r="B171" t="s">
        <v>339</v>
      </c>
      <c r="C171" t="s">
        <v>318</v>
      </c>
    </row>
    <row r="172" spans="1:3" x14ac:dyDescent="0.3">
      <c r="A172" s="1">
        <v>237</v>
      </c>
      <c r="B172" t="s">
        <v>340</v>
      </c>
      <c r="C172" t="s">
        <v>341</v>
      </c>
    </row>
    <row r="173" spans="1:3" x14ac:dyDescent="0.3">
      <c r="A173" s="1">
        <v>238</v>
      </c>
      <c r="B173" t="s">
        <v>342</v>
      </c>
      <c r="C173" t="s">
        <v>343</v>
      </c>
    </row>
    <row r="174" spans="1:3" hidden="1" x14ac:dyDescent="0.3">
      <c r="A174" s="1">
        <v>239</v>
      </c>
      <c r="B174" t="s">
        <v>344</v>
      </c>
      <c r="C174" t="s">
        <v>222</v>
      </c>
    </row>
    <row r="175" spans="1:3" x14ac:dyDescent="0.3">
      <c r="A175" s="1">
        <v>240</v>
      </c>
      <c r="B175" t="s">
        <v>345</v>
      </c>
      <c r="C175" t="s">
        <v>346</v>
      </c>
    </row>
    <row r="176" spans="1:3" x14ac:dyDescent="0.3">
      <c r="A176" s="1">
        <v>242</v>
      </c>
      <c r="B176" t="s">
        <v>347</v>
      </c>
      <c r="C176" t="s">
        <v>348</v>
      </c>
    </row>
    <row r="177" spans="1:3" x14ac:dyDescent="0.3">
      <c r="A177" s="1">
        <v>243</v>
      </c>
      <c r="B177" t="s">
        <v>349</v>
      </c>
      <c r="C177" t="s">
        <v>350</v>
      </c>
    </row>
    <row r="178" spans="1:3" x14ac:dyDescent="0.3">
      <c r="A178" s="1">
        <v>244</v>
      </c>
      <c r="B178" t="s">
        <v>351</v>
      </c>
      <c r="C178" t="s">
        <v>352</v>
      </c>
    </row>
    <row r="179" spans="1:3" x14ac:dyDescent="0.3">
      <c r="A179" s="1">
        <v>245</v>
      </c>
      <c r="B179" t="s">
        <v>353</v>
      </c>
      <c r="C179" t="s">
        <v>354</v>
      </c>
    </row>
    <row r="180" spans="1:3" x14ac:dyDescent="0.3">
      <c r="A180" s="1">
        <v>246</v>
      </c>
      <c r="B180" t="s">
        <v>355</v>
      </c>
      <c r="C180" t="s">
        <v>356</v>
      </c>
    </row>
    <row r="181" spans="1:3" x14ac:dyDescent="0.3">
      <c r="A181" s="1">
        <v>247</v>
      </c>
      <c r="B181" t="s">
        <v>357</v>
      </c>
      <c r="C181" t="s">
        <v>358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C71B9-E9DE-4893-A7DE-2355568DFA92}">
  <sheetPr codeName="Sheet2"/>
  <dimension ref="A1:AE111"/>
  <sheetViews>
    <sheetView tabSelected="1" zoomScale="80" zoomScaleNormal="80" workbookViewId="0"/>
  </sheetViews>
  <sheetFormatPr defaultRowHeight="14.4" x14ac:dyDescent="0.3"/>
  <cols>
    <col min="1" max="1" width="13.6640625" customWidth="1"/>
    <col min="2" max="2" width="13.21875" bestFit="1" customWidth="1"/>
    <col min="3" max="3" width="5" style="1" bestFit="1" customWidth="1"/>
    <col min="4" max="4" width="6.44140625" style="1" customWidth="1"/>
    <col min="5" max="5" width="5" style="1" customWidth="1"/>
    <col min="6" max="6" width="4.88671875" style="1" customWidth="1"/>
    <col min="7" max="7" width="25.33203125" style="1" bestFit="1" customWidth="1"/>
    <col min="8" max="8" width="6.109375" style="1" customWidth="1"/>
    <col min="9" max="9" width="5.109375" style="1" customWidth="1"/>
    <col min="10" max="10" width="9" style="1" customWidth="1"/>
    <col min="11" max="11" width="10.6640625" style="1" customWidth="1"/>
    <col min="12" max="12" width="11.44140625" style="1" customWidth="1"/>
    <col min="13" max="13" width="6.88671875" style="1" bestFit="1" customWidth="1"/>
    <col min="14" max="14" width="6.6640625" style="1" bestFit="1" customWidth="1"/>
    <col min="15" max="15" width="6.109375" style="1" customWidth="1"/>
    <col min="16" max="16" width="8.5546875" style="1" customWidth="1"/>
    <col min="17" max="19" width="7.5546875" style="7" customWidth="1"/>
    <col min="20" max="20" width="7.44140625" style="7" customWidth="1"/>
    <col min="21" max="21" width="7.77734375" style="7" customWidth="1"/>
    <col min="22" max="22" width="7.6640625" style="7" customWidth="1"/>
    <col min="23" max="23" width="7.5546875" style="7" bestFit="1" customWidth="1"/>
    <col min="24" max="24" width="7.5546875" style="7" customWidth="1"/>
    <col min="25" max="25" width="8.77734375" style="7" bestFit="1" customWidth="1"/>
    <col min="26" max="26" width="52.6640625" style="7" customWidth="1"/>
    <col min="27" max="27" width="6" style="7" bestFit="1" customWidth="1"/>
  </cols>
  <sheetData>
    <row r="1" spans="1:31" ht="18" x14ac:dyDescent="0.35">
      <c r="A1" s="30" t="s">
        <v>539</v>
      </c>
      <c r="C1" s="31"/>
      <c r="N1" s="102"/>
      <c r="O1" s="32"/>
      <c r="S1" s="103"/>
      <c r="Y1" s="24"/>
      <c r="Z1"/>
      <c r="AA1" s="1"/>
    </row>
    <row r="3" spans="1:31" ht="47.4" thickBot="1" x14ac:dyDescent="0.35">
      <c r="A3" s="72" t="s">
        <v>365</v>
      </c>
      <c r="B3" s="73" t="s">
        <v>374</v>
      </c>
      <c r="C3" s="74" t="s">
        <v>375</v>
      </c>
      <c r="D3" s="74" t="s">
        <v>376</v>
      </c>
      <c r="E3" s="74" t="s">
        <v>377</v>
      </c>
      <c r="F3" s="74" t="s">
        <v>378</v>
      </c>
      <c r="G3" s="74" t="s">
        <v>379</v>
      </c>
      <c r="H3" s="74" t="s">
        <v>360</v>
      </c>
      <c r="I3" s="74" t="s">
        <v>380</v>
      </c>
      <c r="J3" s="75" t="s">
        <v>381</v>
      </c>
      <c r="K3" s="75" t="s">
        <v>382</v>
      </c>
      <c r="L3" s="75" t="s">
        <v>477</v>
      </c>
      <c r="M3" s="74" t="s">
        <v>384</v>
      </c>
      <c r="N3" s="76" t="s">
        <v>385</v>
      </c>
      <c r="O3" s="76" t="s">
        <v>386</v>
      </c>
      <c r="P3" s="75" t="s">
        <v>387</v>
      </c>
      <c r="Q3" s="104" t="s">
        <v>504</v>
      </c>
      <c r="R3" s="104" t="s">
        <v>505</v>
      </c>
      <c r="S3" s="104" t="s">
        <v>506</v>
      </c>
      <c r="T3" s="104" t="s">
        <v>507</v>
      </c>
      <c r="U3" s="104">
        <v>64</v>
      </c>
      <c r="V3" s="105">
        <v>72</v>
      </c>
      <c r="W3" s="105">
        <v>88</v>
      </c>
      <c r="X3" s="105">
        <v>105</v>
      </c>
      <c r="Y3" s="105" t="s">
        <v>388</v>
      </c>
      <c r="Z3" s="73" t="s">
        <v>404</v>
      </c>
      <c r="AA3" s="74" t="s">
        <v>405</v>
      </c>
    </row>
    <row r="4" spans="1:31" ht="15.6" x14ac:dyDescent="0.3">
      <c r="A4" s="149" t="s">
        <v>449</v>
      </c>
      <c r="B4" s="149" t="s">
        <v>485</v>
      </c>
      <c r="C4" s="113" t="s">
        <v>478</v>
      </c>
      <c r="D4" s="113" t="s">
        <v>508</v>
      </c>
      <c r="E4" s="113" t="s">
        <v>450</v>
      </c>
      <c r="F4" s="113">
        <v>1</v>
      </c>
      <c r="G4" s="113" t="s">
        <v>394</v>
      </c>
      <c r="H4" s="113" t="s">
        <v>391</v>
      </c>
      <c r="I4" s="150" t="s">
        <v>495</v>
      </c>
      <c r="J4" s="113" t="s">
        <v>439</v>
      </c>
      <c r="K4" s="113" t="s">
        <v>450</v>
      </c>
      <c r="L4" s="113" t="s">
        <v>484</v>
      </c>
      <c r="M4" s="113" t="s">
        <v>393</v>
      </c>
      <c r="N4" s="113">
        <f>+Y4/80</f>
        <v>3</v>
      </c>
      <c r="O4" s="113"/>
      <c r="P4" s="113" t="s">
        <v>509</v>
      </c>
      <c r="Q4" s="151"/>
      <c r="R4" s="151"/>
      <c r="S4" s="151"/>
      <c r="T4" s="151"/>
      <c r="U4" s="152"/>
      <c r="V4" s="151">
        <f>2*80</f>
        <v>160</v>
      </c>
      <c r="W4" s="151"/>
      <c r="X4" s="151">
        <f>1*80</f>
        <v>80</v>
      </c>
      <c r="Y4" s="151">
        <f>SUM(Q4:X4)</f>
        <v>240</v>
      </c>
      <c r="Z4" s="155" t="s">
        <v>489</v>
      </c>
      <c r="AA4" s="113" t="s">
        <v>482</v>
      </c>
    </row>
    <row r="5" spans="1:31" x14ac:dyDescent="0.3">
      <c r="A5" s="8"/>
      <c r="B5" s="8"/>
      <c r="C5" s="9"/>
      <c r="D5" s="9"/>
      <c r="E5" s="9"/>
      <c r="F5" s="9"/>
      <c r="G5" s="9"/>
      <c r="H5" s="9"/>
      <c r="I5" s="9"/>
      <c r="J5" s="9"/>
      <c r="K5" s="9"/>
      <c r="L5" s="10" t="s">
        <v>413</v>
      </c>
      <c r="M5" s="10"/>
      <c r="N5" s="10"/>
      <c r="O5" s="10"/>
      <c r="P5" s="9">
        <f>SUM(Q5:X5)</f>
        <v>3</v>
      </c>
      <c r="Q5" s="11">
        <f t="shared" ref="Q5:X5" si="0">IFERROR(Q4/80,0)</f>
        <v>0</v>
      </c>
      <c r="R5" s="11">
        <f t="shared" si="0"/>
        <v>0</v>
      </c>
      <c r="S5" s="11">
        <f t="shared" si="0"/>
        <v>0</v>
      </c>
      <c r="T5" s="11">
        <f t="shared" si="0"/>
        <v>0</v>
      </c>
      <c r="U5" s="11">
        <f t="shared" si="0"/>
        <v>0</v>
      </c>
      <c r="V5" s="11">
        <f t="shared" si="0"/>
        <v>2</v>
      </c>
      <c r="W5" s="11">
        <f t="shared" si="0"/>
        <v>0</v>
      </c>
      <c r="X5" s="11">
        <f t="shared" si="0"/>
        <v>1</v>
      </c>
      <c r="Y5" s="11"/>
      <c r="Z5" s="156" t="s">
        <v>491</v>
      </c>
      <c r="AA5" s="11"/>
    </row>
    <row r="6" spans="1:31" x14ac:dyDescent="0.3">
      <c r="A6" s="8"/>
      <c r="B6" s="8"/>
      <c r="C6" s="9"/>
      <c r="D6" s="9"/>
      <c r="E6" s="9"/>
      <c r="F6" s="9"/>
      <c r="G6" s="9"/>
      <c r="H6" s="9"/>
      <c r="I6" s="9"/>
      <c r="J6" s="9"/>
      <c r="K6" s="9"/>
      <c r="L6" s="10" t="s">
        <v>414</v>
      </c>
      <c r="M6" s="10"/>
      <c r="N6" s="10"/>
      <c r="O6" s="10"/>
      <c r="P6" s="9">
        <f>SUM(Q6:X6)</f>
        <v>1</v>
      </c>
      <c r="Q6" s="11">
        <f t="shared" ref="Q6:X6" si="1">IFERROR(Q5-(Q7+Q9),0)</f>
        <v>0</v>
      </c>
      <c r="R6" s="11">
        <f t="shared" si="1"/>
        <v>0</v>
      </c>
      <c r="S6" s="11">
        <f t="shared" si="1"/>
        <v>0</v>
      </c>
      <c r="T6" s="11">
        <f t="shared" si="1"/>
        <v>0</v>
      </c>
      <c r="U6" s="11">
        <f t="shared" si="1"/>
        <v>0</v>
      </c>
      <c r="V6" s="11">
        <f t="shared" si="1"/>
        <v>0</v>
      </c>
      <c r="W6" s="11">
        <f t="shared" si="1"/>
        <v>0</v>
      </c>
      <c r="X6" s="11">
        <f t="shared" si="1"/>
        <v>1</v>
      </c>
      <c r="Y6" s="11"/>
      <c r="Z6" s="156" t="s">
        <v>511</v>
      </c>
      <c r="AA6" s="11"/>
    </row>
    <row r="7" spans="1:31" x14ac:dyDescent="0.3">
      <c r="A7" s="8"/>
      <c r="B7" s="8"/>
      <c r="C7" s="9"/>
      <c r="D7" s="9"/>
      <c r="E7" s="9"/>
      <c r="F7" s="9"/>
      <c r="G7" s="9"/>
      <c r="H7" s="9"/>
      <c r="I7" s="9"/>
      <c r="J7" s="9"/>
      <c r="K7" s="9"/>
      <c r="L7" s="10" t="s">
        <v>415</v>
      </c>
      <c r="M7" s="10"/>
      <c r="N7" s="10"/>
      <c r="O7" s="10"/>
      <c r="P7" s="164">
        <f>SUM(Q7:X7)</f>
        <v>2</v>
      </c>
      <c r="Q7" s="57">
        <f>IF(NOT(ISBLANK(Q4)),COUNTIFS(Data!$C:$C,$C4,Data!$P:$P,"VAL",Data!$E:$E,$E4,Data!$F:$F,$F4,Data!$I:$I,IF(ISBLANK($I4),"",$I4),Data!$J:$J,$J4,Data!$K:$K,$K4,Data!$R:$R,"",Data!$L:$L,IF(ISBLANK($P4),"",$P4),Data!$G:$G,"MAHEL",Data!$H:$H,"A15C",Data!$M:$M,36),0)-Q9</f>
        <v>0</v>
      </c>
      <c r="R7" s="57">
        <f>IF(NOT(ISBLANK(R4)),COUNTIFS(Data!$C:$C,$C4,Data!$P:$P,"VAL",Data!$E:$E,$E4,Data!$F:$F,$F4,Data!$I:$I,IF(ISBLANK($I4),"",$I4),Data!$J:$J,$J4,Data!$K:$K,$K4,Data!$R:$R,"",Data!$L:$L,IF(ISBLANK($P4),"",$P4),Data!$G:$G,"MAHEL",Data!$H:$H,"A15C",Data!$M:$M,40),0)-R9</f>
        <v>0</v>
      </c>
      <c r="S7" s="57">
        <f>IF(NOT(ISBLANK(S4)),COUNTIFS(Data!$C:$C,$C4,Data!$P:$P,"VAL",Data!$E:$E,$E4,Data!$F:$F,$F4,Data!$I:$I,IF(ISBLANK($I4),"",$I4),Data!$J:$J,$J4,Data!$K:$K,$K4,Data!$R:$R,"",Data!$L:$L,IF(ISBLANK($P4),"",$P4),Data!$G:$G,"MAHEL",Data!$H:$H,"A15C",Data!$M:$M,48),0)-S9</f>
        <v>0</v>
      </c>
      <c r="T7" s="57">
        <f>IF(NOT(ISBLANK(T4)),COUNTIFS(Data!$C:$C,$C4,Data!$P:$P,"VAL",Data!$E:$E,$E4,Data!$F:$F,$F4,Data!$I:$I,IF(ISBLANK($I4),"",$I4),Data!$J:$J,$J4,Data!$K:$K,$K4,Data!$R:$R,"",Data!$L:$L,IF(ISBLANK($P4),"",$P4),Data!$G:$G,"MAHEL",Data!$H:$H,"A15C",Data!$M:$M,56),0)-T9</f>
        <v>0</v>
      </c>
      <c r="U7" s="57">
        <f>IF(NOT(ISBLANK(U4)),COUNTIFS(Data!$C:$C,$C4,Data!$P:$P,"VAL",Data!$E:$E,$E4,Data!$F:$F,$F4,Data!$I:$I,IF(ISBLANK($I4),"",$I4),Data!$J:$J,$J4,Data!$K:$K,$K4,Data!$R:$R,"",Data!$L:$L,IF(ISBLANK($P4),"",$P4),Data!$G:$G,"MAHEL",Data!$H:$H,"A15C",Data!$M:$M,64),0)-U9</f>
        <v>0</v>
      </c>
      <c r="V7" s="57">
        <f>IF(NOT(ISBLANK(V4)),COUNTIFS(Data!$C:$C,$C4,Data!$P:$P,"VAL",Data!$E:$E,$E4,Data!$F:$F,$F4,Data!$I:$I,IF(ISBLANK($I4),"",$I4),Data!$J:$J,$J4,Data!$K:$K,$K4,Data!$R:$R,"",Data!$L:$L,IF(ISBLANK($P4),"",$P4),Data!$G:$G,"MAHEL",Data!$H:$H,"A15C",Data!$M:$M,72),0)-V9</f>
        <v>2</v>
      </c>
      <c r="W7" s="57">
        <f>IF(NOT(ISBLANK(W4)),COUNTIFS(Data!$C:$C,$C4,Data!$P:$P,"VAL",Data!$E:$E,$E4,Data!$F:$F,$F4,Data!$I:$I,IF(ISBLANK($I4),"",$I4),Data!$J:$J,$J4,Data!$K:$K,$K4,Data!$R:$R,"",Data!$L:$L,IF(ISBLANK($P4),"",$P4),Data!$G:$G,"MAHEL",Data!$H:$H,"A15C",Data!$M:$M,88),0)-W9</f>
        <v>0</v>
      </c>
      <c r="X7" s="57">
        <f>IF(NOT(ISBLANK(X4)),COUNTIFS(Data!$C:$C,$C4,Data!$P:$P,"VAL",Data!$E:$E,$E4,Data!$F:$F,$F4,Data!$I:$I,IF(ISBLANK($I4),"",$I4),Data!$J:$J,$J4,Data!$K:$K,$K4,Data!$R:$R,"",Data!$L:$L,IF(ISBLANK($P4),"",$P4),Data!$G:$G,"MAHEL",Data!$H:$H,"A15C",Data!$M:$M,105),0)-X9</f>
        <v>0</v>
      </c>
      <c r="Y7" s="11"/>
      <c r="Z7" s="156"/>
      <c r="AA7" s="11"/>
    </row>
    <row r="8" spans="1:31" x14ac:dyDescent="0.3">
      <c r="A8" s="8"/>
      <c r="B8" s="8"/>
      <c r="C8" s="9"/>
      <c r="D8" s="9"/>
      <c r="E8" s="9"/>
      <c r="F8" s="9"/>
      <c r="G8" s="9"/>
      <c r="H8" s="9"/>
      <c r="I8" s="9"/>
      <c r="J8" s="9"/>
      <c r="K8" s="9"/>
      <c r="L8" s="10" t="s">
        <v>416</v>
      </c>
      <c r="M8" s="10"/>
      <c r="N8" s="10"/>
      <c r="O8" s="10"/>
      <c r="P8" s="9">
        <f>IF(COUNTIF(Z4:Z9,"*AS ORDERED*")&gt;0,SUM(Q8:X8),IF(P6&gt;0,0,(-1)*P6))</f>
        <v>0</v>
      </c>
      <c r="Q8" s="11">
        <f t="shared" ref="Q8:X8" si="2">IF(($P7+$P9)&gt;$P5,IF((Q7+Q9)-Q5&gt;0,(Q7+Q9)-Q5,0),0)</f>
        <v>0</v>
      </c>
      <c r="R8" s="11">
        <f t="shared" si="2"/>
        <v>0</v>
      </c>
      <c r="S8" s="11">
        <f t="shared" si="2"/>
        <v>0</v>
      </c>
      <c r="T8" s="11">
        <f t="shared" si="2"/>
        <v>0</v>
      </c>
      <c r="U8" s="11">
        <f t="shared" si="2"/>
        <v>0</v>
      </c>
      <c r="V8" s="11">
        <f t="shared" si="2"/>
        <v>0</v>
      </c>
      <c r="W8" s="11">
        <f t="shared" si="2"/>
        <v>0</v>
      </c>
      <c r="X8" s="11">
        <f t="shared" si="2"/>
        <v>0</v>
      </c>
      <c r="Y8" s="11"/>
      <c r="Z8" s="11"/>
      <c r="AA8" s="11"/>
    </row>
    <row r="9" spans="1:31" ht="15" thickBot="1" x14ac:dyDescent="0.35">
      <c r="A9" s="8"/>
      <c r="B9" s="8"/>
      <c r="C9" s="9"/>
      <c r="D9" s="9"/>
      <c r="E9" s="9"/>
      <c r="F9" s="9"/>
      <c r="G9" s="9"/>
      <c r="H9" s="9"/>
      <c r="I9" s="9"/>
      <c r="J9" s="9"/>
      <c r="K9" s="9"/>
      <c r="L9" s="10" t="s">
        <v>417</v>
      </c>
      <c r="M9" s="10"/>
      <c r="N9" s="10"/>
      <c r="O9" s="10"/>
      <c r="P9" s="164">
        <f>SUM(Q9:X9)</f>
        <v>0</v>
      </c>
      <c r="Q9" s="57">
        <f>IF(NOT(ISBLANK(Q4)),COUNTIFS(Data!$C:$C,$C4,Data!$P:$P,"VAL",Data!$E:$E,$E4,Data!$F:$F,$F4,Data!$I:$I,IF(ISBLANK($I4),"",$I4),Data!$J:$J,$J4,Data!$K:$K,$K4,Data!$R:$R,"",Data!$L:$L,IF(ISBLANK($P4),"",$P4),Data!$G:$G,"MAHEL",Data!$H:$H,"A15C",Data!$M:$M,36, Data!$Q:$Q,1),0)</f>
        <v>0</v>
      </c>
      <c r="R9" s="57">
        <f>IF(NOT(ISBLANK(R4)),COUNTIFS(Data!$C:$C,$C4,Data!$P:$P,"VAL",Data!$E:$E,$E4,Data!$F:$F,$F4,Data!$I:$I,IF(ISBLANK($I4),"",$I4),Data!$J:$J,$J4,Data!$K:$K,$K4,Data!$R:$R,"",Data!$L:$L,IF(ISBLANK($P4),"",$P4),Data!$G:$G,"MAHEL",Data!$H:$H,"A15C",Data!$M:$M,40, Data!$Q:$Q,1),0)</f>
        <v>0</v>
      </c>
      <c r="S9" s="57">
        <f>IF(NOT(ISBLANK(S4)),COUNTIFS(Data!$C:$C,$C4,Data!$P:$P,"VAL",Data!$E:$E,$E4,Data!$F:$F,$F4,Data!$I:$I,IF(ISBLANK($I4),"",$I4),Data!$J:$J,$J4,Data!$K:$K,$K4,Data!$R:$R,"",Data!$L:$L,IF(ISBLANK($P4),"",$P4),Data!$G:$G,"MAHEL",Data!$H:$H,"A15C",Data!$M:$M,48, Data!$Q:$Q,1),0)</f>
        <v>0</v>
      </c>
      <c r="T9" s="57">
        <f>IF(NOT(ISBLANK(T4)),COUNTIFS(Data!$C:$C,$C4,Data!$P:$P,"VAL",Data!$E:$E,$E4,Data!$F:$F,$F4,Data!$I:$I,IF(ISBLANK($I4),"",$I4),Data!$J:$J,$J4,Data!$K:$K,$K4,Data!$R:$R,"",Data!$L:$L,IF(ISBLANK($P4),"",$P4),Data!$G:$G,"MAHEL",Data!$H:$H,"A15C",Data!$M:$M,56, Data!$Q:$Q,1),0)</f>
        <v>0</v>
      </c>
      <c r="U9" s="57">
        <f>IF(NOT(ISBLANK(U4)),COUNTIFS(Data!$C:$C,$C4,Data!$P:$P,"VAL",Data!$E:$E,$E4,Data!$F:$F,$F4,Data!$I:$I,IF(ISBLANK($I4),"",$I4),Data!$J:$J,$J4,Data!$K:$K,$K4,Data!$R:$R,"",Data!$L:$L,IF(ISBLANK($P4),"",$P4),Data!$G:$G,"MAHEL",Data!$H:$H,"A15C",Data!$M:$M,64, Data!$Q:$Q,1),0)</f>
        <v>0</v>
      </c>
      <c r="V9" s="57">
        <f>IF(NOT(ISBLANK(V4)),COUNTIFS(Data!$C:$C,$C4,Data!$P:$P,"VAL",Data!$E:$E,$E4,Data!$F:$F,$F4,Data!$I:$I,IF(ISBLANK($I4),"",$I4),Data!$J:$J,$J4,Data!$K:$K,$K4,Data!$R:$R,"",Data!$L:$L,IF(ISBLANK($P4),"",$P4),Data!$G:$G,"MAHEL",Data!$H:$H,"A15C",Data!$M:$M,72, Data!$Q:$Q,1),0)</f>
        <v>0</v>
      </c>
      <c r="W9" s="57">
        <f>IF(NOT(ISBLANK(W4)),COUNTIFS(Data!$C:$C,$C4,Data!$P:$P,"VAL",Data!$E:$E,$E4,Data!$F:$F,$F4,Data!$I:$I,IF(ISBLANK($I4),"",$I4),Data!$J:$J,$J4,Data!$K:$K,$K4,Data!$R:$R,"",Data!$L:$L,IF(ISBLANK($P4),"",$P4),Data!$G:$G,"MAHEL",Data!$H:$H,"A15C",Data!$M:$M,88, Data!$Q:$Q,1),0)</f>
        <v>0</v>
      </c>
      <c r="X9" s="57">
        <f>IF(NOT(ISBLANK(X4)),COUNTIFS(Data!$C:$C,$C4,Data!$P:$P,"VAL",Data!$E:$E,$E4,Data!$F:$F,$F4,Data!$I:$I,IF(ISBLANK($I4),"",$I4),Data!$J:$J,$J4,Data!$K:$K,$K4,Data!$R:$R,"",Data!$L:$L,IF(ISBLANK($P4),"",$P4),Data!$G:$G,"MAHEL",Data!$H:$H,"A15C",Data!$M:$M,105, Data!$Q:$Q,1),0)</f>
        <v>0</v>
      </c>
      <c r="Y9" s="11"/>
      <c r="Z9" s="11"/>
      <c r="AA9" s="11">
        <v>80</v>
      </c>
    </row>
    <row r="10" spans="1:31" ht="15.6" x14ac:dyDescent="0.3">
      <c r="A10" s="149" t="s">
        <v>492</v>
      </c>
      <c r="B10" s="149" t="s">
        <v>485</v>
      </c>
      <c r="C10" s="113" t="s">
        <v>478</v>
      </c>
      <c r="D10" s="113" t="s">
        <v>508</v>
      </c>
      <c r="E10" s="113" t="s">
        <v>493</v>
      </c>
      <c r="F10" s="113">
        <v>1</v>
      </c>
      <c r="G10" s="113" t="s">
        <v>394</v>
      </c>
      <c r="H10" s="113" t="s">
        <v>391</v>
      </c>
      <c r="I10" s="150" t="s">
        <v>512</v>
      </c>
      <c r="J10" s="113" t="s">
        <v>488</v>
      </c>
      <c r="K10" s="113" t="s">
        <v>493</v>
      </c>
      <c r="L10" s="113" t="s">
        <v>392</v>
      </c>
      <c r="M10" s="113" t="s">
        <v>393</v>
      </c>
      <c r="N10" s="113">
        <f>+Y10/80</f>
        <v>4</v>
      </c>
      <c r="O10" s="113"/>
      <c r="P10" s="113" t="s">
        <v>509</v>
      </c>
      <c r="Q10" s="151"/>
      <c r="R10" s="151"/>
      <c r="S10" s="151"/>
      <c r="T10" s="151"/>
      <c r="U10" s="151"/>
      <c r="V10" s="151">
        <f>2*80</f>
        <v>160</v>
      </c>
      <c r="W10" s="151">
        <f>2*80</f>
        <v>160</v>
      </c>
      <c r="X10" s="113"/>
      <c r="Y10" s="151">
        <f>SUM(Q10:X10)</f>
        <v>320</v>
      </c>
      <c r="Z10" s="155" t="s">
        <v>489</v>
      </c>
      <c r="AA10" s="113" t="s">
        <v>482</v>
      </c>
    </row>
    <row r="11" spans="1:31" x14ac:dyDescent="0.3">
      <c r="A11" s="8"/>
      <c r="B11" s="8"/>
      <c r="C11" s="9"/>
      <c r="D11" s="9"/>
      <c r="E11" s="9"/>
      <c r="F11" s="9"/>
      <c r="G11" s="9"/>
      <c r="H11" s="9"/>
      <c r="I11" s="9"/>
      <c r="J11" s="9"/>
      <c r="K11" s="9"/>
      <c r="L11" s="10" t="s">
        <v>413</v>
      </c>
      <c r="M11" s="10"/>
      <c r="N11" s="10"/>
      <c r="O11" s="10"/>
      <c r="P11" s="9">
        <f>SUM(Q11:X11)</f>
        <v>4</v>
      </c>
      <c r="Q11" s="11">
        <f t="shared" ref="Q11:X11" si="3">IFERROR(Q10/80,0)</f>
        <v>0</v>
      </c>
      <c r="R11" s="11">
        <f t="shared" si="3"/>
        <v>0</v>
      </c>
      <c r="S11" s="11">
        <f t="shared" si="3"/>
        <v>0</v>
      </c>
      <c r="T11" s="11">
        <f t="shared" si="3"/>
        <v>0</v>
      </c>
      <c r="U11" s="11">
        <f t="shared" si="3"/>
        <v>0</v>
      </c>
      <c r="V11" s="11">
        <f t="shared" si="3"/>
        <v>2</v>
      </c>
      <c r="W11" s="11">
        <f t="shared" si="3"/>
        <v>2</v>
      </c>
      <c r="X11" s="11">
        <f t="shared" si="3"/>
        <v>0</v>
      </c>
      <c r="Y11" s="11"/>
      <c r="Z11" s="156" t="s">
        <v>559</v>
      </c>
      <c r="AA11" s="11"/>
    </row>
    <row r="12" spans="1:31" x14ac:dyDescent="0.3">
      <c r="A12" s="8"/>
      <c r="B12" s="8"/>
      <c r="C12" s="9"/>
      <c r="D12" s="9"/>
      <c r="E12" s="9"/>
      <c r="F12" s="9"/>
      <c r="G12" s="9"/>
      <c r="H12" s="9"/>
      <c r="I12" s="9"/>
      <c r="J12" s="9"/>
      <c r="K12" s="9"/>
      <c r="L12" s="10" t="s">
        <v>414</v>
      </c>
      <c r="M12" s="10"/>
      <c r="N12" s="10"/>
      <c r="O12" s="10"/>
      <c r="P12" s="9">
        <f>SUM(Q12:X12)</f>
        <v>0</v>
      </c>
      <c r="Q12" s="11">
        <f t="shared" ref="Q12:X12" si="4">IFERROR(Q11-(Q13+Q15),0)</f>
        <v>0</v>
      </c>
      <c r="R12" s="11">
        <f t="shared" si="4"/>
        <v>0</v>
      </c>
      <c r="S12" s="11">
        <f t="shared" si="4"/>
        <v>0</v>
      </c>
      <c r="T12" s="11">
        <f t="shared" si="4"/>
        <v>0</v>
      </c>
      <c r="U12" s="11">
        <f t="shared" si="4"/>
        <v>0</v>
      </c>
      <c r="V12" s="11">
        <f t="shared" si="4"/>
        <v>0</v>
      </c>
      <c r="W12" s="11">
        <f t="shared" si="4"/>
        <v>0</v>
      </c>
      <c r="X12" s="11">
        <f t="shared" si="4"/>
        <v>0</v>
      </c>
      <c r="Y12" s="11"/>
      <c r="Z12" s="156" t="s">
        <v>522</v>
      </c>
      <c r="AA12" s="11"/>
    </row>
    <row r="13" spans="1:31" x14ac:dyDescent="0.3">
      <c r="A13" s="8"/>
      <c r="B13" s="8"/>
      <c r="C13" s="9"/>
      <c r="D13" s="9"/>
      <c r="E13" s="9"/>
      <c r="F13" s="9"/>
      <c r="G13" s="9"/>
      <c r="H13" s="9"/>
      <c r="I13" s="9"/>
      <c r="J13" s="9"/>
      <c r="K13" s="9"/>
      <c r="L13" s="10" t="s">
        <v>415</v>
      </c>
      <c r="M13" s="10"/>
      <c r="N13" s="10"/>
      <c r="O13" s="10"/>
      <c r="P13" s="164">
        <f>SUM(Q13:X13)</f>
        <v>4</v>
      </c>
      <c r="Q13" s="57">
        <f>IF(NOT(ISBLANK(Q10)),COUNTIFS(Data!$C:$C,$C10,Data!$P:$P,"VAL",Data!$E:$E,$E10,Data!$F:$F,$F10,Data!$I:$I,IF(ISBLANK($I10),"",$I10),Data!$J:$J,$J10,Data!$K:$K,$K10,Data!$R:$R,"",Data!$L:$L,IF(ISBLANK($P10),"",$P10),Data!$G:$G,"MAHEL",Data!$H:$H,"A15C",Data!$M:$M,36),0)-Q15</f>
        <v>0</v>
      </c>
      <c r="R13" s="57">
        <f>IF(NOT(ISBLANK(R10)),COUNTIFS(Data!$C:$C,$C10,Data!$P:$P,"VAL",Data!$E:$E,$E10,Data!$F:$F,$F10,Data!$I:$I,IF(ISBLANK($I10),"",$I10),Data!$J:$J,$J10,Data!$K:$K,$K10,Data!$R:$R,"",Data!$L:$L,IF(ISBLANK($P10),"",$P10),Data!$G:$G,"MAHEL",Data!$H:$H,"A15C",Data!$M:$M,40),0)-R15</f>
        <v>0</v>
      </c>
      <c r="S13" s="57">
        <f>IF(NOT(ISBLANK(S10)),COUNTIFS(Data!$C:$C,$C10,Data!$P:$P,"VAL",Data!$E:$E,$E10,Data!$F:$F,$F10,Data!$I:$I,IF(ISBLANK($I10),"",$I10),Data!$J:$J,$J10,Data!$K:$K,$K10,Data!$R:$R,"",Data!$L:$L,IF(ISBLANK($P10),"",$P10),Data!$G:$G,"MAHEL",Data!$H:$H,"A15C",Data!$M:$M,48),0)-S15</f>
        <v>0</v>
      </c>
      <c r="T13" s="57">
        <f>IF(NOT(ISBLANK(T10)),COUNTIFS(Data!$C:$C,$C10,Data!$P:$P,"VAL",Data!$E:$E,$E10,Data!$F:$F,$F10,Data!$I:$I,IF(ISBLANK($I10),"",$I10),Data!$J:$J,$J10,Data!$K:$K,$K10,Data!$R:$R,"",Data!$L:$L,IF(ISBLANK($P10),"",$P10),Data!$G:$G,"MAHEL",Data!$H:$H,"A15C",Data!$M:$M,56),0)-T15</f>
        <v>0</v>
      </c>
      <c r="U13" s="57">
        <f>IF(NOT(ISBLANK(U10)),COUNTIFS(Data!$C:$C,$C10,Data!$P:$P,"VAL",Data!$E:$E,$E10,Data!$F:$F,$F10,Data!$I:$I,IF(ISBLANK($I10),"",$I10),Data!$J:$J,$J10,Data!$K:$K,$K10,Data!$R:$R,"",Data!$L:$L,IF(ISBLANK($P10),"",$P10),Data!$G:$G,"MAHEL",Data!$H:$H,"A15C",Data!$M:$M,64),0)-U15</f>
        <v>0</v>
      </c>
      <c r="V13" s="57">
        <f>IF(NOT(ISBLANK(V10)),COUNTIFS(Data!$C:$C,$C10,Data!$P:$P,"VAL",Data!$E:$E,$E10,Data!$F:$F,$F10,Data!$I:$I,IF(ISBLANK($I10),"",$I10),Data!$J:$J,$J10,Data!$K:$K,$K10,Data!$R:$R,"",Data!$L:$L,IF(ISBLANK($P10),"",$P10),Data!$G:$G,"MAHEL",Data!$H:$H,"A15C",Data!$M:$M,72),0)-V15</f>
        <v>2</v>
      </c>
      <c r="W13" s="57">
        <f>IF(NOT(ISBLANK(W10)),COUNTIFS(Data!$C:$C,$C10,Data!$P:$P,"VAL",Data!$E:$E,$E10,Data!$F:$F,$F10,Data!$I:$I,IF(ISBLANK($I10),"",$I10),Data!$J:$J,$J10,Data!$K:$K,$K10,Data!$R:$R,"",Data!$L:$L,IF(ISBLANK($P10),"",$P10),Data!$G:$G,"MAHEL",Data!$H:$H,"A15C",Data!$M:$M,88),0)-W15</f>
        <v>2</v>
      </c>
      <c r="X13" s="57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IF(NOT(ISBLANK(X10)),COUNTIFS(Data!$C:$C,$C10,Data!$P:$P,"VAL",Data!$E:$E,$E10,Data!$F:$F,$F10,Data!$I:$I,IF(ISBLANK($I10),"",$I10),Data!$J:$J,$J10,Data!$K:$K,$K10,Data!$R:$R,"",Data!$L:$L,IF(ISBLANK($P10),"",$P10),Data!$G:$G,"MAHEL",Data!$H:$H,"A15C",Data!$M:$M,105),0)-X15</f>
        <v>0</v>
      </c>
      <c r="Y13" s="11"/>
      <c r="Z13" s="156"/>
      <c r="AA13" s="11"/>
    </row>
    <row r="14" spans="1:31" x14ac:dyDescent="0.3">
      <c r="A14" s="8"/>
      <c r="B14" s="8"/>
      <c r="C14" s="9"/>
      <c r="D14" s="9"/>
      <c r="E14" s="9"/>
      <c r="F14" s="9"/>
      <c r="G14" s="9"/>
      <c r="H14" s="9"/>
      <c r="I14" s="9"/>
      <c r="J14" s="9"/>
      <c r="K14" s="9"/>
      <c r="L14" s="10" t="s">
        <v>416</v>
      </c>
      <c r="M14" s="10"/>
      <c r="N14" s="10"/>
      <c r="O14" s="10"/>
      <c r="P14" s="9">
        <f>IF(COUNTIF(Z10:Z15,"*AS ORDERED*")&gt;0,SUM(Q14:X14),IF(P12&gt;0,0,(-1)*P12))</f>
        <v>0</v>
      </c>
      <c r="Q14" s="11">
        <f t="shared" ref="Q14:X14" si="5">IF(($P13+$P15)&gt;$P11,IF((Q13+Q15)-Q11&gt;0,(Q13+Q15)-Q11,0),0)</f>
        <v>0</v>
      </c>
      <c r="R14" s="11">
        <f t="shared" si="5"/>
        <v>0</v>
      </c>
      <c r="S14" s="11">
        <f t="shared" si="5"/>
        <v>0</v>
      </c>
      <c r="T14" s="11">
        <f t="shared" si="5"/>
        <v>0</v>
      </c>
      <c r="U14" s="11">
        <f t="shared" si="5"/>
        <v>0</v>
      </c>
      <c r="V14" s="11">
        <f t="shared" si="5"/>
        <v>0</v>
      </c>
      <c r="W14" s="11">
        <f t="shared" si="5"/>
        <v>0</v>
      </c>
      <c r="X14" s="11">
        <f t="shared" si="5"/>
        <v>0</v>
      </c>
      <c r="Y14" s="11"/>
      <c r="Z14" s="11"/>
      <c r="AA14" s="11"/>
    </row>
    <row r="15" spans="1:31" ht="15" thickBot="1" x14ac:dyDescent="0.35">
      <c r="A15" s="8"/>
      <c r="B15" s="8"/>
      <c r="C15" s="9"/>
      <c r="D15" s="9"/>
      <c r="E15" s="9"/>
      <c r="F15" s="9"/>
      <c r="G15" s="9"/>
      <c r="H15" s="9"/>
      <c r="I15" s="9"/>
      <c r="J15" s="9"/>
      <c r="K15" s="9"/>
      <c r="L15" s="10" t="s">
        <v>417</v>
      </c>
      <c r="M15" s="10"/>
      <c r="N15" s="10"/>
      <c r="O15" s="10"/>
      <c r="P15" s="164">
        <f>SUM(Q15:X15)</f>
        <v>0</v>
      </c>
      <c r="Q15" s="57">
        <f>IF(NOT(ISBLANK(Q10)),COUNTIFS(Data!$C:$C,$C10,Data!$P:$P,"VAL",Data!$E:$E,$E10,Data!$F:$F,$F10,Data!$I:$I,IF(ISBLANK($I10),"",$I10),Data!$J:$J,$J10,Data!$K:$K,$K10,Data!$R:$R,"",Data!$L:$L,IF(ISBLANK($P10),"",$P10),Data!$G:$G,"MAHEL",Data!$H:$H,"A15C",Data!$M:$M,36, Data!$Q:$Q,1),0)</f>
        <v>0</v>
      </c>
      <c r="R15" s="57">
        <f>IF(NOT(ISBLANK(R10)),COUNTIFS(Data!$C:$C,$C10,Data!$P:$P,"VAL",Data!$E:$E,$E10,Data!$F:$F,$F10,Data!$I:$I,IF(ISBLANK($I10),"",$I10),Data!$J:$J,$J10,Data!$K:$K,$K10,Data!$R:$R,"",Data!$L:$L,IF(ISBLANK($P10),"",$P10),Data!$G:$G,"MAHEL",Data!$H:$H,"A15C",Data!$M:$M,40, Data!$Q:$Q,1),0)</f>
        <v>0</v>
      </c>
      <c r="S15" s="57">
        <f>IF(NOT(ISBLANK(S10)),COUNTIFS(Data!$C:$C,$C10,Data!$P:$P,"VAL",Data!$E:$E,$E10,Data!$F:$F,$F10,Data!$I:$I,IF(ISBLANK($I10),"",$I10),Data!$J:$J,$J10,Data!$K:$K,$K10,Data!$R:$R,"",Data!$L:$L,IF(ISBLANK($P10),"",$P10),Data!$G:$G,"MAHEL",Data!$H:$H,"A15C",Data!$M:$M,48, Data!$Q:$Q,1),0)</f>
        <v>0</v>
      </c>
      <c r="T15" s="57">
        <f>IF(NOT(ISBLANK(T10)),COUNTIFS(Data!$C:$C,$C10,Data!$P:$P,"VAL",Data!$E:$E,$E10,Data!$F:$F,$F10,Data!$I:$I,IF(ISBLANK($I10),"",$I10),Data!$J:$J,$J10,Data!$K:$K,$K10,Data!$R:$R,"",Data!$L:$L,IF(ISBLANK($P10),"",$P10),Data!$G:$G,"MAHEL",Data!$H:$H,"A15C",Data!$M:$M,56, Data!$Q:$Q,1),0)</f>
        <v>0</v>
      </c>
      <c r="U15" s="57">
        <f>IF(NOT(ISBLANK(U10)),COUNTIFS(Data!$C:$C,$C10,Data!$P:$P,"VAL",Data!$E:$E,$E10,Data!$F:$F,$F10,Data!$I:$I,IF(ISBLANK($I10),"",$I10),Data!$J:$J,$J10,Data!$K:$K,$K10,Data!$R:$R,"",Data!$L:$L,IF(ISBLANK($P10),"",$P10),Data!$G:$G,"MAHEL",Data!$H:$H,"A15C",Data!$M:$M,64, Data!$Q:$Q,1),0)</f>
        <v>0</v>
      </c>
      <c r="V15" s="57">
        <f>IF(NOT(ISBLANK(V10)),COUNTIFS(Data!$C:$C,$C10,Data!$P:$P,"VAL",Data!$E:$E,$E10,Data!$F:$F,$F10,Data!$I:$I,IF(ISBLANK($I10),"",$I10),Data!$J:$J,$J10,Data!$K:$K,$K10,Data!$R:$R,"",Data!$L:$L,IF(ISBLANK($P10),"",$P10),Data!$G:$G,"MAHEL",Data!$H:$H,"A15C",Data!$M:$M,72, Data!$Q:$Q,1),0)</f>
        <v>0</v>
      </c>
      <c r="W15" s="57">
        <f>IF(NOT(ISBLANK(W10)),COUNTIFS(Data!$C:$C,$C10,Data!$P:$P,"VAL",Data!$E:$E,$E10,Data!$F:$F,$F10,Data!$I:$I,IF(ISBLANK($I10),"",$I10),Data!$J:$J,$J10,Data!$K:$K,$K10,Data!$R:$R,"",Data!$L:$L,IF(ISBLANK($P10),"",$P10),Data!$G:$G,"MAHEL",Data!$H:$H,"A15C",Data!$M:$M,88, Data!$Q:$Q,1),0)</f>
        <v>0</v>
      </c>
      <c r="X15" s="57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IF(NOT(ISBLANK(X10)),COUNTIFS(Data!$C:$C,$C10,Data!$P:$P,"VAL",Data!$E:$E,$E10,Data!$F:$F,$F10,Data!$I:$I,IF(ISBLANK($I10),"",$I10),Data!$J:$J,$J10,Data!$K:$K,$K10,Data!$R:$R,"",Data!$L:$L,IF(ISBLANK($P10),"",$P10),Data!$G:$G,"MAHEL",Data!$H:$H,"A15C",Data!$M:$M,105, Data!$Q:$Q,1),0)</f>
        <v>0</v>
      </c>
      <c r="Y15" s="11"/>
      <c r="Z15" s="11"/>
      <c r="AA15" s="11">
        <v>80</v>
      </c>
    </row>
    <row r="16" spans="1:31" ht="15.6" x14ac:dyDescent="0.3">
      <c r="A16" s="149"/>
      <c r="B16" s="149"/>
      <c r="C16" s="113" t="s">
        <v>478</v>
      </c>
      <c r="D16" s="113" t="s">
        <v>508</v>
      </c>
      <c r="E16" s="113" t="s">
        <v>493</v>
      </c>
      <c r="F16" s="113">
        <v>1</v>
      </c>
      <c r="G16" s="113" t="s">
        <v>394</v>
      </c>
      <c r="H16" s="113" t="s">
        <v>391</v>
      </c>
      <c r="I16" s="150" t="s">
        <v>514</v>
      </c>
      <c r="J16" s="113" t="s">
        <v>488</v>
      </c>
      <c r="K16" s="113" t="s">
        <v>493</v>
      </c>
      <c r="L16" s="113" t="s">
        <v>392</v>
      </c>
      <c r="M16" s="113" t="s">
        <v>393</v>
      </c>
      <c r="N16" s="113">
        <f>+Y16/80</f>
        <v>8</v>
      </c>
      <c r="O16" s="113"/>
      <c r="P16" s="113" t="s">
        <v>509</v>
      </c>
      <c r="Q16" s="151"/>
      <c r="R16" s="151"/>
      <c r="S16" s="151"/>
      <c r="T16" s="151"/>
      <c r="U16" s="151"/>
      <c r="V16" s="151">
        <f>3*80</f>
        <v>240</v>
      </c>
      <c r="W16" s="157">
        <f>1*80</f>
        <v>80</v>
      </c>
      <c r="X16" s="113">
        <f>4*80</f>
        <v>320</v>
      </c>
      <c r="Y16" s="151">
        <f>SUM(Q16:X16)</f>
        <v>640</v>
      </c>
      <c r="Z16" s="155" t="s">
        <v>489</v>
      </c>
      <c r="AA16" s="113"/>
      <c r="AE16" s="84"/>
    </row>
    <row r="17" spans="1:27" x14ac:dyDescent="0.3">
      <c r="A17" s="8"/>
      <c r="B17" s="8"/>
      <c r="C17" s="9"/>
      <c r="D17" s="9"/>
      <c r="E17" s="9"/>
      <c r="F17" s="9"/>
      <c r="G17" s="9"/>
      <c r="H17" s="9"/>
      <c r="I17" s="9"/>
      <c r="J17" s="9"/>
      <c r="K17" s="9"/>
      <c r="L17" s="10" t="s">
        <v>413</v>
      </c>
      <c r="M17" s="10"/>
      <c r="N17" s="10"/>
      <c r="O17" s="10"/>
      <c r="P17" s="9">
        <f>SUM(Q17:X17)</f>
        <v>8</v>
      </c>
      <c r="Q17" s="11">
        <f t="shared" ref="Q17:X17" si="6">IFERROR(Q16/80,0)</f>
        <v>0</v>
      </c>
      <c r="R17" s="11">
        <f t="shared" si="6"/>
        <v>0</v>
      </c>
      <c r="S17" s="11">
        <f t="shared" si="6"/>
        <v>0</v>
      </c>
      <c r="T17" s="11">
        <f t="shared" si="6"/>
        <v>0</v>
      </c>
      <c r="U17" s="11">
        <f t="shared" si="6"/>
        <v>0</v>
      </c>
      <c r="V17" s="11">
        <f t="shared" si="6"/>
        <v>3</v>
      </c>
      <c r="W17" s="11">
        <f t="shared" si="6"/>
        <v>1</v>
      </c>
      <c r="X17" s="11">
        <f t="shared" si="6"/>
        <v>4</v>
      </c>
      <c r="Y17" s="11"/>
      <c r="Z17" s="156" t="s">
        <v>559</v>
      </c>
      <c r="AA17" s="11"/>
    </row>
    <row r="18" spans="1:27" x14ac:dyDescent="0.3">
      <c r="A18" s="8"/>
      <c r="B18" s="8"/>
      <c r="C18" s="9"/>
      <c r="D18" s="9"/>
      <c r="E18" s="9"/>
      <c r="F18" s="9"/>
      <c r="G18" s="9"/>
      <c r="H18" s="9"/>
      <c r="I18" s="9"/>
      <c r="J18" s="9"/>
      <c r="K18" s="9"/>
      <c r="L18" s="10" t="s">
        <v>414</v>
      </c>
      <c r="M18" s="10"/>
      <c r="N18" s="10"/>
      <c r="O18" s="10"/>
      <c r="P18" s="9">
        <f>SUM(Q18:X18)</f>
        <v>0</v>
      </c>
      <c r="Q18" s="11">
        <f t="shared" ref="Q18:X18" si="7">IFERROR(Q17-(Q19+Q21),0)</f>
        <v>0</v>
      </c>
      <c r="R18" s="11">
        <f t="shared" si="7"/>
        <v>0</v>
      </c>
      <c r="S18" s="11">
        <f t="shared" si="7"/>
        <v>0</v>
      </c>
      <c r="T18" s="11">
        <f t="shared" si="7"/>
        <v>0</v>
      </c>
      <c r="U18" s="11">
        <f t="shared" si="7"/>
        <v>0</v>
      </c>
      <c r="V18" s="11">
        <f t="shared" si="7"/>
        <v>-3</v>
      </c>
      <c r="W18" s="11">
        <f t="shared" si="7"/>
        <v>-1</v>
      </c>
      <c r="X18" s="11">
        <f t="shared" si="7"/>
        <v>4</v>
      </c>
      <c r="Y18" s="11"/>
      <c r="Z18" s="156" t="s">
        <v>522</v>
      </c>
      <c r="AA18" s="11"/>
    </row>
    <row r="19" spans="1:27" x14ac:dyDescent="0.3">
      <c r="A19" s="8"/>
      <c r="B19" s="8"/>
      <c r="C19" s="9"/>
      <c r="D19" s="9"/>
      <c r="E19" s="9"/>
      <c r="F19" s="9"/>
      <c r="G19" s="9"/>
      <c r="H19" s="9"/>
      <c r="I19" s="9"/>
      <c r="J19" s="9"/>
      <c r="K19" s="9"/>
      <c r="L19" s="10" t="s">
        <v>415</v>
      </c>
      <c r="M19" s="10"/>
      <c r="N19" s="10"/>
      <c r="O19" s="10"/>
      <c r="P19" s="164">
        <f>SUM(Q19:X19)</f>
        <v>8</v>
      </c>
      <c r="Q19" s="57">
        <f>IF(NOT(ISBLANK(Q16)),COUNTIFS(Data!$C:$C,$C16,Data!$P:$P,"VAL",Data!$E:$E,$E16,Data!$F:$F,$F16,Data!$I:$I,IF(ISBLANK($I16),"",$I16),Data!$J:$J,$J16,Data!$K:$K,$K16,Data!$R:$R,"",Data!$L:$L,IF(ISBLANK($P16),"",$P16),Data!$G:$G,"MAHEL",Data!$H:$H,"A15C",Data!$M:$M,36),0)-Q21</f>
        <v>0</v>
      </c>
      <c r="R19" s="57">
        <f>IF(NOT(ISBLANK(R16)),COUNTIFS(Data!$C:$C,$C16,Data!$P:$P,"VAL",Data!$E:$E,$E16,Data!$F:$F,$F16,Data!$I:$I,IF(ISBLANK($I16),"",$I16),Data!$J:$J,$J16,Data!$K:$K,$K16,Data!$R:$R,"",Data!$L:$L,IF(ISBLANK($P16),"",$P16),Data!$G:$G,"MAHEL",Data!$H:$H,"A15C",Data!$M:$M,40),0)-R21</f>
        <v>0</v>
      </c>
      <c r="S19" s="57">
        <f>IF(NOT(ISBLANK(S16)),COUNTIFS(Data!$C:$C,$C16,Data!$P:$P,"VAL",Data!$E:$E,$E16,Data!$F:$F,$F16,Data!$I:$I,IF(ISBLANK($I16),"",$I16),Data!$J:$J,$J16,Data!$K:$K,$K16,Data!$R:$R,"",Data!$L:$L,IF(ISBLANK($P16),"",$P16),Data!$G:$G,"MAHEL",Data!$H:$H,"A15C",Data!$M:$M,48),0)-S21</f>
        <v>0</v>
      </c>
      <c r="T19" s="57">
        <f>IF(NOT(ISBLANK(T16)),COUNTIFS(Data!$C:$C,$C16,Data!$P:$P,"VAL",Data!$E:$E,$E16,Data!$F:$F,$F16,Data!$I:$I,IF(ISBLANK($I16),"",$I16),Data!$J:$J,$J16,Data!$K:$K,$K16,Data!$R:$R,"",Data!$L:$L,IF(ISBLANK($P16),"",$P16),Data!$G:$G,"MAHEL",Data!$H:$H,"A15C",Data!$M:$M,56),0)-T21</f>
        <v>0</v>
      </c>
      <c r="U19" s="57">
        <f>IF(NOT(ISBLANK(U16)),COUNTIFS(Data!$C:$C,$C16,Data!$P:$P,"VAL",Data!$E:$E,$E16,Data!$F:$F,$F16,Data!$I:$I,IF(ISBLANK($I16),"",$I16),Data!$J:$J,$J16,Data!$K:$K,$K16,Data!$R:$R,"",Data!$L:$L,IF(ISBLANK($P16),"",$P16),Data!$G:$G,"MAHEL",Data!$H:$H,"A15C",Data!$M:$M,64),0)-U21</f>
        <v>0</v>
      </c>
      <c r="V19" s="57">
        <f>IF(NOT(ISBLANK(V16)),COUNTIFS(Data!$C:$C,$C16,Data!$P:$P,"VAL",Data!$E:$E,$E16,Data!$F:$F,$F16,Data!$I:$I,IF(ISBLANK($I16),"",$I16),Data!$J:$J,$J16,Data!$K:$K,$K16,Data!$R:$R,"",Data!$L:$L,IF(ISBLANK($P16),"",$P16),Data!$G:$G,"MAHEL",Data!$H:$H,"A15C",Data!$M:$M,72),0)-V21</f>
        <v>6</v>
      </c>
      <c r="W19" s="57">
        <f>IF(NOT(ISBLANK(W16)),COUNTIFS(Data!$C:$C,$C16,Data!$P:$P,"VAL",Data!$E:$E,$E16,Data!$F:$F,$F16,Data!$I:$I,IF(ISBLANK($I16),"",$I16),Data!$J:$J,$J16,Data!$K:$K,$K16,Data!$R:$R,"",Data!$L:$L,IF(ISBLANK($P16),"",$P16),Data!$G:$G,"MAHEL",Data!$H:$H,"A15C",Data!$M:$M,88),0)-W21</f>
        <v>2</v>
      </c>
      <c r="X19" s="57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IF(NOT(ISBLANK(X16)),COUNTIFS(Data!$C:$C,$C16,Data!$P:$P,"VAL",Data!$E:$E,$E16,Data!$F:$F,$F16,Data!$I:$I,IF(ISBLANK($I16),"",$I16),Data!$J:$J,$J16,Data!$K:$K,$K16,Data!$R:$R,"",Data!$L:$L,IF(ISBLANK($P16),"",$P16),Data!$G:$G,"MAHEL",Data!$H:$H,"A15C",Data!$M:$M,105),0)-X21</f>
        <v>0</v>
      </c>
      <c r="Y19" s="11"/>
      <c r="Z19" s="156"/>
      <c r="AA19" s="11"/>
    </row>
    <row r="20" spans="1:27" x14ac:dyDescent="0.3">
      <c r="A20" s="8"/>
      <c r="B20" s="8"/>
      <c r="C20" s="9"/>
      <c r="D20" s="9"/>
      <c r="E20" s="9"/>
      <c r="F20" s="9"/>
      <c r="G20" s="9"/>
      <c r="H20" s="9"/>
      <c r="I20" s="9"/>
      <c r="J20" s="9"/>
      <c r="K20" s="9"/>
      <c r="L20" s="10" t="s">
        <v>416</v>
      </c>
      <c r="M20" s="10"/>
      <c r="N20" s="10"/>
      <c r="O20" s="10"/>
      <c r="P20" s="9">
        <f>IF(COUNTIF(Z16:Z21,"*AS ORDERED*")&gt;0,SUM(Q20:X20),IF(P18&gt;0,0,(-1)*P18))</f>
        <v>0</v>
      </c>
      <c r="Q20" s="11">
        <f t="shared" ref="Q20:X20" si="8">IF(($P19+$P21)&gt;$P17,IF((Q19+Q21)-Q17&gt;0,(Q19+Q21)-Q17,0),0)</f>
        <v>0</v>
      </c>
      <c r="R20" s="11">
        <f t="shared" si="8"/>
        <v>0</v>
      </c>
      <c r="S20" s="11">
        <f t="shared" si="8"/>
        <v>0</v>
      </c>
      <c r="T20" s="11">
        <f t="shared" si="8"/>
        <v>0</v>
      </c>
      <c r="U20" s="11">
        <f t="shared" si="8"/>
        <v>0</v>
      </c>
      <c r="V20" s="11">
        <f t="shared" si="8"/>
        <v>0</v>
      </c>
      <c r="W20" s="11">
        <f t="shared" si="8"/>
        <v>0</v>
      </c>
      <c r="X20" s="11">
        <f t="shared" si="8"/>
        <v>0</v>
      </c>
      <c r="Y20" s="11"/>
      <c r="Z20" s="11"/>
      <c r="AA20" s="11"/>
    </row>
    <row r="21" spans="1:27" ht="15" thickBot="1" x14ac:dyDescent="0.35">
      <c r="A21" s="8"/>
      <c r="B21" s="8"/>
      <c r="C21" s="9"/>
      <c r="D21" s="9"/>
      <c r="E21" s="9"/>
      <c r="F21" s="9"/>
      <c r="G21" s="9"/>
      <c r="H21" s="9"/>
      <c r="I21" s="9"/>
      <c r="J21" s="9"/>
      <c r="K21" s="9"/>
      <c r="L21" s="10" t="s">
        <v>417</v>
      </c>
      <c r="M21" s="10"/>
      <c r="N21" s="10"/>
      <c r="O21" s="10"/>
      <c r="P21" s="164">
        <f>SUM(Q21:X21)</f>
        <v>0</v>
      </c>
      <c r="Q21" s="57">
        <f>IF(NOT(ISBLANK(Q16)),COUNTIFS(Data!$C:$C,$C16,Data!$P:$P,"VAL",Data!$E:$E,$E16,Data!$F:$F,$F16,Data!$I:$I,IF(ISBLANK($I16),"",$I16),Data!$J:$J,$J16,Data!$K:$K,$K16,Data!$R:$R,"",Data!$L:$L,IF(ISBLANK($P16),"",$P16),Data!$G:$G,"MAHEL",Data!$H:$H,"A15C",Data!$M:$M,36, Data!$Q:$Q,1),0)</f>
        <v>0</v>
      </c>
      <c r="R21" s="57">
        <f>IF(NOT(ISBLANK(R16)),COUNTIFS(Data!$C:$C,$C16,Data!$P:$P,"VAL",Data!$E:$E,$E16,Data!$F:$F,$F16,Data!$I:$I,IF(ISBLANK($I16),"",$I16),Data!$J:$J,$J16,Data!$K:$K,$K16,Data!$R:$R,"",Data!$L:$L,IF(ISBLANK($P16),"",$P16),Data!$G:$G,"MAHEL",Data!$H:$H,"A15C",Data!$M:$M,40, Data!$Q:$Q,1),0)</f>
        <v>0</v>
      </c>
      <c r="S21" s="57">
        <f>IF(NOT(ISBLANK(S16)),COUNTIFS(Data!$C:$C,$C16,Data!$P:$P,"VAL",Data!$E:$E,$E16,Data!$F:$F,$F16,Data!$I:$I,IF(ISBLANK($I16),"",$I16),Data!$J:$J,$J16,Data!$K:$K,$K16,Data!$R:$R,"",Data!$L:$L,IF(ISBLANK($P16),"",$P16),Data!$G:$G,"MAHEL",Data!$H:$H,"A15C",Data!$M:$M,48, Data!$Q:$Q,1),0)</f>
        <v>0</v>
      </c>
      <c r="T21" s="57">
        <f>IF(NOT(ISBLANK(T16)),COUNTIFS(Data!$C:$C,$C16,Data!$P:$P,"VAL",Data!$E:$E,$E16,Data!$F:$F,$F16,Data!$I:$I,IF(ISBLANK($I16),"",$I16),Data!$J:$J,$J16,Data!$K:$K,$K16,Data!$R:$R,"",Data!$L:$L,IF(ISBLANK($P16),"",$P16),Data!$G:$G,"MAHEL",Data!$H:$H,"A15C",Data!$M:$M,56, Data!$Q:$Q,1),0)</f>
        <v>0</v>
      </c>
      <c r="U21" s="57">
        <f>IF(NOT(ISBLANK(U16)),COUNTIFS(Data!$C:$C,$C16,Data!$P:$P,"VAL",Data!$E:$E,$E16,Data!$F:$F,$F16,Data!$I:$I,IF(ISBLANK($I16),"",$I16),Data!$J:$J,$J16,Data!$K:$K,$K16,Data!$R:$R,"",Data!$L:$L,IF(ISBLANK($P16),"",$P16),Data!$G:$G,"MAHEL",Data!$H:$H,"A15C",Data!$M:$M,64, Data!$Q:$Q,1),0)</f>
        <v>0</v>
      </c>
      <c r="V21" s="57">
        <f>IF(NOT(ISBLANK(V16)),COUNTIFS(Data!$C:$C,$C16,Data!$P:$P,"VAL",Data!$E:$E,$E16,Data!$F:$F,$F16,Data!$I:$I,IF(ISBLANK($I16),"",$I16),Data!$J:$J,$J16,Data!$K:$K,$K16,Data!$R:$R,"",Data!$L:$L,IF(ISBLANK($P16),"",$P16),Data!$G:$G,"MAHEL",Data!$H:$H,"A15C",Data!$M:$M,72, Data!$Q:$Q,1),0)</f>
        <v>0</v>
      </c>
      <c r="W21" s="57">
        <f>IF(NOT(ISBLANK(W16)),COUNTIFS(Data!$C:$C,$C16,Data!$P:$P,"VAL",Data!$E:$E,$E16,Data!$F:$F,$F16,Data!$I:$I,IF(ISBLANK($I16),"",$I16),Data!$J:$J,$J16,Data!$K:$K,$K16,Data!$R:$R,"",Data!$L:$L,IF(ISBLANK($P16),"",$P16),Data!$G:$G,"MAHEL",Data!$H:$H,"A15C",Data!$M:$M,88, Data!$Q:$Q,1),0)</f>
        <v>0</v>
      </c>
      <c r="X21" s="57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IF(NOT(ISBLANK(X16)),COUNTIFS(Data!$C:$C,$C16,Data!$P:$P,"VAL",Data!$E:$E,$E16,Data!$F:$F,$F16,Data!$I:$I,IF(ISBLANK($I16),"",$I16),Data!$J:$J,$J16,Data!$K:$K,$K16,Data!$R:$R,"",Data!$L:$L,IF(ISBLANK($P16),"",$P16),Data!$G:$G,"MAHEL",Data!$H:$H,"A15C",Data!$M:$M,105, Data!$Q:$Q,1),0)</f>
        <v>0</v>
      </c>
      <c r="Y21" s="11"/>
      <c r="Z21" s="11"/>
      <c r="AA21" s="11">
        <v>80</v>
      </c>
    </row>
    <row r="22" spans="1:27" ht="15.6" x14ac:dyDescent="0.3">
      <c r="A22" s="64" t="s">
        <v>542</v>
      </c>
      <c r="B22" s="106" t="s">
        <v>485</v>
      </c>
      <c r="C22" s="107" t="s">
        <v>478</v>
      </c>
      <c r="D22" s="107" t="s">
        <v>508</v>
      </c>
      <c r="E22" s="107" t="s">
        <v>543</v>
      </c>
      <c r="F22" s="107">
        <v>1</v>
      </c>
      <c r="G22" s="107" t="s">
        <v>394</v>
      </c>
      <c r="H22" s="107" t="s">
        <v>391</v>
      </c>
      <c r="I22" s="109"/>
      <c r="J22" s="107" t="s">
        <v>488</v>
      </c>
      <c r="K22" s="107" t="s">
        <v>543</v>
      </c>
      <c r="L22" s="107" t="s">
        <v>392</v>
      </c>
      <c r="M22" s="107" t="s">
        <v>393</v>
      </c>
      <c r="N22" s="107">
        <f>+Y22/80</f>
        <v>20</v>
      </c>
      <c r="O22" s="62"/>
      <c r="P22" s="62" t="s">
        <v>544</v>
      </c>
      <c r="Q22" s="63"/>
      <c r="R22" s="63"/>
      <c r="S22" s="63"/>
      <c r="T22" s="63"/>
      <c r="U22" s="66"/>
      <c r="V22" s="63"/>
      <c r="W22" s="63">
        <f>12*80</f>
        <v>960</v>
      </c>
      <c r="X22" s="63">
        <f>8*80</f>
        <v>640</v>
      </c>
      <c r="Y22" s="63">
        <f>SUM(Q22:X22)</f>
        <v>1600</v>
      </c>
      <c r="Z22" s="65" t="s">
        <v>489</v>
      </c>
      <c r="AA22" s="62" t="s">
        <v>482</v>
      </c>
    </row>
    <row r="23" spans="1:27" x14ac:dyDescent="0.3">
      <c r="A23" s="8"/>
      <c r="B23" s="8"/>
      <c r="C23" s="9"/>
      <c r="D23" s="9"/>
      <c r="E23" s="9"/>
      <c r="F23" s="9"/>
      <c r="G23" s="9"/>
      <c r="H23" s="9"/>
      <c r="I23" s="9"/>
      <c r="J23" s="9"/>
      <c r="K23" s="9"/>
      <c r="L23" s="10" t="s">
        <v>413</v>
      </c>
      <c r="M23" s="10"/>
      <c r="N23" s="10"/>
      <c r="O23" s="10"/>
      <c r="P23" s="9">
        <f>SUM(Q23:X23)</f>
        <v>20</v>
      </c>
      <c r="Q23" s="11">
        <f t="shared" ref="Q23:X23" si="9">IFERROR(Q22/80,0)</f>
        <v>0</v>
      </c>
      <c r="R23" s="11">
        <f t="shared" si="9"/>
        <v>0</v>
      </c>
      <c r="S23" s="11">
        <f t="shared" si="9"/>
        <v>0</v>
      </c>
      <c r="T23" s="11">
        <f t="shared" si="9"/>
        <v>0</v>
      </c>
      <c r="U23" s="11">
        <f t="shared" si="9"/>
        <v>0</v>
      </c>
      <c r="V23" s="11">
        <f t="shared" si="9"/>
        <v>0</v>
      </c>
      <c r="W23" s="11">
        <f t="shared" si="9"/>
        <v>12</v>
      </c>
      <c r="X23" s="11">
        <f t="shared" si="9"/>
        <v>8</v>
      </c>
      <c r="Y23" s="11"/>
      <c r="Z23" s="156" t="s">
        <v>560</v>
      </c>
      <c r="AA23" s="11"/>
    </row>
    <row r="24" spans="1:27" x14ac:dyDescent="0.3">
      <c r="A24" s="8"/>
      <c r="B24" s="8"/>
      <c r="C24" s="9"/>
      <c r="D24" s="9"/>
      <c r="E24" s="9"/>
      <c r="F24" s="9"/>
      <c r="G24" s="9"/>
      <c r="H24" s="9"/>
      <c r="I24" s="9"/>
      <c r="J24" s="9"/>
      <c r="K24" s="9"/>
      <c r="L24" s="10" t="s">
        <v>414</v>
      </c>
      <c r="M24" s="10"/>
      <c r="N24" s="10"/>
      <c r="O24" s="10"/>
      <c r="P24" s="9">
        <f>SUM(Q24:X24)</f>
        <v>17</v>
      </c>
      <c r="Q24" s="11">
        <f t="shared" ref="Q24:X24" si="10">IFERROR(Q23-(Q25+Q27),0)</f>
        <v>0</v>
      </c>
      <c r="R24" s="11">
        <f t="shared" si="10"/>
        <v>0</v>
      </c>
      <c r="S24" s="11">
        <f t="shared" si="10"/>
        <v>0</v>
      </c>
      <c r="T24" s="11">
        <f t="shared" si="10"/>
        <v>0</v>
      </c>
      <c r="U24" s="11">
        <f t="shared" si="10"/>
        <v>0</v>
      </c>
      <c r="V24" s="11">
        <f t="shared" si="10"/>
        <v>0</v>
      </c>
      <c r="W24" s="11">
        <f t="shared" si="10"/>
        <v>11</v>
      </c>
      <c r="X24" s="11">
        <f t="shared" si="10"/>
        <v>6</v>
      </c>
      <c r="Y24" s="11"/>
      <c r="Z24" s="156"/>
      <c r="AA24" s="11"/>
    </row>
    <row r="25" spans="1:27" x14ac:dyDescent="0.3">
      <c r="A25" s="8"/>
      <c r="B25" s="8"/>
      <c r="C25" s="9"/>
      <c r="D25" s="9"/>
      <c r="E25" s="9"/>
      <c r="F25" s="9"/>
      <c r="G25" s="9"/>
      <c r="H25" s="9"/>
      <c r="I25" s="9"/>
      <c r="J25" s="9"/>
      <c r="K25" s="9"/>
      <c r="L25" s="10" t="s">
        <v>415</v>
      </c>
      <c r="M25" s="10"/>
      <c r="N25" s="10"/>
      <c r="O25" s="10"/>
      <c r="P25" s="164">
        <f>SUM(Q25:X25)</f>
        <v>3</v>
      </c>
      <c r="Q25" s="57">
        <f>IF(NOT(ISBLANK(Q22)),COUNTIFS(Data!$C:$C,$C22,Data!$P:$P,"VAL",Data!$E:$E,$E22,Data!$F:$F,$F22,Data!$I:$I,IF(ISBLANK($I22),"",$I22),Data!$J:$J,$J22,Data!$K:$K,$K22,Data!$R:$R,"",Data!$L:$L,IF(ISBLANK($P22),"",$P22),Data!$G:$G,"MAHEL",Data!$H:$H,"A15C",Data!$M:$M,36),0)-Q27</f>
        <v>0</v>
      </c>
      <c r="R25" s="57">
        <f>IF(NOT(ISBLANK(R22)),COUNTIFS(Data!$C:$C,$C22,Data!$P:$P,"VAL",Data!$E:$E,$E22,Data!$F:$F,$F22,Data!$I:$I,IF(ISBLANK($I22),"",$I22),Data!$J:$J,$J22,Data!$K:$K,$K22,Data!$R:$R,"",Data!$L:$L,IF(ISBLANK($P22),"",$P22),Data!$G:$G,"MAHEL",Data!$H:$H,"A15C",Data!$M:$M,40),0)-R27</f>
        <v>0</v>
      </c>
      <c r="S25" s="57">
        <f>IF(NOT(ISBLANK(S22)),COUNTIFS(Data!$C:$C,$C22,Data!$P:$P,"VAL",Data!$E:$E,$E22,Data!$F:$F,$F22,Data!$I:$I,IF(ISBLANK($I22),"",$I22),Data!$J:$J,$J22,Data!$K:$K,$K22,Data!$R:$R,"",Data!$L:$L,IF(ISBLANK($P22),"",$P22),Data!$G:$G,"MAHEL",Data!$H:$H,"A15C",Data!$M:$M,48),0)-S27</f>
        <v>0</v>
      </c>
      <c r="T25" s="57">
        <f>IF(NOT(ISBLANK(T22)),COUNTIFS(Data!$C:$C,$C22,Data!$P:$P,"VAL",Data!$E:$E,$E22,Data!$F:$F,$F22,Data!$I:$I,IF(ISBLANK($I22),"",$I22),Data!$J:$J,$J22,Data!$K:$K,$K22,Data!$R:$R,"",Data!$L:$L,IF(ISBLANK($P22),"",$P22),Data!$G:$G,"MAHEL",Data!$H:$H,"A15C",Data!$M:$M,56),0)-T27</f>
        <v>0</v>
      </c>
      <c r="U25" s="57">
        <f>IF(NOT(ISBLANK(U22)),COUNTIFS(Data!$C:$C,$C22,Data!$P:$P,"VAL",Data!$E:$E,$E22,Data!$F:$F,$F22,Data!$I:$I,IF(ISBLANK($I22),"",$I22),Data!$J:$J,$J22,Data!$K:$K,$K22,Data!$R:$R,"",Data!$L:$L,IF(ISBLANK($P22),"",$P22),Data!$G:$G,"MAHEL",Data!$H:$H,"A15C",Data!$M:$M,64),0)-U27</f>
        <v>0</v>
      </c>
      <c r="V25" s="57">
        <f>IF(NOT(ISBLANK(V22)),COUNTIFS(Data!$C:$C,$C22,Data!$P:$P,"VAL",Data!$E:$E,$E22,Data!$F:$F,$F22,Data!$I:$I,IF(ISBLANK($I22),"",$I22),Data!$J:$J,$J22,Data!$K:$K,$K22,Data!$R:$R,"",Data!$L:$L,IF(ISBLANK($P22),"",$P22),Data!$G:$G,"MAHEL",Data!$H:$H,"A15C",Data!$M:$M,72),0)-V27</f>
        <v>0</v>
      </c>
      <c r="W25" s="57">
        <f>IF(NOT(ISBLANK(W22)),COUNTIFS(Data!$C:$C,$C22,Data!$P:$P,"VAL",Data!$E:$E,$E22,Data!$F:$F,$F22,Data!$I:$I,IF(ISBLANK($I22),"",$I22),Data!$J:$J,$J22,Data!$K:$K,$K22,Data!$R:$R,"",Data!$L:$L,IF(ISBLANK($P22),"",$P22),Data!$G:$G,"MAHEL",Data!$H:$H,"A15C",Data!$M:$M,88),0)-W27</f>
        <v>1</v>
      </c>
      <c r="X25" s="57">
        <f>IF(NOT(ISBLANK(X22)),COUNTIFS(Data!$C:$C,$C22,Data!$P:$P,"VAL",Data!$E:$E,$E22,Data!$F:$F,$F22,Data!$I:$I,IF(ISBLANK($I22),"",$I22),Data!$J:$J,$J22,Data!$K:$K,$K22,Data!$R:$R,"",Data!$L:$L,IF(ISBLANK($P22),"",$P22),Data!$G:$G,"MAHEL",Data!$H:$H,"A15C",Data!$M:$M,105),0)-X27</f>
        <v>2</v>
      </c>
      <c r="Y25" s="11"/>
      <c r="Z25" s="11"/>
      <c r="AA25" s="11"/>
    </row>
    <row r="26" spans="1:27" x14ac:dyDescent="0.3">
      <c r="A26" s="8"/>
      <c r="B26" s="8"/>
      <c r="C26" s="9"/>
      <c r="D26" s="9"/>
      <c r="E26" s="9"/>
      <c r="F26" s="9"/>
      <c r="G26" s="9"/>
      <c r="H26" s="9"/>
      <c r="I26" s="9"/>
      <c r="J26" s="9"/>
      <c r="K26" s="9"/>
      <c r="L26" s="10" t="s">
        <v>416</v>
      </c>
      <c r="M26" s="10"/>
      <c r="N26" s="10"/>
      <c r="O26" s="10"/>
      <c r="P26" s="9">
        <f>IF(COUNTIF(Z22:Z27,"*AS ORDERED*")&gt;0,SUM(Q26:X26),IF(P24&gt;0,0,(-1)*P24))</f>
        <v>0</v>
      </c>
      <c r="Q26" s="11">
        <f t="shared" ref="Q26:X26" si="11">IF(Q24&lt;0,-Q24,IF((Q25+Q27)-Q23&gt;0,(Q25+Q27)-Q23,0))</f>
        <v>0</v>
      </c>
      <c r="R26" s="11">
        <f t="shared" si="11"/>
        <v>0</v>
      </c>
      <c r="S26" s="11">
        <f t="shared" si="11"/>
        <v>0</v>
      </c>
      <c r="T26" s="11">
        <f t="shared" si="11"/>
        <v>0</v>
      </c>
      <c r="U26" s="11">
        <f t="shared" si="11"/>
        <v>0</v>
      </c>
      <c r="V26" s="11">
        <f t="shared" si="11"/>
        <v>0</v>
      </c>
      <c r="W26" s="11">
        <f t="shared" si="11"/>
        <v>0</v>
      </c>
      <c r="X26" s="11">
        <f t="shared" si="11"/>
        <v>0</v>
      </c>
      <c r="Y26" s="11"/>
      <c r="Z26" s="11"/>
      <c r="AA26" s="11"/>
    </row>
    <row r="27" spans="1:27" ht="15" thickBot="1" x14ac:dyDescent="0.35">
      <c r="A27" s="8"/>
      <c r="B27" s="8"/>
      <c r="C27" s="9"/>
      <c r="D27" s="9"/>
      <c r="E27" s="9"/>
      <c r="F27" s="9"/>
      <c r="G27" s="9"/>
      <c r="H27" s="9"/>
      <c r="I27" s="9"/>
      <c r="J27" s="9"/>
      <c r="K27" s="9"/>
      <c r="L27" s="10" t="s">
        <v>417</v>
      </c>
      <c r="M27" s="10"/>
      <c r="N27" s="10"/>
      <c r="O27" s="10"/>
      <c r="P27" s="164">
        <f>SUM(Q27:X27)</f>
        <v>0</v>
      </c>
      <c r="Q27" s="57">
        <f>IF(NOT(ISBLANK(Q22)),COUNTIFS(Data!$C:$C,$C22,Data!$P:$P,"VAL",Data!$E:$E,$E22,Data!$F:$F,$F22,Data!$I:$I,IF(ISBLANK($I22),"",$I22),Data!$J:$J,$J22,Data!$K:$K,$K22,Data!$R:$R,"",Data!$L:$L,IF(ISBLANK($P22),"",$P22),Data!$G:$G,"MAHEL",Data!$H:$H,"A15C",Data!$M:$M,36, Data!$Q:$Q,1),0)</f>
        <v>0</v>
      </c>
      <c r="R27" s="57">
        <f>IF(NOT(ISBLANK(R22)),COUNTIFS(Data!$C:$C,$C22,Data!$P:$P,"VAL",Data!$E:$E,$E22,Data!$F:$F,$F22,Data!$I:$I,IF(ISBLANK($I22),"",$I22),Data!$J:$J,$J22,Data!$K:$K,$K22,Data!$R:$R,"",Data!$L:$L,IF(ISBLANK($P22),"",$P22),Data!$G:$G,"MAHEL",Data!$H:$H,"A15C",Data!$M:$M,40, Data!$Q:$Q,1),0)</f>
        <v>0</v>
      </c>
      <c r="S27" s="57">
        <f>IF(NOT(ISBLANK(S22)),COUNTIFS(Data!$C:$C,$C22,Data!$P:$P,"VAL",Data!$E:$E,$E22,Data!$F:$F,$F22,Data!$I:$I,IF(ISBLANK($I22),"",$I22),Data!$J:$J,$J22,Data!$K:$K,$K22,Data!$R:$R,"",Data!$L:$L,IF(ISBLANK($P22),"",$P22),Data!$G:$G,"MAHEL",Data!$H:$H,"A15C",Data!$M:$M,48, Data!$Q:$Q,1),0)</f>
        <v>0</v>
      </c>
      <c r="T27" s="57">
        <f>IF(NOT(ISBLANK(T22)),COUNTIFS(Data!$C:$C,$C22,Data!$P:$P,"VAL",Data!$E:$E,$E22,Data!$F:$F,$F22,Data!$I:$I,IF(ISBLANK($I22),"",$I22),Data!$J:$J,$J22,Data!$K:$K,$K22,Data!$R:$R,"",Data!$L:$L,IF(ISBLANK($P22),"",$P22),Data!$G:$G,"MAHEL",Data!$H:$H,"A15C",Data!$M:$M,56, Data!$Q:$Q,1),0)</f>
        <v>0</v>
      </c>
      <c r="U27" s="57">
        <f>IF(NOT(ISBLANK(U22)),COUNTIFS(Data!$C:$C,$C22,Data!$P:$P,"VAL",Data!$E:$E,$E22,Data!$F:$F,$F22,Data!$I:$I,IF(ISBLANK($I22),"",$I22),Data!$J:$J,$J22,Data!$K:$K,$K22,Data!$R:$R,"",Data!$L:$L,IF(ISBLANK($P22),"",$P22),Data!$G:$G,"MAHEL",Data!$H:$H,"A15C",Data!$M:$M,64, Data!$Q:$Q,1),0)</f>
        <v>0</v>
      </c>
      <c r="V27" s="57">
        <f>IF(NOT(ISBLANK(V22)),COUNTIFS(Data!$C:$C,$C22,Data!$P:$P,"VAL",Data!$E:$E,$E22,Data!$F:$F,$F22,Data!$I:$I,IF(ISBLANK($I22),"",$I22),Data!$J:$J,$J22,Data!$K:$K,$K22,Data!$R:$R,"",Data!$L:$L,IF(ISBLANK($P22),"",$P22),Data!$G:$G,"MAHEL",Data!$H:$H,"A15C",Data!$M:$M,72, Data!$Q:$Q,1),0)</f>
        <v>0</v>
      </c>
      <c r="W27" s="57">
        <f>IF(NOT(ISBLANK(W22)),COUNTIFS(Data!$C:$C,$C22,Data!$P:$P,"VAL",Data!$E:$E,$E22,Data!$F:$F,$F22,Data!$I:$I,IF(ISBLANK($I22),"",$I22),Data!$J:$J,$J22,Data!$K:$K,$K22,Data!$R:$R,"",Data!$L:$L,IF(ISBLANK($P22),"",$P22),Data!$G:$G,"MAHEL",Data!$H:$H,"A15C",Data!$M:$M,88, Data!$Q:$Q,1),0)</f>
        <v>0</v>
      </c>
      <c r="X27" s="57">
        <f>IF(NOT(ISBLANK(X22)),COUNTIFS(Data!$C:$C,$C22,Data!$P:$P,"VAL",Data!$E:$E,$E22,Data!$F:$F,$F22,Data!$I:$I,IF(ISBLANK($I22),"",$I22),Data!$J:$J,$J22,Data!$K:$K,$K22,Data!$R:$R,"",Data!$L:$L,IF(ISBLANK($P22),"",$P22),Data!$G:$G,"MAHEL",Data!$H:$H,"A15C",Data!$M:$M,105, Data!$Q:$Q,1),0)</f>
        <v>0</v>
      </c>
      <c r="Y27" s="11"/>
      <c r="Z27" s="11"/>
      <c r="AA27" s="11">
        <v>80</v>
      </c>
    </row>
    <row r="28" spans="1:27" ht="15.6" x14ac:dyDescent="0.3">
      <c r="A28" s="158" t="s">
        <v>546</v>
      </c>
      <c r="B28" s="158" t="s">
        <v>485</v>
      </c>
      <c r="C28" s="159" t="s">
        <v>478</v>
      </c>
      <c r="D28" s="159" t="s">
        <v>508</v>
      </c>
      <c r="E28" s="159" t="s">
        <v>547</v>
      </c>
      <c r="F28" s="159">
        <v>1</v>
      </c>
      <c r="G28" s="159" t="s">
        <v>394</v>
      </c>
      <c r="H28" s="159" t="s">
        <v>391</v>
      </c>
      <c r="I28" s="160" t="s">
        <v>548</v>
      </c>
      <c r="J28" s="159" t="s">
        <v>488</v>
      </c>
      <c r="K28" s="159" t="s">
        <v>547</v>
      </c>
      <c r="L28" s="159" t="s">
        <v>392</v>
      </c>
      <c r="M28" s="159" t="s">
        <v>393</v>
      </c>
      <c r="N28" s="159">
        <f>+Y28/80</f>
        <v>20</v>
      </c>
      <c r="O28" s="159"/>
      <c r="P28" s="159" t="s">
        <v>544</v>
      </c>
      <c r="Q28" s="161"/>
      <c r="R28" s="161"/>
      <c r="S28" s="161"/>
      <c r="T28" s="161"/>
      <c r="U28" s="161">
        <f>8*80</f>
        <v>640</v>
      </c>
      <c r="V28" s="161">
        <f>12*80</f>
        <v>960</v>
      </c>
      <c r="W28" s="161"/>
      <c r="X28" s="161"/>
      <c r="Y28" s="161">
        <f>SUM(Q28:X28)</f>
        <v>1600</v>
      </c>
      <c r="Z28" s="162" t="s">
        <v>489</v>
      </c>
      <c r="AA28" s="159" t="s">
        <v>482</v>
      </c>
    </row>
    <row r="29" spans="1:27" x14ac:dyDescent="0.3">
      <c r="A29" s="8"/>
      <c r="B29" s="8"/>
      <c r="C29" s="9"/>
      <c r="D29" s="9"/>
      <c r="E29" s="9"/>
      <c r="F29" s="9"/>
      <c r="G29" s="9"/>
      <c r="H29" s="9"/>
      <c r="I29" s="9"/>
      <c r="J29" s="9"/>
      <c r="K29" s="9"/>
      <c r="L29" s="10" t="s">
        <v>413</v>
      </c>
      <c r="M29" s="10"/>
      <c r="N29" s="10"/>
      <c r="O29" s="10"/>
      <c r="P29" s="9">
        <f>SUM(Q29:X29)</f>
        <v>20</v>
      </c>
      <c r="Q29" s="11">
        <f t="shared" ref="Q29:X29" si="12">IFERROR(Q28/80,0)</f>
        <v>0</v>
      </c>
      <c r="R29" s="11">
        <f t="shared" si="12"/>
        <v>0</v>
      </c>
      <c r="S29" s="11">
        <f t="shared" si="12"/>
        <v>0</v>
      </c>
      <c r="T29" s="11">
        <f t="shared" si="12"/>
        <v>0</v>
      </c>
      <c r="U29" s="11">
        <f t="shared" si="12"/>
        <v>8</v>
      </c>
      <c r="V29" s="11">
        <f t="shared" si="12"/>
        <v>12</v>
      </c>
      <c r="W29" s="11">
        <f t="shared" si="12"/>
        <v>0</v>
      </c>
      <c r="X29" s="11">
        <f t="shared" si="12"/>
        <v>0</v>
      </c>
      <c r="Y29" s="11"/>
      <c r="Z29" s="156" t="s">
        <v>560</v>
      </c>
      <c r="AA29" s="11"/>
    </row>
    <row r="30" spans="1:27" x14ac:dyDescent="0.3">
      <c r="A30" s="8"/>
      <c r="B30" s="8"/>
      <c r="C30" s="9"/>
      <c r="D30" s="9"/>
      <c r="E30" s="9"/>
      <c r="F30" s="9"/>
      <c r="G30" s="9"/>
      <c r="H30" s="9"/>
      <c r="I30" s="9"/>
      <c r="J30" s="9"/>
      <c r="K30" s="9"/>
      <c r="L30" s="10" t="s">
        <v>414</v>
      </c>
      <c r="M30" s="10"/>
      <c r="N30" s="10"/>
      <c r="O30" s="10"/>
      <c r="P30" s="9">
        <f>SUM(Q30:X30)</f>
        <v>12</v>
      </c>
      <c r="Q30" s="11">
        <f t="shared" ref="Q30:X30" si="13">IFERROR(Q29-(Q31+Q33),0)</f>
        <v>0</v>
      </c>
      <c r="R30" s="11">
        <f t="shared" si="13"/>
        <v>0</v>
      </c>
      <c r="S30" s="11">
        <f t="shared" si="13"/>
        <v>0</v>
      </c>
      <c r="T30" s="11">
        <f t="shared" si="13"/>
        <v>0</v>
      </c>
      <c r="U30" s="11">
        <f t="shared" si="13"/>
        <v>4</v>
      </c>
      <c r="V30" s="11">
        <f t="shared" si="13"/>
        <v>8</v>
      </c>
      <c r="W30" s="11">
        <f t="shared" si="13"/>
        <v>0</v>
      </c>
      <c r="X30" s="11">
        <f t="shared" si="13"/>
        <v>0</v>
      </c>
      <c r="Y30" s="11"/>
      <c r="Z30" s="156" t="s">
        <v>550</v>
      </c>
      <c r="AA30" s="11"/>
    </row>
    <row r="31" spans="1:27" x14ac:dyDescent="0.3">
      <c r="A31" s="8"/>
      <c r="B31" s="8"/>
      <c r="C31" s="9"/>
      <c r="D31" s="9"/>
      <c r="E31" s="9"/>
      <c r="F31" s="9"/>
      <c r="G31" s="9"/>
      <c r="H31" s="9"/>
      <c r="I31" s="9"/>
      <c r="J31" s="9"/>
      <c r="K31" s="9"/>
      <c r="L31" s="10" t="s">
        <v>415</v>
      </c>
      <c r="M31" s="10"/>
      <c r="N31" s="10"/>
      <c r="O31" s="10"/>
      <c r="P31" s="164">
        <f>SUM(Q31:X31)</f>
        <v>8</v>
      </c>
      <c r="Q31" s="57">
        <f>IF(NOT(ISBLANK(Q28)),COUNTIFS(Data!$C:$C,$C28,Data!$P:$P,"VAL",Data!$E:$E,$E28,Data!$F:$F,$F28,Data!$I:$I,IF(ISBLANK($I28),"",$I28),Data!$J:$J,$J28,Data!$K:$K,$K28,Data!$R:$R,"",Data!$L:$L,IF(ISBLANK($P28),"",$P28),Data!$G:$G,"MAHEL",Data!$H:$H,"A15C",Data!$M:$M,36),0)-Q33</f>
        <v>0</v>
      </c>
      <c r="R31" s="57">
        <f>IF(NOT(ISBLANK(R28)),COUNTIFS(Data!$C:$C,$C28,Data!$P:$P,"VAL",Data!$E:$E,$E28,Data!$F:$F,$F28,Data!$I:$I,IF(ISBLANK($I28),"",$I28),Data!$J:$J,$J28,Data!$K:$K,$K28,Data!$R:$R,"",Data!$L:$L,IF(ISBLANK($P28),"",$P28),Data!$G:$G,"MAHEL",Data!$H:$H,"A15C",Data!$M:$M,40),0)-R33</f>
        <v>0</v>
      </c>
      <c r="S31" s="57">
        <f>IF(NOT(ISBLANK(S28)),COUNTIFS(Data!$C:$C,$C28,Data!$P:$P,"VAL",Data!$E:$E,$E28,Data!$F:$F,$F28,Data!$I:$I,IF(ISBLANK($I28),"",$I28),Data!$J:$J,$J28,Data!$K:$K,$K28,Data!$R:$R,"",Data!$L:$L,IF(ISBLANK($P28),"",$P28),Data!$G:$G,"MAHEL",Data!$H:$H,"A15C",Data!$M:$M,48),0)-S33</f>
        <v>0</v>
      </c>
      <c r="T31" s="57">
        <f>IF(NOT(ISBLANK(T28)),COUNTIFS(Data!$C:$C,$C28,Data!$P:$P,"VAL",Data!$E:$E,$E28,Data!$F:$F,$F28,Data!$I:$I,IF(ISBLANK($I28),"",$I28),Data!$J:$J,$J28,Data!$K:$K,$K28,Data!$R:$R,"",Data!$L:$L,IF(ISBLANK($P28),"",$P28),Data!$G:$G,"MAHEL",Data!$H:$H,"A15C",Data!$M:$M,56),0)-T33</f>
        <v>0</v>
      </c>
      <c r="U31" s="57">
        <f>IF(NOT(ISBLANK(U28)),COUNTIFS(Data!$C:$C,$C28,Data!$P:$P,"VAL",Data!$E:$E,$E28,Data!$F:$F,$F28,Data!$I:$I,IF(ISBLANK($I28),"",$I28),Data!$J:$J,$J28,Data!$K:$K,$K28,Data!$R:$R,"",Data!$L:$L,IF(ISBLANK($P28),"",$P28),Data!$G:$G,"MAHEL",Data!$H:$H,"A15C",Data!$M:$M,64),0)-U33</f>
        <v>4</v>
      </c>
      <c r="V31" s="57">
        <f>IF(NOT(ISBLANK(V28)),COUNTIFS(Data!$C:$C,$C28,Data!$P:$P,"VAL",Data!$E:$E,$E28,Data!$F:$F,$F28,Data!$I:$I,IF(ISBLANK($I28),"",$I28),Data!$J:$J,$J28,Data!$K:$K,$K28,Data!$R:$R,"",Data!$L:$L,IF(ISBLANK($P28),"",$P28),Data!$G:$G,"MAHEL",Data!$H:$H,"A15C",Data!$M:$M,72),0)-V33</f>
        <v>4</v>
      </c>
      <c r="W31" s="57">
        <f>IF(NOT(ISBLANK(W28)),COUNTIFS(Data!$C:$C,$C28,Data!$P:$P,"VAL",Data!$E:$E,$E28,Data!$F:$F,$F28,Data!$I:$I,IF(ISBLANK($I28),"",$I28),Data!$J:$J,$J28,Data!$K:$K,$K28,Data!$R:$R,"",Data!$L:$L,IF(ISBLANK($P28),"",$P28),Data!$G:$G,"MAHEL",Data!$H:$H,"A15C",Data!$M:$M,88),0)-W33</f>
        <v>0</v>
      </c>
      <c r="X31" s="57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IF(NOT(ISBLANK(X28)),COUNTIFS(Data!$C:$C,$C28,Data!$P:$P,"VAL",Data!$E:$E,$E28,Data!$F:$F,$F28,Data!$I:$I,IF(ISBLANK($I28),"",$I28),Data!$J:$J,$J28,Data!$K:$K,$K28,Data!$R:$R,"",Data!$L:$L,IF(ISBLANK($P28),"",$P28),Data!$G:$G,"MAHEL",Data!$H:$H,"A15C",Data!$M:$M,105),0)-X33</f>
        <v>0</v>
      </c>
      <c r="Y31" s="11"/>
      <c r="Z31" s="156"/>
      <c r="AA31" s="11"/>
    </row>
    <row r="32" spans="1:27" x14ac:dyDescent="0.3">
      <c r="A32" s="8"/>
      <c r="B32" s="8"/>
      <c r="C32" s="9"/>
      <c r="D32" s="9"/>
      <c r="E32" s="9"/>
      <c r="F32" s="9"/>
      <c r="G32" s="9"/>
      <c r="H32" s="9"/>
      <c r="I32" s="9"/>
      <c r="J32" s="9"/>
      <c r="K32" s="9"/>
      <c r="L32" s="10" t="s">
        <v>416</v>
      </c>
      <c r="M32" s="10"/>
      <c r="N32" s="10"/>
      <c r="O32" s="10"/>
      <c r="P32" s="9">
        <f>IF(COUNTIF(Z28:Z33,"*AS ORDERED*")&gt;0,SUM(Q32:X32),IF(P30&gt;0,0,(-1)*P30))</f>
        <v>0</v>
      </c>
      <c r="Q32" s="11">
        <f t="shared" ref="Q32:X32" si="14">IF(Q30&lt;0,-Q30,IF((Q31+Q33)-Q29&gt;0,(Q31+Q33)-Q29,0))</f>
        <v>0</v>
      </c>
      <c r="R32" s="11">
        <f t="shared" si="14"/>
        <v>0</v>
      </c>
      <c r="S32" s="11">
        <f t="shared" si="14"/>
        <v>0</v>
      </c>
      <c r="T32" s="11">
        <f t="shared" si="14"/>
        <v>0</v>
      </c>
      <c r="U32" s="11">
        <f t="shared" si="14"/>
        <v>0</v>
      </c>
      <c r="V32" s="11">
        <f t="shared" si="14"/>
        <v>0</v>
      </c>
      <c r="W32" s="11">
        <f t="shared" si="14"/>
        <v>0</v>
      </c>
      <c r="X32" s="11">
        <f t="shared" si="14"/>
        <v>0</v>
      </c>
      <c r="Y32" s="11"/>
      <c r="Z32" s="11"/>
      <c r="AA32" s="11"/>
    </row>
    <row r="33" spans="1:31" ht="15" thickBot="1" x14ac:dyDescent="0.35">
      <c r="A33" s="8"/>
      <c r="B33" s="8"/>
      <c r="C33" s="9"/>
      <c r="D33" s="9"/>
      <c r="E33" s="9"/>
      <c r="F33" s="9"/>
      <c r="G33" s="9"/>
      <c r="H33" s="9"/>
      <c r="I33" s="9"/>
      <c r="J33" s="9"/>
      <c r="K33" s="9"/>
      <c r="L33" s="10" t="s">
        <v>417</v>
      </c>
      <c r="M33" s="10"/>
      <c r="N33" s="10"/>
      <c r="O33" s="10"/>
      <c r="P33" s="164">
        <f>SUM(Q33:X33)</f>
        <v>0</v>
      </c>
      <c r="Q33" s="57">
        <f>IF(NOT(ISBLANK(Q28)),COUNTIFS(Data!$C:$C,$C28,Data!$P:$P,"VAL",Data!$E:$E,$E28,Data!$F:$F,$F28,Data!$I:$I,IF(ISBLANK($I28),"",$I28),Data!$J:$J,$J28,Data!$K:$K,$K28,Data!$R:$R,"",Data!$L:$L,IF(ISBLANK($P28),"",$P28),Data!$G:$G,"MAHEL",Data!$H:$H,"A15C",Data!$M:$M,36, Data!$Q:$Q,1),0)</f>
        <v>0</v>
      </c>
      <c r="R33" s="57">
        <f>IF(NOT(ISBLANK(R28)),COUNTIFS(Data!$C:$C,$C28,Data!$P:$P,"VAL",Data!$E:$E,$E28,Data!$F:$F,$F28,Data!$I:$I,IF(ISBLANK($I28),"",$I28),Data!$J:$J,$J28,Data!$K:$K,$K28,Data!$R:$R,"",Data!$L:$L,IF(ISBLANK($P28),"",$P28),Data!$G:$G,"MAHEL",Data!$H:$H,"A15C",Data!$M:$M,40, Data!$Q:$Q,1),0)</f>
        <v>0</v>
      </c>
      <c r="S33" s="57">
        <f>IF(NOT(ISBLANK(S28)),COUNTIFS(Data!$C:$C,$C28,Data!$P:$P,"VAL",Data!$E:$E,$E28,Data!$F:$F,$F28,Data!$I:$I,IF(ISBLANK($I28),"",$I28),Data!$J:$J,$J28,Data!$K:$K,$K28,Data!$R:$R,"",Data!$L:$L,IF(ISBLANK($P28),"",$P28),Data!$G:$G,"MAHEL",Data!$H:$H,"A15C",Data!$M:$M,48, Data!$Q:$Q,1),0)</f>
        <v>0</v>
      </c>
      <c r="T33" s="57">
        <f>IF(NOT(ISBLANK(T28)),COUNTIFS(Data!$C:$C,$C28,Data!$P:$P,"VAL",Data!$E:$E,$E28,Data!$F:$F,$F28,Data!$I:$I,IF(ISBLANK($I28),"",$I28),Data!$J:$J,$J28,Data!$K:$K,$K28,Data!$R:$R,"",Data!$L:$L,IF(ISBLANK($P28),"",$P28),Data!$G:$G,"MAHEL",Data!$H:$H,"A15C",Data!$M:$M,56, Data!$Q:$Q,1),0)</f>
        <v>0</v>
      </c>
      <c r="U33" s="57">
        <f>IF(NOT(ISBLANK(U28)),COUNTIFS(Data!$C:$C,$C28,Data!$P:$P,"VAL",Data!$E:$E,$E28,Data!$F:$F,$F28,Data!$I:$I,IF(ISBLANK($I28),"",$I28),Data!$J:$J,$J28,Data!$K:$K,$K28,Data!$R:$R,"",Data!$L:$L,IF(ISBLANK($P28),"",$P28),Data!$G:$G,"MAHEL",Data!$H:$H,"A15C",Data!$M:$M,64, Data!$Q:$Q,1),0)</f>
        <v>0</v>
      </c>
      <c r="V33" s="57">
        <f>IF(NOT(ISBLANK(V28)),COUNTIFS(Data!$C:$C,$C28,Data!$P:$P,"VAL",Data!$E:$E,$E28,Data!$F:$F,$F28,Data!$I:$I,IF(ISBLANK($I28),"",$I28),Data!$J:$J,$J28,Data!$K:$K,$K28,Data!$R:$R,"",Data!$L:$L,IF(ISBLANK($P28),"",$P28),Data!$G:$G,"MAHEL",Data!$H:$H,"A15C",Data!$M:$M,72, Data!$Q:$Q,1),0)</f>
        <v>0</v>
      </c>
      <c r="W33" s="57">
        <f>IF(NOT(ISBLANK(W28)),COUNTIFS(Data!$C:$C,$C28,Data!$P:$P,"VAL",Data!$E:$E,$E28,Data!$F:$F,$F28,Data!$I:$I,IF(ISBLANK($I28),"",$I28),Data!$J:$J,$J28,Data!$K:$K,$K28,Data!$R:$R,"",Data!$L:$L,IF(ISBLANK($P28),"",$P28),Data!$G:$G,"MAHEL",Data!$H:$H,"A15C",Data!$M:$M,88, Data!$Q:$Q,1),0)</f>
        <v>0</v>
      </c>
      <c r="X33" s="57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IF(NOT(ISBLANK(X28)),COUNTIFS(Data!$C:$C,$C28,Data!$P:$P,"VAL",Data!$E:$E,$E28,Data!$F:$F,$F28,Data!$I:$I,IF(ISBLANK($I28),"",$I28),Data!$J:$J,$J28,Data!$K:$K,$K28,Data!$R:$R,"",Data!$L:$L,IF(ISBLANK($P28),"",$P28),Data!$G:$G,"MAHEL",Data!$H:$H,"A15C",Data!$M:$M,105, Data!$Q:$Q,1),0)</f>
        <v>0</v>
      </c>
      <c r="Y33" s="11"/>
      <c r="Z33" s="11"/>
      <c r="AA33" s="11">
        <v>80</v>
      </c>
    </row>
    <row r="34" spans="1:31" ht="15.6" x14ac:dyDescent="0.3">
      <c r="A34" s="64" t="s">
        <v>449</v>
      </c>
      <c r="B34" s="106" t="s">
        <v>485</v>
      </c>
      <c r="C34" s="107" t="s">
        <v>478</v>
      </c>
      <c r="D34" s="62" t="s">
        <v>508</v>
      </c>
      <c r="E34" s="62" t="s">
        <v>450</v>
      </c>
      <c r="F34" s="62">
        <v>1</v>
      </c>
      <c r="G34" s="62" t="s">
        <v>394</v>
      </c>
      <c r="H34" s="62" t="s">
        <v>391</v>
      </c>
      <c r="I34" s="108" t="s">
        <v>495</v>
      </c>
      <c r="J34" s="62" t="s">
        <v>439</v>
      </c>
      <c r="K34" s="62" t="s">
        <v>450</v>
      </c>
      <c r="L34" s="62" t="s">
        <v>392</v>
      </c>
      <c r="M34" s="62" t="s">
        <v>393</v>
      </c>
      <c r="N34" s="62">
        <f>+Y34/80</f>
        <v>20</v>
      </c>
      <c r="O34" s="62"/>
      <c r="P34" s="62" t="s">
        <v>544</v>
      </c>
      <c r="Q34" s="63"/>
      <c r="R34" s="63"/>
      <c r="S34" s="63"/>
      <c r="T34" s="63"/>
      <c r="U34" s="66"/>
      <c r="V34" s="63">
        <f>15*80</f>
        <v>1200</v>
      </c>
      <c r="W34" s="63">
        <f>5*80</f>
        <v>400</v>
      </c>
      <c r="X34" s="63"/>
      <c r="Y34" s="63">
        <f>SUM(Q34:X34)</f>
        <v>1600</v>
      </c>
      <c r="Z34" s="65" t="s">
        <v>489</v>
      </c>
      <c r="AA34" s="62" t="s">
        <v>482</v>
      </c>
    </row>
    <row r="35" spans="1:31" x14ac:dyDescent="0.3">
      <c r="A35" s="8"/>
      <c r="B35" s="8"/>
      <c r="C35" s="9"/>
      <c r="D35" s="9"/>
      <c r="E35" s="9"/>
      <c r="F35" s="9"/>
      <c r="G35" s="9"/>
      <c r="H35" s="9"/>
      <c r="I35" s="9"/>
      <c r="J35" s="9"/>
      <c r="K35" s="9"/>
      <c r="L35" s="10" t="s">
        <v>413</v>
      </c>
      <c r="M35" s="10"/>
      <c r="N35" s="10"/>
      <c r="O35" s="10"/>
      <c r="P35" s="9">
        <f>SUM(Q35:X35)</f>
        <v>20</v>
      </c>
      <c r="Q35" s="11">
        <f t="shared" ref="Q35:X35" si="15">IFERROR(Q34/80,0)</f>
        <v>0</v>
      </c>
      <c r="R35" s="11">
        <f t="shared" si="15"/>
        <v>0</v>
      </c>
      <c r="S35" s="11">
        <f t="shared" si="15"/>
        <v>0</v>
      </c>
      <c r="T35" s="11">
        <f t="shared" si="15"/>
        <v>0</v>
      </c>
      <c r="U35" s="11">
        <f t="shared" si="15"/>
        <v>0</v>
      </c>
      <c r="V35" s="11">
        <f t="shared" si="15"/>
        <v>15</v>
      </c>
      <c r="W35" s="11">
        <f t="shared" si="15"/>
        <v>5</v>
      </c>
      <c r="X35" s="11">
        <f t="shared" si="15"/>
        <v>0</v>
      </c>
      <c r="Y35" s="11"/>
      <c r="Z35" s="156" t="s">
        <v>560</v>
      </c>
      <c r="AA35" s="11"/>
    </row>
    <row r="36" spans="1:31" x14ac:dyDescent="0.3">
      <c r="A36" s="8"/>
      <c r="B36" s="8"/>
      <c r="C36" s="9"/>
      <c r="D36" s="9"/>
      <c r="E36" s="9"/>
      <c r="F36" s="9"/>
      <c r="G36" s="9"/>
      <c r="H36" s="9"/>
      <c r="I36" s="9"/>
      <c r="J36" s="9"/>
      <c r="K36" s="9"/>
      <c r="L36" s="10" t="s">
        <v>414</v>
      </c>
      <c r="M36" s="10"/>
      <c r="N36" s="10"/>
      <c r="O36" s="10"/>
      <c r="P36" s="9">
        <f>SUM(Q36:X36)</f>
        <v>20</v>
      </c>
      <c r="Q36" s="11">
        <f t="shared" ref="Q36:X36" si="16">IFERROR(Q35-(Q37+Q39),0)</f>
        <v>0</v>
      </c>
      <c r="R36" s="11">
        <f t="shared" si="16"/>
        <v>0</v>
      </c>
      <c r="S36" s="11">
        <f t="shared" si="16"/>
        <v>0</v>
      </c>
      <c r="T36" s="11">
        <f t="shared" si="16"/>
        <v>0</v>
      </c>
      <c r="U36" s="11">
        <f t="shared" si="16"/>
        <v>0</v>
      </c>
      <c r="V36" s="11">
        <f t="shared" si="16"/>
        <v>15</v>
      </c>
      <c r="W36" s="11">
        <f t="shared" si="16"/>
        <v>5</v>
      </c>
      <c r="X36" s="11">
        <f t="shared" si="16"/>
        <v>0</v>
      </c>
      <c r="Y36" s="11"/>
      <c r="Z36" s="156" t="s">
        <v>511</v>
      </c>
      <c r="AA36" s="11"/>
    </row>
    <row r="37" spans="1:31" x14ac:dyDescent="0.3">
      <c r="A37" s="8"/>
      <c r="B37" s="8"/>
      <c r="C37" s="9"/>
      <c r="D37" s="9"/>
      <c r="E37" s="9"/>
      <c r="F37" s="9"/>
      <c r="G37" s="9"/>
      <c r="H37" s="9"/>
      <c r="I37" s="9"/>
      <c r="J37" s="9"/>
      <c r="K37" s="9"/>
      <c r="L37" s="10" t="s">
        <v>415</v>
      </c>
      <c r="M37" s="10"/>
      <c r="N37" s="10"/>
      <c r="O37" s="10"/>
      <c r="P37" s="164">
        <f>SUM(Q37:X37)</f>
        <v>0</v>
      </c>
      <c r="Q37" s="57">
        <f>IF(NOT(ISBLANK(Q34)),COUNTIFS(Data!$C:$C,$C34,Data!$P:$P,"VAL",Data!$E:$E,$E34,Data!$F:$F,$F34,Data!$I:$I,IF(ISBLANK($I34),"",$I34),Data!$J:$J,$J34,Data!$K:$K,$K34,Data!$R:$R,"",Data!$L:$L,IF(ISBLANK($P34),"",$P34),Data!$G:$G,"MAHEL",Data!$H:$H,"A15C",Data!$M:$M,36),0)-Q39</f>
        <v>0</v>
      </c>
      <c r="R37" s="57">
        <f>IF(NOT(ISBLANK(R34)),COUNTIFS(Data!$C:$C,$C34,Data!$P:$P,"VAL",Data!$E:$E,$E34,Data!$F:$F,$F34,Data!$I:$I,IF(ISBLANK($I34),"",$I34),Data!$J:$J,$J34,Data!$K:$K,$K34,Data!$R:$R,"",Data!$L:$L,IF(ISBLANK($P34),"",$P34),Data!$G:$G,"MAHEL",Data!$H:$H,"A15C",Data!$M:$M,40),0)-R39</f>
        <v>0</v>
      </c>
      <c r="S37" s="57">
        <f>IF(NOT(ISBLANK(S34)),COUNTIFS(Data!$C:$C,$C34,Data!$P:$P,"VAL",Data!$E:$E,$E34,Data!$F:$F,$F34,Data!$I:$I,IF(ISBLANK($I34),"",$I34),Data!$J:$J,$J34,Data!$K:$K,$K34,Data!$R:$R,"",Data!$L:$L,IF(ISBLANK($P34),"",$P34),Data!$G:$G,"MAHEL",Data!$H:$H,"A15C",Data!$M:$M,48),0)-S39</f>
        <v>0</v>
      </c>
      <c r="T37" s="57">
        <f>IF(NOT(ISBLANK(T34)),COUNTIFS(Data!$C:$C,$C34,Data!$P:$P,"VAL",Data!$E:$E,$E34,Data!$F:$F,$F34,Data!$I:$I,IF(ISBLANK($I34),"",$I34),Data!$J:$J,$J34,Data!$K:$K,$K34,Data!$R:$R,"",Data!$L:$L,IF(ISBLANK($P34),"",$P34),Data!$G:$G,"MAHEL",Data!$H:$H,"A15C",Data!$M:$M,56),0)-T39</f>
        <v>0</v>
      </c>
      <c r="U37" s="57">
        <f>IF(NOT(ISBLANK(U34)),COUNTIFS(Data!$C:$C,$C34,Data!$P:$P,"VAL",Data!$E:$E,$E34,Data!$F:$F,$F34,Data!$I:$I,IF(ISBLANK($I34),"",$I34),Data!$J:$J,$J34,Data!$K:$K,$K34,Data!$R:$R,"",Data!$L:$L,IF(ISBLANK($P34),"",$P34),Data!$G:$G,"MAHEL",Data!$H:$H,"A15C",Data!$M:$M,64),0)-U39</f>
        <v>0</v>
      </c>
      <c r="V37" s="57">
        <f>IF(NOT(ISBLANK(V34)),COUNTIFS(Data!$C:$C,$C34,Data!$P:$P,"VAL",Data!$E:$E,$E34,Data!$F:$F,$F34,Data!$I:$I,IF(ISBLANK($I34),"",$I34),Data!$J:$J,$J34,Data!$K:$K,$K34,Data!$R:$R,"",Data!$L:$L,IF(ISBLANK($P34),"",$P34),Data!$G:$G,"MAHEL",Data!$H:$H,"A15C",Data!$M:$M,72),0)-V39</f>
        <v>0</v>
      </c>
      <c r="W37" s="57">
        <f>IF(NOT(ISBLANK(W34)),COUNTIFS(Data!$C:$C,$C34,Data!$P:$P,"VAL",Data!$E:$E,$E34,Data!$F:$F,$F34,Data!$I:$I,IF(ISBLANK($I34),"",$I34),Data!$J:$J,$J34,Data!$K:$K,$K34,Data!$R:$R,"",Data!$L:$L,IF(ISBLANK($P34),"",$P34),Data!$G:$G,"MAHEL",Data!$H:$H,"A15C",Data!$M:$M,88),0)-W39</f>
        <v>0</v>
      </c>
      <c r="X37" s="57">
        <f>IF(NOT(ISBLANK(X34)),COUNTIFS(Data!$C:$C,$C34,Data!$P:$P,"VAL",Data!$E:$E,$E34,Data!$F:$F,$F34,Data!$I:$I,IF(ISBLANK($I34),"",$I34),Data!$J:$J,$J34,Data!$K:$K,$K34,Data!$R:$R,"",Data!$L:$L,IF(ISBLANK($P34),"",$P34),Data!$G:$G,"MAHEL",Data!$H:$H,"A15C",Data!$M:$M,105),0)-X39</f>
        <v>0</v>
      </c>
      <c r="Y37" s="11"/>
      <c r="Z37" s="156"/>
      <c r="AA37" s="11"/>
    </row>
    <row r="38" spans="1:31" x14ac:dyDescent="0.3">
      <c r="A38" s="8"/>
      <c r="B38" s="8"/>
      <c r="C38" s="9"/>
      <c r="D38" s="9"/>
      <c r="E38" s="9"/>
      <c r="F38" s="9"/>
      <c r="G38" s="9"/>
      <c r="H38" s="9"/>
      <c r="I38" s="9"/>
      <c r="J38" s="9"/>
      <c r="K38" s="9"/>
      <c r="L38" s="10" t="s">
        <v>416</v>
      </c>
      <c r="M38" s="10"/>
      <c r="N38" s="10"/>
      <c r="O38" s="10"/>
      <c r="P38" s="9">
        <f>IF(COUNTIF(Z34:Z39,"*AS ORDERED*")&gt;0,SUM(Q38:X38),IF(P36&gt;0,0,(-1)*P36))</f>
        <v>0</v>
      </c>
      <c r="Q38" s="11">
        <f t="shared" ref="Q38:X38" si="17">IF(Q36&lt;0,-Q36,IF((Q37+Q39)-Q35&gt;0,(Q37+Q39)-Q35,0))</f>
        <v>0</v>
      </c>
      <c r="R38" s="11">
        <f t="shared" si="17"/>
        <v>0</v>
      </c>
      <c r="S38" s="11">
        <f t="shared" si="17"/>
        <v>0</v>
      </c>
      <c r="T38" s="11">
        <f t="shared" si="17"/>
        <v>0</v>
      </c>
      <c r="U38" s="11">
        <f t="shared" si="17"/>
        <v>0</v>
      </c>
      <c r="V38" s="11">
        <f t="shared" si="17"/>
        <v>0</v>
      </c>
      <c r="W38" s="11">
        <f t="shared" si="17"/>
        <v>0</v>
      </c>
      <c r="X38" s="11">
        <f t="shared" si="17"/>
        <v>0</v>
      </c>
      <c r="Y38" s="11"/>
      <c r="Z38" s="11"/>
      <c r="AA38" s="11"/>
    </row>
    <row r="39" spans="1:31" ht="15" thickBot="1" x14ac:dyDescent="0.35">
      <c r="A39" s="8"/>
      <c r="B39" s="8"/>
      <c r="C39" s="9"/>
      <c r="D39" s="9"/>
      <c r="E39" s="9"/>
      <c r="F39" s="9"/>
      <c r="G39" s="9"/>
      <c r="H39" s="9"/>
      <c r="I39" s="9"/>
      <c r="J39" s="9"/>
      <c r="K39" s="9"/>
      <c r="L39" s="10" t="s">
        <v>417</v>
      </c>
      <c r="M39" s="10"/>
      <c r="N39" s="10"/>
      <c r="O39" s="10"/>
      <c r="P39" s="164">
        <f>SUM(Q39:X39)</f>
        <v>0</v>
      </c>
      <c r="Q39" s="57">
        <f>IF(NOT(ISBLANK(Q34)),COUNTIFS(Data!$C:$C,$C34,Data!$P:$P,"VAL",Data!$E:$E,$E34,Data!$F:$F,$F34,Data!$I:$I,IF(ISBLANK($I34),"",$I34),Data!$J:$J,$J34,Data!$K:$K,$K34,Data!$R:$R,"",Data!$L:$L,IF(ISBLANK($P34),"",$P34),Data!$G:$G,"MAHEL",Data!$H:$H,"A15C",Data!$M:$M,36, Data!$Q:$Q,1),0)</f>
        <v>0</v>
      </c>
      <c r="R39" s="57">
        <f>IF(NOT(ISBLANK(R34)),COUNTIFS(Data!$C:$C,$C34,Data!$P:$P,"VAL",Data!$E:$E,$E34,Data!$F:$F,$F34,Data!$I:$I,IF(ISBLANK($I34),"",$I34),Data!$J:$J,$J34,Data!$K:$K,$K34,Data!$R:$R,"",Data!$L:$L,IF(ISBLANK($P34),"",$P34),Data!$G:$G,"MAHEL",Data!$H:$H,"A15C",Data!$M:$M,40, Data!$Q:$Q,1),0)</f>
        <v>0</v>
      </c>
      <c r="S39" s="57">
        <f>IF(NOT(ISBLANK(S34)),COUNTIFS(Data!$C:$C,$C34,Data!$P:$P,"VAL",Data!$E:$E,$E34,Data!$F:$F,$F34,Data!$I:$I,IF(ISBLANK($I34),"",$I34),Data!$J:$J,$J34,Data!$K:$K,$K34,Data!$R:$R,"",Data!$L:$L,IF(ISBLANK($P34),"",$P34),Data!$G:$G,"MAHEL",Data!$H:$H,"A15C",Data!$M:$M,48, Data!$Q:$Q,1),0)</f>
        <v>0</v>
      </c>
      <c r="T39" s="57">
        <f>IF(NOT(ISBLANK(T34)),COUNTIFS(Data!$C:$C,$C34,Data!$P:$P,"VAL",Data!$E:$E,$E34,Data!$F:$F,$F34,Data!$I:$I,IF(ISBLANK($I34),"",$I34),Data!$J:$J,$J34,Data!$K:$K,$K34,Data!$R:$R,"",Data!$L:$L,IF(ISBLANK($P34),"",$P34),Data!$G:$G,"MAHEL",Data!$H:$H,"A15C",Data!$M:$M,56, Data!$Q:$Q,1),0)</f>
        <v>0</v>
      </c>
      <c r="U39" s="57">
        <f>IF(NOT(ISBLANK(U34)),COUNTIFS(Data!$C:$C,$C34,Data!$P:$P,"VAL",Data!$E:$E,$E34,Data!$F:$F,$F34,Data!$I:$I,IF(ISBLANK($I34),"",$I34),Data!$J:$J,$J34,Data!$K:$K,$K34,Data!$R:$R,"",Data!$L:$L,IF(ISBLANK($P34),"",$P34),Data!$G:$G,"MAHEL",Data!$H:$H,"A15C",Data!$M:$M,64, Data!$Q:$Q,1),0)</f>
        <v>0</v>
      </c>
      <c r="V39" s="57">
        <f>IF(NOT(ISBLANK(V34)),COUNTIFS(Data!$C:$C,$C34,Data!$P:$P,"VAL",Data!$E:$E,$E34,Data!$F:$F,$F34,Data!$I:$I,IF(ISBLANK($I34),"",$I34),Data!$J:$J,$J34,Data!$K:$K,$K34,Data!$R:$R,"",Data!$L:$L,IF(ISBLANK($P34),"",$P34),Data!$G:$G,"MAHEL",Data!$H:$H,"A15C",Data!$M:$M,72, Data!$Q:$Q,1),0)</f>
        <v>0</v>
      </c>
      <c r="W39" s="57">
        <f>IF(NOT(ISBLANK(W34)),COUNTIFS(Data!$C:$C,$C34,Data!$P:$P,"VAL",Data!$E:$E,$E34,Data!$F:$F,$F34,Data!$I:$I,IF(ISBLANK($I34),"",$I34),Data!$J:$J,$J34,Data!$K:$K,$K34,Data!$R:$R,"",Data!$L:$L,IF(ISBLANK($P34),"",$P34),Data!$G:$G,"MAHEL",Data!$H:$H,"A15C",Data!$M:$M,88, Data!$Q:$Q,1),0)</f>
        <v>0</v>
      </c>
      <c r="X39" s="57">
        <f>IF(NOT(ISBLANK(X34)),COUNTIFS(Data!$C:$C,$C34,Data!$P:$P,"VAL",Data!$E:$E,$E34,Data!$F:$F,$F34,Data!$I:$I,IF(ISBLANK($I34),"",$I34),Data!$J:$J,$J34,Data!$K:$K,$K34,Data!$R:$R,"",Data!$L:$L,IF(ISBLANK($P34),"",$P34),Data!$G:$G,"MAHEL",Data!$H:$H,"A15C",Data!$M:$M,105, Data!$Q:$Q,1),0)</f>
        <v>0</v>
      </c>
      <c r="Y39" s="11"/>
      <c r="Z39" s="11"/>
      <c r="AA39" s="11">
        <v>80</v>
      </c>
    </row>
    <row r="40" spans="1:31" ht="15.6" x14ac:dyDescent="0.3">
      <c r="A40" s="64" t="s">
        <v>492</v>
      </c>
      <c r="B40" s="106" t="s">
        <v>485</v>
      </c>
      <c r="C40" s="107" t="s">
        <v>478</v>
      </c>
      <c r="D40" s="62" t="s">
        <v>508</v>
      </c>
      <c r="E40" s="62" t="s">
        <v>493</v>
      </c>
      <c r="F40" s="62">
        <v>1</v>
      </c>
      <c r="G40" s="62" t="s">
        <v>394</v>
      </c>
      <c r="H40" s="62" t="s">
        <v>391</v>
      </c>
      <c r="I40" s="109" t="s">
        <v>551</v>
      </c>
      <c r="J40" s="107" t="s">
        <v>488</v>
      </c>
      <c r="K40" s="107" t="s">
        <v>493</v>
      </c>
      <c r="L40" s="107" t="s">
        <v>392</v>
      </c>
      <c r="M40" s="107" t="s">
        <v>393</v>
      </c>
      <c r="N40" s="62">
        <f>+Y40/80</f>
        <v>20</v>
      </c>
      <c r="O40" s="62"/>
      <c r="P40" s="62" t="s">
        <v>544</v>
      </c>
      <c r="Q40" s="63"/>
      <c r="R40" s="63"/>
      <c r="S40" s="63"/>
      <c r="T40" s="63"/>
      <c r="U40" s="63"/>
      <c r="V40" s="63">
        <f>10*80</f>
        <v>800</v>
      </c>
      <c r="W40" s="63">
        <f>10*80</f>
        <v>800</v>
      </c>
      <c r="X40" s="62"/>
      <c r="Y40" s="63">
        <f>SUM(Q40:X40)</f>
        <v>1600</v>
      </c>
      <c r="Z40" s="65" t="s">
        <v>489</v>
      </c>
      <c r="AA40" s="62" t="s">
        <v>482</v>
      </c>
    </row>
    <row r="41" spans="1:31" x14ac:dyDescent="0.3">
      <c r="A41" s="8"/>
      <c r="B41" s="8"/>
      <c r="C41" s="9"/>
      <c r="D41" s="9"/>
      <c r="E41" s="9"/>
      <c r="F41" s="9"/>
      <c r="G41" s="9"/>
      <c r="H41" s="9"/>
      <c r="I41" s="9"/>
      <c r="J41" s="9"/>
      <c r="K41" s="9"/>
      <c r="L41" s="10" t="s">
        <v>413</v>
      </c>
      <c r="M41" s="10"/>
      <c r="N41" s="10"/>
      <c r="O41" s="10"/>
      <c r="P41" s="9">
        <f>SUM(Q41:X41)</f>
        <v>20</v>
      </c>
      <c r="Q41" s="11">
        <f t="shared" ref="Q41:X41" si="18">IFERROR(Q40/80,0)</f>
        <v>0</v>
      </c>
      <c r="R41" s="11">
        <f t="shared" si="18"/>
        <v>0</v>
      </c>
      <c r="S41" s="11">
        <f t="shared" si="18"/>
        <v>0</v>
      </c>
      <c r="T41" s="11">
        <f t="shared" si="18"/>
        <v>0</v>
      </c>
      <c r="U41" s="11">
        <f t="shared" si="18"/>
        <v>0</v>
      </c>
      <c r="V41" s="11">
        <f t="shared" si="18"/>
        <v>10</v>
      </c>
      <c r="W41" s="11">
        <f t="shared" si="18"/>
        <v>10</v>
      </c>
      <c r="X41" s="11">
        <f t="shared" si="18"/>
        <v>0</v>
      </c>
      <c r="Y41" s="11"/>
      <c r="Z41" s="156" t="s">
        <v>521</v>
      </c>
      <c r="AA41" s="11"/>
    </row>
    <row r="42" spans="1:31" x14ac:dyDescent="0.3">
      <c r="A42" s="8"/>
      <c r="B42" s="8"/>
      <c r="C42" s="9"/>
      <c r="D42" s="9"/>
      <c r="E42" s="9"/>
      <c r="F42" s="9"/>
      <c r="G42" s="9"/>
      <c r="H42" s="9"/>
      <c r="I42" s="9"/>
      <c r="J42" s="9"/>
      <c r="K42" s="9"/>
      <c r="L42" s="10" t="s">
        <v>414</v>
      </c>
      <c r="M42" s="10"/>
      <c r="N42" s="10"/>
      <c r="O42" s="10"/>
      <c r="P42" s="9">
        <f>SUM(Q42:X42)</f>
        <v>20</v>
      </c>
      <c r="Q42" s="11">
        <f t="shared" ref="Q42:X42" si="19">IFERROR(Q41-(Q43+Q45),0)</f>
        <v>0</v>
      </c>
      <c r="R42" s="11">
        <f t="shared" si="19"/>
        <v>0</v>
      </c>
      <c r="S42" s="11">
        <f t="shared" si="19"/>
        <v>0</v>
      </c>
      <c r="T42" s="11">
        <f t="shared" si="19"/>
        <v>0</v>
      </c>
      <c r="U42" s="11">
        <f t="shared" si="19"/>
        <v>0</v>
      </c>
      <c r="V42" s="11">
        <f t="shared" si="19"/>
        <v>10</v>
      </c>
      <c r="W42" s="11">
        <f t="shared" si="19"/>
        <v>10</v>
      </c>
      <c r="X42" s="11">
        <f t="shared" si="19"/>
        <v>0</v>
      </c>
      <c r="Y42" s="11"/>
      <c r="Z42" s="156" t="s">
        <v>522</v>
      </c>
      <c r="AA42" s="11"/>
    </row>
    <row r="43" spans="1:31" x14ac:dyDescent="0.3">
      <c r="A43" s="8"/>
      <c r="B43" s="8"/>
      <c r="C43" s="9"/>
      <c r="D43" s="9"/>
      <c r="E43" s="9"/>
      <c r="F43" s="9"/>
      <c r="G43" s="9"/>
      <c r="H43" s="9"/>
      <c r="I43" s="9"/>
      <c r="J43" s="9"/>
      <c r="K43" s="9"/>
      <c r="L43" s="10" t="s">
        <v>415</v>
      </c>
      <c r="M43" s="10"/>
      <c r="N43" s="10"/>
      <c r="O43" s="10"/>
      <c r="P43" s="164">
        <f>SUM(Q43:X43)</f>
        <v>0</v>
      </c>
      <c r="Q43" s="57">
        <f>IF(NOT(ISBLANK(Q40)),COUNTIFS(Data!$C:$C,$C40,Data!$P:$P,"VAL",Data!$E:$E,$E40,Data!$F:$F,$F40,Data!$I:$I,IF(ISBLANK($I40),"",$I40),Data!$J:$J,$J40,Data!$K:$K,$K40,Data!$R:$R,"",Data!$L:$L,IF(ISBLANK($P40),"",$P40),Data!$G:$G,"MAHEL",Data!$H:$H,"A15C",Data!$M:$M,36),0)-Q45</f>
        <v>0</v>
      </c>
      <c r="R43" s="57">
        <f>IF(NOT(ISBLANK(R40)),COUNTIFS(Data!$C:$C,$C40,Data!$P:$P,"VAL",Data!$E:$E,$E40,Data!$F:$F,$F40,Data!$I:$I,IF(ISBLANK($I40),"",$I40),Data!$J:$J,$J40,Data!$K:$K,$K40,Data!$R:$R,"",Data!$L:$L,IF(ISBLANK($P40),"",$P40),Data!$G:$G,"MAHEL",Data!$H:$H,"A15C",Data!$M:$M,40),0)-R45</f>
        <v>0</v>
      </c>
      <c r="S43" s="57">
        <f>IF(NOT(ISBLANK(S40)),COUNTIFS(Data!$C:$C,$C40,Data!$P:$P,"VAL",Data!$E:$E,$E40,Data!$F:$F,$F40,Data!$I:$I,IF(ISBLANK($I40),"",$I40),Data!$J:$J,$J40,Data!$K:$K,$K40,Data!$R:$R,"",Data!$L:$L,IF(ISBLANK($P40),"",$P40),Data!$G:$G,"MAHEL",Data!$H:$H,"A15C",Data!$M:$M,48),0)-S45</f>
        <v>0</v>
      </c>
      <c r="T43" s="57">
        <f>IF(NOT(ISBLANK(T40)),COUNTIFS(Data!$C:$C,$C40,Data!$P:$P,"VAL",Data!$E:$E,$E40,Data!$F:$F,$F40,Data!$I:$I,IF(ISBLANK($I40),"",$I40),Data!$J:$J,$J40,Data!$K:$K,$K40,Data!$R:$R,"",Data!$L:$L,IF(ISBLANK($P40),"",$P40),Data!$G:$G,"MAHEL",Data!$H:$H,"A15C",Data!$M:$M,56),0)-T45</f>
        <v>0</v>
      </c>
      <c r="U43" s="57">
        <f>IF(NOT(ISBLANK(U40)),COUNTIFS(Data!$C:$C,$C40,Data!$P:$P,"VAL",Data!$E:$E,$E40,Data!$F:$F,$F40,Data!$I:$I,IF(ISBLANK($I40),"",$I40),Data!$J:$J,$J40,Data!$K:$K,$K40,Data!$R:$R,"",Data!$L:$L,IF(ISBLANK($P40),"",$P40),Data!$G:$G,"MAHEL",Data!$H:$H,"A15C",Data!$M:$M,64),0)-U45</f>
        <v>0</v>
      </c>
      <c r="V43" s="57">
        <f>IF(NOT(ISBLANK(V40)),COUNTIFS(Data!$C:$C,$C40,Data!$P:$P,"VAL",Data!$E:$E,$E40,Data!$F:$F,$F40,Data!$I:$I,IF(ISBLANK($I40),"",$I40),Data!$J:$J,$J40,Data!$K:$K,$K40,Data!$R:$R,"",Data!$L:$L,IF(ISBLANK($P40),"",$P40),Data!$G:$G,"MAHEL",Data!$H:$H,"A15C",Data!$M:$M,72),0)-V45</f>
        <v>0</v>
      </c>
      <c r="W43" s="57">
        <f>IF(NOT(ISBLANK(W40)),COUNTIFS(Data!$C:$C,$C40,Data!$P:$P,"VAL",Data!$E:$E,$E40,Data!$F:$F,$F40,Data!$I:$I,IF(ISBLANK($I40),"",$I40),Data!$J:$J,$J40,Data!$K:$K,$K40,Data!$R:$R,"",Data!$L:$L,IF(ISBLANK($P40),"",$P40),Data!$G:$G,"MAHEL",Data!$H:$H,"A15C",Data!$M:$M,88),0)-W45</f>
        <v>0</v>
      </c>
      <c r="X43" s="57">
        <f>IF(NOT(ISBLANK(X40)),COUNTIFS(Data!$C:$C,$C40,Data!$P:$P,"VAL",Data!$E:$E,$E40,Data!$F:$F,$F40,Data!$I:$I,IF(ISBLANK($I40),"",$I40),Data!$J:$J,$J40,Data!$K:$K,$K40,Data!$R:$R,"",Data!$L:$L,IF(ISBLANK($P40),"",$P40),Data!$G:$G,"MAHEL",Data!$H:$H,"A15C",Data!$M:$M,105),0)-X45</f>
        <v>0</v>
      </c>
      <c r="Y43" s="11"/>
      <c r="Z43" s="156"/>
      <c r="AA43" s="11"/>
    </row>
    <row r="44" spans="1:31" x14ac:dyDescent="0.3">
      <c r="A44" s="8"/>
      <c r="B44" s="8"/>
      <c r="C44" s="9"/>
      <c r="D44" s="9"/>
      <c r="E44" s="9"/>
      <c r="F44" s="9"/>
      <c r="G44" s="9"/>
      <c r="H44" s="9"/>
      <c r="I44" s="9"/>
      <c r="J44" s="9"/>
      <c r="K44" s="9"/>
      <c r="L44" s="10" t="s">
        <v>416</v>
      </c>
      <c r="M44" s="10"/>
      <c r="N44" s="10"/>
      <c r="O44" s="10"/>
      <c r="P44" s="9">
        <f>IF(COUNTIF(Z40:Z45,"*AS ORDERED*")&gt;0,SUM(Q44:X44),IF(P42&gt;0,0,(-1)*P42))</f>
        <v>0</v>
      </c>
      <c r="Q44" s="11">
        <f t="shared" ref="Q44:X44" si="20">IF(Q42&lt;0,-Q42,IF((Q43+Q45)-Q41&gt;0,(Q43+Q45)-Q41,0))</f>
        <v>0</v>
      </c>
      <c r="R44" s="11">
        <f t="shared" si="20"/>
        <v>0</v>
      </c>
      <c r="S44" s="11">
        <f t="shared" si="20"/>
        <v>0</v>
      </c>
      <c r="T44" s="11">
        <f t="shared" si="20"/>
        <v>0</v>
      </c>
      <c r="U44" s="11">
        <f t="shared" si="20"/>
        <v>0</v>
      </c>
      <c r="V44" s="11">
        <f t="shared" si="20"/>
        <v>0</v>
      </c>
      <c r="W44" s="11">
        <f t="shared" si="20"/>
        <v>0</v>
      </c>
      <c r="X44" s="11">
        <f t="shared" si="20"/>
        <v>0</v>
      </c>
      <c r="Y44" s="11"/>
      <c r="Z44" s="11"/>
      <c r="AA44" s="11"/>
    </row>
    <row r="45" spans="1:31" ht="15" thickBot="1" x14ac:dyDescent="0.35">
      <c r="A45" s="8"/>
      <c r="B45" s="8"/>
      <c r="C45" s="9"/>
      <c r="D45" s="9"/>
      <c r="E45" s="9"/>
      <c r="F45" s="9"/>
      <c r="G45" s="9"/>
      <c r="H45" s="9"/>
      <c r="I45" s="9"/>
      <c r="J45" s="9"/>
      <c r="K45" s="9"/>
      <c r="L45" s="10" t="s">
        <v>417</v>
      </c>
      <c r="M45" s="10"/>
      <c r="N45" s="10"/>
      <c r="O45" s="10"/>
      <c r="P45" s="164">
        <f>SUM(Q45:X45)</f>
        <v>0</v>
      </c>
      <c r="Q45" s="57">
        <f>IF(NOT(ISBLANK(Q40)),COUNTIFS(Data!$C:$C,$C40,Data!$P:$P,"VAL",Data!$E:$E,$E40,Data!$F:$F,$F40,Data!$I:$I,IF(ISBLANK($I40),"",$I40),Data!$J:$J,$J40,Data!$K:$K,$K40,Data!$R:$R,"",Data!$L:$L,IF(ISBLANK($P40),"",$P40),Data!$G:$G,"MAHEL",Data!$H:$H,"A15C",Data!$M:$M,36, Data!$Q:$Q,1),0)</f>
        <v>0</v>
      </c>
      <c r="R45" s="57">
        <f>IF(NOT(ISBLANK(R40)),COUNTIFS(Data!$C:$C,$C40,Data!$P:$P,"VAL",Data!$E:$E,$E40,Data!$F:$F,$F40,Data!$I:$I,IF(ISBLANK($I40),"",$I40),Data!$J:$J,$J40,Data!$K:$K,$K40,Data!$R:$R,"",Data!$L:$L,IF(ISBLANK($P40),"",$P40),Data!$G:$G,"MAHEL",Data!$H:$H,"A15C",Data!$M:$M,40, Data!$Q:$Q,1),0)</f>
        <v>0</v>
      </c>
      <c r="S45" s="57">
        <f>IF(NOT(ISBLANK(S40)),COUNTIFS(Data!$C:$C,$C40,Data!$P:$P,"VAL",Data!$E:$E,$E40,Data!$F:$F,$F40,Data!$I:$I,IF(ISBLANK($I40),"",$I40),Data!$J:$J,$J40,Data!$K:$K,$K40,Data!$R:$R,"",Data!$L:$L,IF(ISBLANK($P40),"",$P40),Data!$G:$G,"MAHEL",Data!$H:$H,"A15C",Data!$M:$M,48, Data!$Q:$Q,1),0)</f>
        <v>0</v>
      </c>
      <c r="T45" s="57">
        <f>IF(NOT(ISBLANK(T40)),COUNTIFS(Data!$C:$C,$C40,Data!$P:$P,"VAL",Data!$E:$E,$E40,Data!$F:$F,$F40,Data!$I:$I,IF(ISBLANK($I40),"",$I40),Data!$J:$J,$J40,Data!$K:$K,$K40,Data!$R:$R,"",Data!$L:$L,IF(ISBLANK($P40),"",$P40),Data!$G:$G,"MAHEL",Data!$H:$H,"A15C",Data!$M:$M,56, Data!$Q:$Q,1),0)</f>
        <v>0</v>
      </c>
      <c r="U45" s="57">
        <f>IF(NOT(ISBLANK(U40)),COUNTIFS(Data!$C:$C,$C40,Data!$P:$P,"VAL",Data!$E:$E,$E40,Data!$F:$F,$F40,Data!$I:$I,IF(ISBLANK($I40),"",$I40),Data!$J:$J,$J40,Data!$K:$K,$K40,Data!$R:$R,"",Data!$L:$L,IF(ISBLANK($P40),"",$P40),Data!$G:$G,"MAHEL",Data!$H:$H,"A15C",Data!$M:$M,64, Data!$Q:$Q,1),0)</f>
        <v>0</v>
      </c>
      <c r="V45" s="57">
        <f>IF(NOT(ISBLANK(V40)),COUNTIFS(Data!$C:$C,$C40,Data!$P:$P,"VAL",Data!$E:$E,$E40,Data!$F:$F,$F40,Data!$I:$I,IF(ISBLANK($I40),"",$I40),Data!$J:$J,$J40,Data!$K:$K,$K40,Data!$R:$R,"",Data!$L:$L,IF(ISBLANK($P40),"",$P40),Data!$G:$G,"MAHEL",Data!$H:$H,"A15C",Data!$M:$M,72, Data!$Q:$Q,1),0)</f>
        <v>0</v>
      </c>
      <c r="W45" s="57">
        <f>IF(NOT(ISBLANK(W40)),COUNTIFS(Data!$C:$C,$C40,Data!$P:$P,"VAL",Data!$E:$E,$E40,Data!$F:$F,$F40,Data!$I:$I,IF(ISBLANK($I40),"",$I40),Data!$J:$J,$J40,Data!$K:$K,$K40,Data!$R:$R,"",Data!$L:$L,IF(ISBLANK($P40),"",$P40),Data!$G:$G,"MAHEL",Data!$H:$H,"A15C",Data!$M:$M,88, Data!$Q:$Q,1),0)</f>
        <v>0</v>
      </c>
      <c r="X45" s="57">
        <f>IF(NOT(ISBLANK(X40)),COUNTIFS(Data!$C:$C,$C40,Data!$P:$P,"VAL",Data!$E:$E,$E40,Data!$F:$F,$F40,Data!$I:$I,IF(ISBLANK($I40),"",$I40),Data!$J:$J,$J40,Data!$K:$K,$K40,Data!$R:$R,"",Data!$L:$L,IF(ISBLANK($P40),"",$P40),Data!$G:$G,"MAHEL",Data!$H:$H,"A15C",Data!$M:$M,105, Data!$Q:$Q,1),0)</f>
        <v>0</v>
      </c>
      <c r="Y45" s="11"/>
      <c r="Z45" s="11"/>
      <c r="AA45" s="11">
        <v>80</v>
      </c>
    </row>
    <row r="46" spans="1:31" ht="15.6" x14ac:dyDescent="0.3">
      <c r="A46" s="64"/>
      <c r="B46" s="106"/>
      <c r="C46" s="107" t="s">
        <v>478</v>
      </c>
      <c r="D46" s="62" t="s">
        <v>508</v>
      </c>
      <c r="E46" s="62" t="s">
        <v>493</v>
      </c>
      <c r="F46" s="62">
        <v>1</v>
      </c>
      <c r="G46" s="62" t="s">
        <v>394</v>
      </c>
      <c r="H46" s="62" t="s">
        <v>391</v>
      </c>
      <c r="I46" s="109" t="s">
        <v>552</v>
      </c>
      <c r="J46" s="107" t="s">
        <v>488</v>
      </c>
      <c r="K46" s="107" t="s">
        <v>493</v>
      </c>
      <c r="L46" s="107" t="s">
        <v>392</v>
      </c>
      <c r="M46" s="107" t="s">
        <v>393</v>
      </c>
      <c r="N46" s="62">
        <f>+Y46/80</f>
        <v>20</v>
      </c>
      <c r="O46" s="62"/>
      <c r="P46" s="62" t="s">
        <v>544</v>
      </c>
      <c r="Q46" s="63"/>
      <c r="R46" s="63"/>
      <c r="S46" s="63"/>
      <c r="T46" s="63"/>
      <c r="U46" s="63"/>
      <c r="V46" s="63">
        <f>8*80</f>
        <v>640</v>
      </c>
      <c r="W46" s="63">
        <f>7*80</f>
        <v>560</v>
      </c>
      <c r="X46" s="62">
        <f>5*80</f>
        <v>400</v>
      </c>
      <c r="Y46" s="63">
        <f>SUM(Q46:X46)</f>
        <v>1600</v>
      </c>
      <c r="Z46" s="65" t="s">
        <v>489</v>
      </c>
      <c r="AA46" s="62"/>
      <c r="AE46" s="84"/>
    </row>
    <row r="47" spans="1:31" x14ac:dyDescent="0.3">
      <c r="A47" s="8"/>
      <c r="B47" s="8"/>
      <c r="C47" s="9"/>
      <c r="D47" s="9"/>
      <c r="E47" s="9"/>
      <c r="F47" s="9"/>
      <c r="G47" s="9"/>
      <c r="H47" s="9"/>
      <c r="I47" s="9"/>
      <c r="J47" s="9"/>
      <c r="K47" s="9"/>
      <c r="L47" s="10" t="s">
        <v>413</v>
      </c>
      <c r="M47" s="10"/>
      <c r="N47" s="10"/>
      <c r="O47" s="10"/>
      <c r="P47" s="9">
        <f>SUM(Q47:X47)</f>
        <v>20</v>
      </c>
      <c r="Q47" s="11">
        <f t="shared" ref="Q47:X47" si="21">IFERROR(Q46/80,0)</f>
        <v>0</v>
      </c>
      <c r="R47" s="11">
        <f t="shared" si="21"/>
        <v>0</v>
      </c>
      <c r="S47" s="11">
        <f t="shared" si="21"/>
        <v>0</v>
      </c>
      <c r="T47" s="11">
        <f t="shared" si="21"/>
        <v>0</v>
      </c>
      <c r="U47" s="11">
        <f t="shared" si="21"/>
        <v>0</v>
      </c>
      <c r="V47" s="11">
        <f t="shared" si="21"/>
        <v>8</v>
      </c>
      <c r="W47" s="11">
        <f t="shared" si="21"/>
        <v>7</v>
      </c>
      <c r="X47" s="11">
        <f t="shared" si="21"/>
        <v>5</v>
      </c>
      <c r="Y47" s="11"/>
      <c r="Z47" s="156" t="s">
        <v>521</v>
      </c>
      <c r="AA47" s="11"/>
    </row>
    <row r="48" spans="1:31" x14ac:dyDescent="0.3">
      <c r="A48" s="8"/>
      <c r="B48" s="8"/>
      <c r="C48" s="9"/>
      <c r="D48" s="9"/>
      <c r="E48" s="9"/>
      <c r="F48" s="9"/>
      <c r="G48" s="9"/>
      <c r="H48" s="9"/>
      <c r="I48" s="9"/>
      <c r="J48" s="9"/>
      <c r="K48" s="9"/>
      <c r="L48" s="10" t="s">
        <v>414</v>
      </c>
      <c r="M48" s="10"/>
      <c r="N48" s="10"/>
      <c r="O48" s="10"/>
      <c r="P48" s="9">
        <f>SUM(Q48:X48)</f>
        <v>20</v>
      </c>
      <c r="Q48" s="11">
        <f t="shared" ref="Q48:X48" si="22">IFERROR(Q47-(Q49+Q51),0)</f>
        <v>0</v>
      </c>
      <c r="R48" s="11">
        <f t="shared" si="22"/>
        <v>0</v>
      </c>
      <c r="S48" s="11">
        <f t="shared" si="22"/>
        <v>0</v>
      </c>
      <c r="T48" s="11">
        <f t="shared" si="22"/>
        <v>0</v>
      </c>
      <c r="U48" s="11">
        <f t="shared" si="22"/>
        <v>0</v>
      </c>
      <c r="V48" s="11">
        <f t="shared" si="22"/>
        <v>8</v>
      </c>
      <c r="W48" s="11">
        <f t="shared" si="22"/>
        <v>7</v>
      </c>
      <c r="X48" s="11">
        <f t="shared" si="22"/>
        <v>5</v>
      </c>
      <c r="Y48" s="11"/>
      <c r="Z48" s="156" t="s">
        <v>522</v>
      </c>
      <c r="AA48" s="11"/>
    </row>
    <row r="49" spans="1:27" x14ac:dyDescent="0.3">
      <c r="A49" s="8"/>
      <c r="B49" s="8"/>
      <c r="C49" s="9"/>
      <c r="D49" s="9"/>
      <c r="E49" s="9"/>
      <c r="F49" s="9"/>
      <c r="G49" s="9"/>
      <c r="H49" s="9"/>
      <c r="I49" s="9"/>
      <c r="J49" s="9"/>
      <c r="K49" s="9"/>
      <c r="L49" s="10" t="s">
        <v>415</v>
      </c>
      <c r="M49" s="10"/>
      <c r="N49" s="10"/>
      <c r="O49" s="10"/>
      <c r="P49" s="164">
        <f>SUM(Q49:X49)</f>
        <v>0</v>
      </c>
      <c r="Q49" s="57">
        <f>IF(NOT(ISBLANK(Q46)),COUNTIFS(Data!$C:$C,$C46,Data!$P:$P,"VAL",Data!$E:$E,$E46,Data!$F:$F,$F46,Data!$I:$I,IF(ISBLANK($I46),"",$I46),Data!$J:$J,$J46,Data!$K:$K,$K46,Data!$R:$R,"",Data!$L:$L,IF(ISBLANK($P46),"",$P46),Data!$G:$G,"MAHEL",Data!$H:$H,"A15C",Data!$M:$M,36),0)-Q51</f>
        <v>0</v>
      </c>
      <c r="R49" s="57">
        <f>IF(NOT(ISBLANK(R46)),COUNTIFS(Data!$C:$C,$C46,Data!$P:$P,"VAL",Data!$E:$E,$E46,Data!$F:$F,$F46,Data!$I:$I,IF(ISBLANK($I46),"",$I46),Data!$J:$J,$J46,Data!$K:$K,$K46,Data!$R:$R,"",Data!$L:$L,IF(ISBLANK($P46),"",$P46),Data!$G:$G,"MAHEL",Data!$H:$H,"A15C",Data!$M:$M,40),0)-R51</f>
        <v>0</v>
      </c>
      <c r="S49" s="57">
        <f>IF(NOT(ISBLANK(S46)),COUNTIFS(Data!$C:$C,$C46,Data!$P:$P,"VAL",Data!$E:$E,$E46,Data!$F:$F,$F46,Data!$I:$I,IF(ISBLANK($I46),"",$I46),Data!$J:$J,$J46,Data!$K:$K,$K46,Data!$R:$R,"",Data!$L:$L,IF(ISBLANK($P46),"",$P46),Data!$G:$G,"MAHEL",Data!$H:$H,"A15C",Data!$M:$M,48),0)-S51</f>
        <v>0</v>
      </c>
      <c r="T49" s="57">
        <f>IF(NOT(ISBLANK(T46)),COUNTIFS(Data!$C:$C,$C46,Data!$P:$P,"VAL",Data!$E:$E,$E46,Data!$F:$F,$F46,Data!$I:$I,IF(ISBLANK($I46),"",$I46),Data!$J:$J,$J46,Data!$K:$K,$K46,Data!$R:$R,"",Data!$L:$L,IF(ISBLANK($P46),"",$P46),Data!$G:$G,"MAHEL",Data!$H:$H,"A15C",Data!$M:$M,56),0)-T51</f>
        <v>0</v>
      </c>
      <c r="U49" s="57">
        <f>IF(NOT(ISBLANK(U46)),COUNTIFS(Data!$C:$C,$C46,Data!$P:$P,"VAL",Data!$E:$E,$E46,Data!$F:$F,$F46,Data!$I:$I,IF(ISBLANK($I46),"",$I46),Data!$J:$J,$J46,Data!$K:$K,$K46,Data!$R:$R,"",Data!$L:$L,IF(ISBLANK($P46),"",$P46),Data!$G:$G,"MAHEL",Data!$H:$H,"A15C",Data!$M:$M,64),0)-U51</f>
        <v>0</v>
      </c>
      <c r="V49" s="57">
        <f>IF(NOT(ISBLANK(V46)),COUNTIFS(Data!$C:$C,$C46,Data!$P:$P,"VAL",Data!$E:$E,$E46,Data!$F:$F,$F46,Data!$I:$I,IF(ISBLANK($I46),"",$I46),Data!$J:$J,$J46,Data!$K:$K,$K46,Data!$R:$R,"",Data!$L:$L,IF(ISBLANK($P46),"",$P46),Data!$G:$G,"MAHEL",Data!$H:$H,"A15C",Data!$M:$M,72),0)-V51</f>
        <v>0</v>
      </c>
      <c r="W49" s="57">
        <f>IF(NOT(ISBLANK(W46)),COUNTIFS(Data!$C:$C,$C46,Data!$P:$P,"VAL",Data!$E:$E,$E46,Data!$F:$F,$F46,Data!$I:$I,IF(ISBLANK($I46),"",$I46),Data!$J:$J,$J46,Data!$K:$K,$K46,Data!$R:$R,"",Data!$L:$L,IF(ISBLANK($P46),"",$P46),Data!$G:$G,"MAHEL",Data!$H:$H,"A15C",Data!$M:$M,88),0)-W51</f>
        <v>0</v>
      </c>
      <c r="X49" s="57">
        <f>IF(NOT(ISBLANK(X46)),COUNTIFS(Data!$C:$C,$C46,Data!$P:$P,"VAL",Data!$E:$E,$E46,Data!$F:$F,$F46,Data!$I:$I,IF(ISBLANK($I46),"",$I46),Data!$J:$J,$J46,Data!$K:$K,$K46,Data!$R:$R,"",Data!$L:$L,IF(ISBLANK($P46),"",$P46),Data!$G:$G,"MAHEL",Data!$H:$H,"A15C",Data!$M:$M,105),0)-X51</f>
        <v>0</v>
      </c>
      <c r="Y49" s="11"/>
      <c r="Z49" s="156"/>
      <c r="AA49" s="11"/>
    </row>
    <row r="50" spans="1:27" x14ac:dyDescent="0.3">
      <c r="A50" s="8"/>
      <c r="B50" s="8"/>
      <c r="C50" s="9"/>
      <c r="D50" s="9"/>
      <c r="E50" s="9"/>
      <c r="F50" s="9"/>
      <c r="G50" s="9"/>
      <c r="H50" s="9"/>
      <c r="I50" s="9"/>
      <c r="J50" s="9"/>
      <c r="K50" s="9"/>
      <c r="L50" s="10" t="s">
        <v>416</v>
      </c>
      <c r="M50" s="10"/>
      <c r="N50" s="10"/>
      <c r="O50" s="10"/>
      <c r="P50" s="9">
        <f>IF(COUNTIF(Z46:Z51,"*AS ORDERED*")&gt;0,SUM(Q50:X50),IF(P48&gt;0,0,(-1)*P48))</f>
        <v>0</v>
      </c>
      <c r="Q50" s="11">
        <f t="shared" ref="Q50:X50" si="23">IF(Q48&lt;0,-Q48,IF((Q49+Q51)-Q47&gt;0,(Q49+Q51)-Q47,0))</f>
        <v>0</v>
      </c>
      <c r="R50" s="11">
        <f t="shared" si="23"/>
        <v>0</v>
      </c>
      <c r="S50" s="11">
        <f t="shared" si="23"/>
        <v>0</v>
      </c>
      <c r="T50" s="11">
        <f t="shared" si="23"/>
        <v>0</v>
      </c>
      <c r="U50" s="11">
        <f t="shared" si="23"/>
        <v>0</v>
      </c>
      <c r="V50" s="11">
        <f t="shared" si="23"/>
        <v>0</v>
      </c>
      <c r="W50" s="11">
        <f t="shared" si="23"/>
        <v>0</v>
      </c>
      <c r="X50" s="11">
        <f t="shared" si="23"/>
        <v>0</v>
      </c>
      <c r="Y50" s="11"/>
      <c r="Z50" s="11"/>
      <c r="AA50" s="11"/>
    </row>
    <row r="51" spans="1:27" ht="15" thickBot="1" x14ac:dyDescent="0.35">
      <c r="A51" s="8"/>
      <c r="B51" s="8"/>
      <c r="C51" s="9"/>
      <c r="D51" s="9"/>
      <c r="E51" s="9"/>
      <c r="F51" s="9"/>
      <c r="G51" s="9"/>
      <c r="H51" s="9"/>
      <c r="I51" s="9"/>
      <c r="J51" s="9"/>
      <c r="K51" s="9"/>
      <c r="L51" s="10" t="s">
        <v>417</v>
      </c>
      <c r="M51" s="10"/>
      <c r="N51" s="10"/>
      <c r="O51" s="10"/>
      <c r="P51" s="164">
        <f>SUM(Q51:X51)</f>
        <v>0</v>
      </c>
      <c r="Q51" s="57">
        <f>IF(NOT(ISBLANK(Q46)),COUNTIFS(Data!$C:$C,$C46,Data!$P:$P,"VAL",Data!$E:$E,$E46,Data!$F:$F,$F46,Data!$I:$I,IF(ISBLANK($I46),"",$I46),Data!$J:$J,$J46,Data!$K:$K,$K46,Data!$R:$R,"",Data!$L:$L,IF(ISBLANK($P46),"",$P46),Data!$G:$G,"MAHEL",Data!$H:$H,"A15C",Data!$M:$M,36, Data!$Q:$Q,1),0)</f>
        <v>0</v>
      </c>
      <c r="R51" s="57">
        <f>IF(NOT(ISBLANK(R46)),COUNTIFS(Data!$C:$C,$C46,Data!$P:$P,"VAL",Data!$E:$E,$E46,Data!$F:$F,$F46,Data!$I:$I,IF(ISBLANK($I46),"",$I46),Data!$J:$J,$J46,Data!$K:$K,$K46,Data!$R:$R,"",Data!$L:$L,IF(ISBLANK($P46),"",$P46),Data!$G:$G,"MAHEL",Data!$H:$H,"A15C",Data!$M:$M,40, Data!$Q:$Q,1),0)</f>
        <v>0</v>
      </c>
      <c r="S51" s="57">
        <f>IF(NOT(ISBLANK(S46)),COUNTIFS(Data!$C:$C,$C46,Data!$P:$P,"VAL",Data!$E:$E,$E46,Data!$F:$F,$F46,Data!$I:$I,IF(ISBLANK($I46),"",$I46),Data!$J:$J,$J46,Data!$K:$K,$K46,Data!$R:$R,"",Data!$L:$L,IF(ISBLANK($P46),"",$P46),Data!$G:$G,"MAHEL",Data!$H:$H,"A15C",Data!$M:$M,48, Data!$Q:$Q,1),0)</f>
        <v>0</v>
      </c>
      <c r="T51" s="57">
        <f>IF(NOT(ISBLANK(T46)),COUNTIFS(Data!$C:$C,$C46,Data!$P:$P,"VAL",Data!$E:$E,$E46,Data!$F:$F,$F46,Data!$I:$I,IF(ISBLANK($I46),"",$I46),Data!$J:$J,$J46,Data!$K:$K,$K46,Data!$R:$R,"",Data!$L:$L,IF(ISBLANK($P46),"",$P46),Data!$G:$G,"MAHEL",Data!$H:$H,"A15C",Data!$M:$M,56, Data!$Q:$Q,1),0)</f>
        <v>0</v>
      </c>
      <c r="U51" s="57">
        <f>IF(NOT(ISBLANK(U46)),COUNTIFS(Data!$C:$C,$C46,Data!$P:$P,"VAL",Data!$E:$E,$E46,Data!$F:$F,$F46,Data!$I:$I,IF(ISBLANK($I46),"",$I46),Data!$J:$J,$J46,Data!$K:$K,$K46,Data!$R:$R,"",Data!$L:$L,IF(ISBLANK($P46),"",$P46),Data!$G:$G,"MAHEL",Data!$H:$H,"A15C",Data!$M:$M,64, Data!$Q:$Q,1),0)</f>
        <v>0</v>
      </c>
      <c r="V51" s="57">
        <f>IF(NOT(ISBLANK(V46)),COUNTIFS(Data!$C:$C,$C46,Data!$P:$P,"VAL",Data!$E:$E,$E46,Data!$F:$F,$F46,Data!$I:$I,IF(ISBLANK($I46),"",$I46),Data!$J:$J,$J46,Data!$K:$K,$K46,Data!$R:$R,"",Data!$L:$L,IF(ISBLANK($P46),"",$P46),Data!$G:$G,"MAHEL",Data!$H:$H,"A15C",Data!$M:$M,72, Data!$Q:$Q,1),0)</f>
        <v>0</v>
      </c>
      <c r="W51" s="57">
        <f>IF(NOT(ISBLANK(W46)),COUNTIFS(Data!$C:$C,$C46,Data!$P:$P,"VAL",Data!$E:$E,$E46,Data!$F:$F,$F46,Data!$I:$I,IF(ISBLANK($I46),"",$I46),Data!$J:$J,$J46,Data!$K:$K,$K46,Data!$R:$R,"",Data!$L:$L,IF(ISBLANK($P46),"",$P46),Data!$G:$G,"MAHEL",Data!$H:$H,"A15C",Data!$M:$M,88, Data!$Q:$Q,1),0)</f>
        <v>0</v>
      </c>
      <c r="X51" s="57">
        <f>IF(NOT(ISBLANK(X46)),COUNTIFS(Data!$C:$C,$C46,Data!$P:$P,"VAL",Data!$E:$E,$E46,Data!$F:$F,$F46,Data!$I:$I,IF(ISBLANK($I46),"",$I46),Data!$J:$J,$J46,Data!$K:$K,$K46,Data!$R:$R,"",Data!$L:$L,IF(ISBLANK($P46),"",$P46),Data!$G:$G,"MAHEL",Data!$H:$H,"A15C",Data!$M:$M,105, Data!$Q:$Q,1),0)</f>
        <v>0</v>
      </c>
      <c r="Y51" s="11"/>
      <c r="Z51" s="11"/>
      <c r="AA51" s="11">
        <v>80</v>
      </c>
    </row>
    <row r="52" spans="1:27" ht="15.6" x14ac:dyDescent="0.3">
      <c r="A52" s="64" t="s">
        <v>486</v>
      </c>
      <c r="B52" s="106" t="s">
        <v>485</v>
      </c>
      <c r="C52" s="107" t="s">
        <v>478</v>
      </c>
      <c r="D52" s="62" t="s">
        <v>508</v>
      </c>
      <c r="E52" s="62" t="s">
        <v>487</v>
      </c>
      <c r="F52" s="62">
        <v>1</v>
      </c>
      <c r="G52" s="62" t="s">
        <v>394</v>
      </c>
      <c r="H52" s="62" t="s">
        <v>391</v>
      </c>
      <c r="I52" s="62"/>
      <c r="J52" s="62" t="s">
        <v>488</v>
      </c>
      <c r="K52" s="62" t="s">
        <v>487</v>
      </c>
      <c r="L52" s="62" t="s">
        <v>481</v>
      </c>
      <c r="M52" s="62" t="s">
        <v>393</v>
      </c>
      <c r="N52" s="62">
        <f>+Y52/80</f>
        <v>50</v>
      </c>
      <c r="O52" s="62"/>
      <c r="P52" s="62" t="s">
        <v>553</v>
      </c>
      <c r="Q52" s="64"/>
      <c r="R52" s="64"/>
      <c r="S52" s="64"/>
      <c r="T52" s="63"/>
      <c r="U52" s="63">
        <f>10*80</f>
        <v>800</v>
      </c>
      <c r="V52" s="63">
        <f>20*80</f>
        <v>1600</v>
      </c>
      <c r="W52" s="63">
        <f>20*80</f>
        <v>1600</v>
      </c>
      <c r="X52" s="63"/>
      <c r="Y52" s="63">
        <f>SUM(Q52:X52)</f>
        <v>4000</v>
      </c>
      <c r="Z52" s="110" t="s">
        <v>489</v>
      </c>
      <c r="AA52" s="107" t="s">
        <v>482</v>
      </c>
    </row>
    <row r="53" spans="1:27" x14ac:dyDescent="0.3">
      <c r="A53" s="8"/>
      <c r="B53" s="8"/>
      <c r="C53" s="9"/>
      <c r="D53" s="9"/>
      <c r="E53" s="9"/>
      <c r="F53" s="9"/>
      <c r="G53" s="9"/>
      <c r="H53" s="9"/>
      <c r="I53" s="9"/>
      <c r="J53" s="9"/>
      <c r="K53" s="9"/>
      <c r="L53" s="10" t="s">
        <v>413</v>
      </c>
      <c r="M53" s="10"/>
      <c r="N53" s="10"/>
      <c r="O53" s="10"/>
      <c r="P53" s="9">
        <f>SUM(Q53:X53)</f>
        <v>50</v>
      </c>
      <c r="Q53" s="11">
        <f t="shared" ref="Q53:X53" si="24">IFERROR(Q52/80,0)</f>
        <v>0</v>
      </c>
      <c r="R53" s="11">
        <f t="shared" si="24"/>
        <v>0</v>
      </c>
      <c r="S53" s="11">
        <f t="shared" si="24"/>
        <v>0</v>
      </c>
      <c r="T53" s="11">
        <f t="shared" si="24"/>
        <v>0</v>
      </c>
      <c r="U53" s="11">
        <f t="shared" si="24"/>
        <v>10</v>
      </c>
      <c r="V53" s="11">
        <f t="shared" si="24"/>
        <v>20</v>
      </c>
      <c r="W53" s="11">
        <f t="shared" si="24"/>
        <v>20</v>
      </c>
      <c r="X53" s="11">
        <f t="shared" si="24"/>
        <v>0</v>
      </c>
      <c r="Y53" s="11"/>
      <c r="Z53" s="156" t="s">
        <v>561</v>
      </c>
      <c r="AA53" s="11"/>
    </row>
    <row r="54" spans="1:27" x14ac:dyDescent="0.3">
      <c r="A54" s="8"/>
      <c r="B54" s="8"/>
      <c r="C54" s="9"/>
      <c r="D54" s="9"/>
      <c r="E54" s="9"/>
      <c r="F54" s="9"/>
      <c r="G54" s="9"/>
      <c r="H54" s="9"/>
      <c r="I54" s="9"/>
      <c r="J54" s="9"/>
      <c r="K54" s="9"/>
      <c r="L54" s="10" t="s">
        <v>414</v>
      </c>
      <c r="M54" s="10"/>
      <c r="N54" s="10"/>
      <c r="O54" s="10"/>
      <c r="P54" s="9">
        <f>SUM(Q54:X54)</f>
        <v>0</v>
      </c>
      <c r="Q54" s="11">
        <f t="shared" ref="Q54:X54" si="25">IFERROR(Q53-(Q55+Q57),0)</f>
        <v>0</v>
      </c>
      <c r="R54" s="11">
        <f t="shared" si="25"/>
        <v>0</v>
      </c>
      <c r="S54" s="11">
        <f t="shared" si="25"/>
        <v>0</v>
      </c>
      <c r="T54" s="11">
        <f t="shared" si="25"/>
        <v>0</v>
      </c>
      <c r="U54" s="11">
        <f t="shared" si="25"/>
        <v>1</v>
      </c>
      <c r="V54" s="11">
        <f t="shared" si="25"/>
        <v>-8</v>
      </c>
      <c r="W54" s="11">
        <f t="shared" si="25"/>
        <v>7</v>
      </c>
      <c r="X54" s="11">
        <f t="shared" si="25"/>
        <v>0</v>
      </c>
      <c r="Y54" s="11"/>
      <c r="Z54" s="156"/>
      <c r="AA54" s="11"/>
    </row>
    <row r="55" spans="1:27" x14ac:dyDescent="0.3">
      <c r="A55" s="8"/>
      <c r="B55" s="8"/>
      <c r="C55" s="9"/>
      <c r="D55" s="9"/>
      <c r="E55" s="9"/>
      <c r="F55" s="9"/>
      <c r="G55" s="9"/>
      <c r="H55" s="9"/>
      <c r="I55" s="9"/>
      <c r="J55" s="9"/>
      <c r="K55" s="9"/>
      <c r="L55" s="10" t="s">
        <v>415</v>
      </c>
      <c r="M55" s="10"/>
      <c r="N55" s="10"/>
      <c r="O55" s="10"/>
      <c r="P55" s="164">
        <f>SUM(Q55:X55)</f>
        <v>50</v>
      </c>
      <c r="Q55" s="57">
        <f>IF(NOT(ISBLANK(Q52)),COUNTIFS(Data!$C:$C,$C52,Data!$P:$P,"VAL",Data!$E:$E,$E52,Data!$F:$F,$F52,Data!$I:$I,IF(ISBLANK($I52),"",$I52),Data!$J:$J,$J52,Data!$K:$K,$K52,Data!$R:$R,"",Data!$L:$L,IF(ISBLANK($P52),"",$P52),Data!$G:$G,"MAHEL",Data!$H:$H,"A15C",Data!$M:$M,36),0)-Q57</f>
        <v>0</v>
      </c>
      <c r="R55" s="57">
        <f>IF(NOT(ISBLANK(R52)),COUNTIFS(Data!$C:$C,$C52,Data!$P:$P,"VAL",Data!$E:$E,$E52,Data!$F:$F,$F52,Data!$I:$I,IF(ISBLANK($I52),"",$I52),Data!$J:$J,$J52,Data!$K:$K,$K52,Data!$R:$R,"",Data!$L:$L,IF(ISBLANK($P52),"",$P52),Data!$G:$G,"MAHEL",Data!$H:$H,"A15C",Data!$M:$M,40),0)-R57</f>
        <v>0</v>
      </c>
      <c r="S55" s="57">
        <f>IF(NOT(ISBLANK(S52)),COUNTIFS(Data!$C:$C,$C52,Data!$P:$P,"VAL",Data!$E:$E,$E52,Data!$F:$F,$F52,Data!$I:$I,IF(ISBLANK($I52),"",$I52),Data!$J:$J,$J52,Data!$K:$K,$K52,Data!$R:$R,"",Data!$L:$L,IF(ISBLANK($P52),"",$P52),Data!$G:$G,"MAHEL",Data!$H:$H,"A15C",Data!$M:$M,48),0)-S57</f>
        <v>0</v>
      </c>
      <c r="T55" s="57">
        <f>IF(NOT(ISBLANK(T52)),COUNTIFS(Data!$C:$C,$C52,Data!$P:$P,"VAL",Data!$E:$E,$E52,Data!$F:$F,$F52,Data!$I:$I,IF(ISBLANK($I52),"",$I52),Data!$J:$J,$J52,Data!$K:$K,$K52,Data!$R:$R,"",Data!$L:$L,IF(ISBLANK($P52),"",$P52),Data!$G:$G,"MAHEL",Data!$H:$H,"A15C",Data!$M:$M,56),0)-T57</f>
        <v>0</v>
      </c>
      <c r="U55" s="57">
        <v>9</v>
      </c>
      <c r="V55" s="57">
        <v>28</v>
      </c>
      <c r="W55" s="57">
        <v>13</v>
      </c>
      <c r="X55" s="57">
        <f>IF(NOT(ISBLANK(X52)),COUNTIFS(Data!$C:$C,$C52,Data!$P:$P,"VAL",Data!$E:$E,$E52,Data!$F:$F,$F52,Data!$I:$I,IF(ISBLANK($I52),"",$I52),Data!$J:$J,$J52,Data!$K:$K,$K52,Data!$R:$R,"",Data!$L:$L,IF(ISBLANK($P52),"",$P52),Data!$G:$G,"MAHEL",Data!$H:$H,"A15C",Data!$M:$M,105),0)-X57</f>
        <v>0</v>
      </c>
      <c r="Y55" s="11"/>
      <c r="Z55" s="11"/>
      <c r="AA55" s="11"/>
    </row>
    <row r="56" spans="1:27" x14ac:dyDescent="0.3">
      <c r="A56" s="8"/>
      <c r="B56" s="8"/>
      <c r="C56" s="9"/>
      <c r="D56" s="9"/>
      <c r="E56" s="9"/>
      <c r="F56" s="9"/>
      <c r="G56" s="9"/>
      <c r="H56" s="9"/>
      <c r="I56" s="9"/>
      <c r="J56" s="9"/>
      <c r="K56" s="9"/>
      <c r="L56" s="10" t="s">
        <v>416</v>
      </c>
      <c r="M56" s="10"/>
      <c r="N56" s="10"/>
      <c r="O56" s="10"/>
      <c r="P56" s="9">
        <f>IF(COUNTIF(Z52:Z57,"*AS ORDERED*")&gt;0,SUM(Q56:X56),IF(P54&gt;0,0,(-1)*P54))</f>
        <v>0</v>
      </c>
      <c r="Q56" s="11">
        <f>IF(($P55+$P57)&gt;$P53,IF((Q55+Q57)-Q53&gt;0,(Q55+Q57)-Q53,0),0)</f>
        <v>0</v>
      </c>
      <c r="R56" s="11">
        <f>IF(($P55+$P57)&gt;$P53,IF((R55+R57)-R53&gt;0,(R55+R57)-R53,0),0)</f>
        <v>0</v>
      </c>
      <c r="S56" s="11">
        <f>IF(($P55+$P57)&gt;$P53,IF((S55+S57)-S53&gt;0,(S55+S57)-S53,0),0)</f>
        <v>0</v>
      </c>
      <c r="T56" s="11">
        <f>IF(($P55+$P57)&gt;$P53,IF((T55+T57)-T53&gt;0,(T55+T57)-T53,0),0)</f>
        <v>0</v>
      </c>
      <c r="U56" s="11">
        <f>IF(U54&lt;0,-U54,IF((U55+U57)-U53&gt;0,(U55+U57)-U53,0))</f>
        <v>0</v>
      </c>
      <c r="V56" s="11">
        <f>IF(($P55+$P57)&gt;$P53,IF((V55+V57)-V53&gt;0,(V55+V57)-V53,0),0)</f>
        <v>0</v>
      </c>
      <c r="W56" s="11">
        <f>IF(($P55+$P57)&gt;$P53,IF((W55+W57)-W53&gt;0,(W55+W57)-W53,0),0)</f>
        <v>0</v>
      </c>
      <c r="X56" s="11">
        <f>IF(($P55+$P57)&gt;$P53,IF((X55+X57)-X53&gt;0,(X55+X57)-X53,0),0)</f>
        <v>0</v>
      </c>
      <c r="Y56" s="11"/>
      <c r="Z56" s="11"/>
      <c r="AA56" s="11"/>
    </row>
    <row r="57" spans="1:27" ht="15" thickBot="1" x14ac:dyDescent="0.35">
      <c r="A57" s="8"/>
      <c r="B57" s="8"/>
      <c r="C57" s="9"/>
      <c r="D57" s="9"/>
      <c r="E57" s="9"/>
      <c r="F57" s="9"/>
      <c r="G57" s="9"/>
      <c r="H57" s="9"/>
      <c r="I57" s="9"/>
      <c r="J57" s="9"/>
      <c r="K57" s="9"/>
      <c r="L57" s="10" t="s">
        <v>417</v>
      </c>
      <c r="M57" s="10"/>
      <c r="N57" s="10"/>
      <c r="O57" s="10"/>
      <c r="P57" s="164">
        <f>SUM(Q57:X57)</f>
        <v>0</v>
      </c>
      <c r="Q57" s="57">
        <f>IF(NOT(ISBLANK(Q52)),COUNTIFS(Data!$C:$C,$C52,Data!$P:$P,"VAL",Data!$E:$E,$E52,Data!$F:$F,$F52,Data!$I:$I,IF(ISBLANK($I52),"",$I52),Data!$J:$J,$J52,Data!$K:$K,$K52,Data!$R:$R,"",Data!$L:$L,IF(ISBLANK($P52),"",$P52),Data!$G:$G,"MAHEL",Data!$H:$H,"A15C",Data!$M:$M,36, Data!$Q:$Q,1),0)</f>
        <v>0</v>
      </c>
      <c r="R57" s="57">
        <f>IF(NOT(ISBLANK(R52)),COUNTIFS(Data!$C:$C,$C52,Data!$P:$P,"VAL",Data!$E:$E,$E52,Data!$F:$F,$F52,Data!$I:$I,IF(ISBLANK($I52),"",$I52),Data!$J:$J,$J52,Data!$K:$K,$K52,Data!$R:$R,"",Data!$L:$L,IF(ISBLANK($P52),"",$P52),Data!$G:$G,"MAHEL",Data!$H:$H,"A15C",Data!$M:$M,40, Data!$Q:$Q,1),0)</f>
        <v>0</v>
      </c>
      <c r="S57" s="57">
        <f>IF(NOT(ISBLANK(S52)),COUNTIFS(Data!$C:$C,$C52,Data!$P:$P,"VAL",Data!$E:$E,$E52,Data!$F:$F,$F52,Data!$I:$I,IF(ISBLANK($I52),"",$I52),Data!$J:$J,$J52,Data!$K:$K,$K52,Data!$R:$R,"",Data!$L:$L,IF(ISBLANK($P52),"",$P52),Data!$G:$G,"MAHEL",Data!$H:$H,"A15C",Data!$M:$M,48, Data!$Q:$Q,1),0)</f>
        <v>0</v>
      </c>
      <c r="T57" s="57">
        <f>IF(NOT(ISBLANK(T52)),COUNTIFS(Data!$C:$C,$C52,Data!$P:$P,"VAL",Data!$E:$E,$E52,Data!$F:$F,$F52,Data!$I:$I,IF(ISBLANK($I52),"",$I52),Data!$J:$J,$J52,Data!$K:$K,$K52,Data!$R:$R,"",Data!$L:$L,IF(ISBLANK($P52),"",$P52),Data!$G:$G,"MAHEL",Data!$H:$H,"A15C",Data!$M:$M,56, Data!$Q:$Q,1),0)</f>
        <v>0</v>
      </c>
      <c r="U57" s="57">
        <f>IF(NOT(ISBLANK(U52)),COUNTIFS(Data!$C:$C,$C52,Data!$P:$P,"VAL",Data!$E:$E,$E52,Data!$F:$F,$F52,Data!$I:$I,IF(ISBLANK($I52),"",$I52),Data!$J:$J,$J52,Data!$K:$K,$K52,Data!$R:$R,"",Data!$L:$L,IF(ISBLANK($P52),"",$P52),Data!$G:$G,"MAHEL",Data!$H:$H,"A15C",Data!$M:$M,64, Data!$Q:$Q,1),0)</f>
        <v>0</v>
      </c>
      <c r="V57" s="57">
        <f>IF(NOT(ISBLANK(V52)),COUNTIFS(Data!$C:$C,$C52,Data!$P:$P,"VAL",Data!$E:$E,$E52,Data!$F:$F,$F52,Data!$I:$I,IF(ISBLANK($I52),"",$I52),Data!$J:$J,$J52,Data!$K:$K,$K52,Data!$R:$R,"",Data!$L:$L,IF(ISBLANK($P52),"",$P52),Data!$G:$G,"MAHEL",Data!$H:$H,"A15C",Data!$M:$M,72, Data!$Q:$Q,1),0)</f>
        <v>0</v>
      </c>
      <c r="W57" s="57">
        <f>IF(NOT(ISBLANK(W52)),COUNTIFS(Data!$C:$C,$C52,Data!$P:$P,"VAL",Data!$E:$E,$E52,Data!$F:$F,$F52,Data!$I:$I,IF(ISBLANK($I52),"",$I52),Data!$J:$J,$J52,Data!$K:$K,$K52,Data!$R:$R,"",Data!$L:$L,IF(ISBLANK($P52),"",$P52),Data!$G:$G,"MAHEL",Data!$H:$H,"A15C",Data!$M:$M,88, Data!$Q:$Q,1),0)</f>
        <v>0</v>
      </c>
      <c r="X57" s="57">
        <f>IF(NOT(ISBLANK(X52)),COUNTIFS(Data!$C:$C,$C52,Data!$P:$P,"VAL",Data!$E:$E,$E52,Data!$F:$F,$F52,Data!$I:$I,IF(ISBLANK($I52),"",$I52),Data!$J:$J,$J52,Data!$K:$K,$K52,Data!$R:$R,"",Data!$L:$L,IF(ISBLANK($P52),"",$P52),Data!$G:$G,"MAHEL",Data!$H:$H,"A15C",Data!$M:$M,105, Data!$Q:$Q,1),0)</f>
        <v>0</v>
      </c>
      <c r="Y57" s="11"/>
      <c r="Z57" s="11"/>
      <c r="AA57" s="11">
        <v>80</v>
      </c>
    </row>
    <row r="58" spans="1:27" ht="15.6" x14ac:dyDescent="0.3">
      <c r="A58" s="64"/>
      <c r="B58" s="106" t="s">
        <v>389</v>
      </c>
      <c r="C58" s="107" t="s">
        <v>396</v>
      </c>
      <c r="D58" s="62" t="s">
        <v>508</v>
      </c>
      <c r="E58" s="62" t="s">
        <v>487</v>
      </c>
      <c r="F58" s="62">
        <v>1</v>
      </c>
      <c r="G58" s="62" t="s">
        <v>390</v>
      </c>
      <c r="H58" s="62" t="s">
        <v>391</v>
      </c>
      <c r="I58" s="62"/>
      <c r="J58" s="62" t="s">
        <v>488</v>
      </c>
      <c r="K58" s="62" t="s">
        <v>487</v>
      </c>
      <c r="L58" s="62" t="s">
        <v>481</v>
      </c>
      <c r="M58" s="62" t="s">
        <v>393</v>
      </c>
      <c r="N58" s="62">
        <f>+Y58/80</f>
        <v>30</v>
      </c>
      <c r="O58" s="62"/>
      <c r="P58" s="62" t="s">
        <v>536</v>
      </c>
      <c r="Q58" s="64"/>
      <c r="R58" s="64"/>
      <c r="S58" s="64"/>
      <c r="T58" s="63"/>
      <c r="U58" s="66"/>
      <c r="V58" s="63">
        <f>10*80</f>
        <v>800</v>
      </c>
      <c r="W58" s="63">
        <f>10*80</f>
        <v>800</v>
      </c>
      <c r="X58" s="63">
        <f>10*80</f>
        <v>800</v>
      </c>
      <c r="Y58" s="63">
        <f>SUM(Q58:X58)</f>
        <v>2400</v>
      </c>
      <c r="Z58" s="110" t="s">
        <v>490</v>
      </c>
      <c r="AA58" s="107" t="s">
        <v>406</v>
      </c>
    </row>
    <row r="59" spans="1:27" x14ac:dyDescent="0.3">
      <c r="A59" s="8"/>
      <c r="B59" s="8"/>
      <c r="C59" s="9"/>
      <c r="D59" s="9"/>
      <c r="E59" s="9"/>
      <c r="F59" s="9"/>
      <c r="G59" s="9"/>
      <c r="H59" s="9"/>
      <c r="I59" s="9"/>
      <c r="J59" s="9"/>
      <c r="K59" s="9"/>
      <c r="L59" s="10" t="s">
        <v>413</v>
      </c>
      <c r="M59" s="10"/>
      <c r="N59" s="10"/>
      <c r="O59" s="10"/>
      <c r="P59" s="9">
        <f>SUM(Q59:X59)</f>
        <v>30</v>
      </c>
      <c r="Q59" s="11">
        <f t="shared" ref="Q59:X59" si="26">IFERROR(Q58/80,0)</f>
        <v>0</v>
      </c>
      <c r="R59" s="11">
        <f t="shared" si="26"/>
        <v>0</v>
      </c>
      <c r="S59" s="11">
        <f t="shared" si="26"/>
        <v>0</v>
      </c>
      <c r="T59" s="11">
        <f t="shared" si="26"/>
        <v>0</v>
      </c>
      <c r="U59" s="11">
        <f t="shared" si="26"/>
        <v>0</v>
      </c>
      <c r="V59" s="11">
        <f t="shared" si="26"/>
        <v>10</v>
      </c>
      <c r="W59" s="11">
        <f t="shared" si="26"/>
        <v>10</v>
      </c>
      <c r="X59" s="11">
        <f t="shared" si="26"/>
        <v>10</v>
      </c>
      <c r="Y59" s="11"/>
      <c r="Z59" s="156" t="s">
        <v>523</v>
      </c>
      <c r="AA59" s="11"/>
    </row>
    <row r="60" spans="1:27" x14ac:dyDescent="0.3">
      <c r="A60" s="8"/>
      <c r="B60" s="8"/>
      <c r="C60" s="9"/>
      <c r="D60" s="9"/>
      <c r="E60" s="9"/>
      <c r="F60" s="9"/>
      <c r="G60" s="9"/>
      <c r="H60" s="9"/>
      <c r="I60" s="9"/>
      <c r="J60" s="9"/>
      <c r="K60" s="9"/>
      <c r="L60" s="10" t="s">
        <v>414</v>
      </c>
      <c r="M60" s="10"/>
      <c r="N60" s="10"/>
      <c r="O60" s="10"/>
      <c r="P60" s="9">
        <f>SUM(Q60:X60)</f>
        <v>14</v>
      </c>
      <c r="Q60" s="11">
        <f t="shared" ref="Q60:X60" si="27">IFERROR(Q59-(Q61+Q63),0)</f>
        <v>0</v>
      </c>
      <c r="R60" s="11">
        <f t="shared" si="27"/>
        <v>0</v>
      </c>
      <c r="S60" s="11">
        <f t="shared" si="27"/>
        <v>0</v>
      </c>
      <c r="T60" s="11">
        <f t="shared" si="27"/>
        <v>0</v>
      </c>
      <c r="U60" s="11">
        <f t="shared" si="27"/>
        <v>0</v>
      </c>
      <c r="V60" s="11">
        <f t="shared" si="27"/>
        <v>10</v>
      </c>
      <c r="W60" s="11">
        <f t="shared" si="27"/>
        <v>10</v>
      </c>
      <c r="X60" s="11">
        <f t="shared" si="27"/>
        <v>-6</v>
      </c>
      <c r="Y60" s="11"/>
      <c r="Z60" s="156"/>
      <c r="AA60" s="11"/>
    </row>
    <row r="61" spans="1:27" x14ac:dyDescent="0.3">
      <c r="A61" s="8"/>
      <c r="B61" s="8"/>
      <c r="C61" s="9"/>
      <c r="D61" s="9"/>
      <c r="E61" s="9"/>
      <c r="F61" s="9"/>
      <c r="G61" s="9"/>
      <c r="H61" s="9"/>
      <c r="I61" s="9"/>
      <c r="J61" s="9"/>
      <c r="K61" s="9"/>
      <c r="L61" s="10" t="s">
        <v>415</v>
      </c>
      <c r="M61" s="10"/>
      <c r="N61" s="10"/>
      <c r="O61" s="10"/>
      <c r="P61" s="164">
        <f>SUM(Q61:X61)</f>
        <v>16</v>
      </c>
      <c r="Q61" s="57">
        <f>IF(NOT(ISBLANK(Q58)),COUNTIFS(Data!$C:$C,$C58,Data!$P:$P,"VAL",Data!$E:$E,$E58,Data!$F:$F,$F58,Data!$I:$I,IF(ISBLANK($I58),"",$I58),Data!$J:$J,$J58,Data!$K:$K,$K58,Data!$R:$R,"",Data!$L:$L,IF(ISBLANK($P58),"",$P58),Data!$G:$G,"ZF",Data!$H:$H,"A15C",Data!$M:$M,36),0)-Q63</f>
        <v>0</v>
      </c>
      <c r="R61" s="57">
        <f>IF(NOT(ISBLANK(R58)),COUNTIFS(Data!$C:$C,$C58,Data!$P:$P,"VAL",Data!$E:$E,$E58,Data!$F:$F,$F58,Data!$I:$I,IF(ISBLANK($I58),"",$I58),Data!$J:$J,$J58,Data!$K:$K,$K58,Data!$R:$R,"",Data!$L:$L,IF(ISBLANK($P58),"",$P58),Data!$G:$G,"ZF",Data!$H:$H,"A15C",Data!$M:$M,40),0)-R63</f>
        <v>0</v>
      </c>
      <c r="S61" s="57">
        <f>IF(NOT(ISBLANK(S58)),COUNTIFS(Data!$C:$C,$C58,Data!$P:$P,"VAL",Data!$E:$E,$E58,Data!$F:$F,$F58,Data!$I:$I,IF(ISBLANK($I58),"",$I58),Data!$J:$J,$J58,Data!$K:$K,$K58,Data!$R:$R,"",Data!$L:$L,IF(ISBLANK($P58),"",$P58),Data!$G:$G,"ZF",Data!$H:$H,"A15C",Data!$M:$M,48),0)-S63</f>
        <v>0</v>
      </c>
      <c r="T61" s="57">
        <f>IF(NOT(ISBLANK(T58)),COUNTIFS(Data!$C:$C,$C58,Data!$P:$P,"VAL",Data!$E:$E,$E58,Data!$F:$F,$F58,Data!$I:$I,IF(ISBLANK($I58),"",$I58),Data!$J:$J,$J58,Data!$K:$K,$K58,Data!$R:$R,"",Data!$L:$L,IF(ISBLANK($P58),"",$P58),Data!$G:$G,"ZF",Data!$H:$H,"A15C",Data!$M:$M,56),0)-T63</f>
        <v>0</v>
      </c>
      <c r="U61" s="57">
        <f>IF(NOT(ISBLANK(U58)),COUNTIFS(Data!$C:$C,$C58,Data!$P:$P,"VAL",Data!$E:$E,$E58,Data!$F:$F,$F58,Data!$I:$I,IF(ISBLANK($I58),"",$I58),Data!$J:$J,$J58,Data!$K:$K,$K58,Data!$R:$R,"",Data!$L:$L,IF(ISBLANK($P58),"",$P58),Data!$G:$G,"ZF",Data!$H:$H,"A15C",Data!$M:$M,64),0)-U63</f>
        <v>0</v>
      </c>
      <c r="V61" s="57">
        <f>IF(NOT(ISBLANK(V58)),COUNTIFS(Data!$C:$C,$C58,Data!$P:$P,"VAL",Data!$E:$E,$E58,Data!$F:$F,$F58,Data!$I:$I,IF(ISBLANK($I58),"",$I58),Data!$J:$J,$J58,Data!$K:$K,$K58,Data!$R:$R,"",Data!$L:$L,IF(ISBLANK($P58),"",$P58),Data!$G:$G,"ZF",Data!$H:$H,"A15C",Data!$M:$M,72),0)-V63</f>
        <v>0</v>
      </c>
      <c r="W61" s="57">
        <f>IF(NOT(ISBLANK(W58)),COUNTIFS(Data!$C:$C,$C58,Data!$P:$P,"VAL",Data!$E:$E,$E58,Data!$F:$F,$F58,Data!$I:$I,IF(ISBLANK($I58),"",$I58),Data!$J:$J,$J58,Data!$K:$K,$K58,Data!$R:$R,"",Data!$L:$L,IF(ISBLANK($P58),"",$P58),Data!$G:$G,"ZF",Data!$H:$H,"A15C",Data!$M:$M,88),0)-W63</f>
        <v>0</v>
      </c>
      <c r="X61" s="57">
        <f>IF(NOT(ISBLANK(X58)),COUNTIFS(Data!$C:$C,$C58,Data!$P:$P,"VAL",Data!$E:$E,$E58,Data!$F:$F,$F58,Data!$I:$I,IF(ISBLANK($I58),"",$I58),Data!$J:$J,$J58,Data!$K:$K,$K58,Data!$R:$R,"",Data!$L:$L,IF(ISBLANK($P58),"",$P58),Data!$G:$G,"ZF",Data!$H:$H,"A15C",Data!$M:$M,105),0)-X63</f>
        <v>16</v>
      </c>
      <c r="Y61" s="11"/>
      <c r="Z61" s="11"/>
      <c r="AA61" s="11"/>
    </row>
    <row r="62" spans="1:27" x14ac:dyDescent="0.3">
      <c r="A62" s="8"/>
      <c r="B62" s="8"/>
      <c r="C62" s="9"/>
      <c r="D62" s="9"/>
      <c r="E62" s="9"/>
      <c r="F62" s="9"/>
      <c r="G62" s="9"/>
      <c r="H62" s="9"/>
      <c r="I62" s="9"/>
      <c r="J62" s="9"/>
      <c r="K62" s="9"/>
      <c r="L62" s="10" t="s">
        <v>416</v>
      </c>
      <c r="M62" s="10"/>
      <c r="N62" s="10"/>
      <c r="O62" s="10"/>
      <c r="P62" s="9">
        <f>IF(COUNTIF(Z58:Z63,"*AS ORDERED*")&gt;0,SUM(Q62:X62),IF(P60&gt;0,0,(-1)*P60))</f>
        <v>0</v>
      </c>
      <c r="Q62" s="11">
        <f t="shared" ref="Q62:X62" si="28">IF(($P61+$P63)&gt;$P59,IF((Q61+Q63)-Q59&gt;0,(Q61+Q63)-Q59,0),0)</f>
        <v>0</v>
      </c>
      <c r="R62" s="11">
        <f t="shared" si="28"/>
        <v>0</v>
      </c>
      <c r="S62" s="11">
        <f t="shared" si="28"/>
        <v>0</v>
      </c>
      <c r="T62" s="11">
        <f t="shared" si="28"/>
        <v>0</v>
      </c>
      <c r="U62" s="11">
        <f t="shared" si="28"/>
        <v>0</v>
      </c>
      <c r="V62" s="11">
        <f t="shared" si="28"/>
        <v>0</v>
      </c>
      <c r="W62" s="11">
        <f t="shared" si="28"/>
        <v>0</v>
      </c>
      <c r="X62" s="11">
        <f t="shared" si="28"/>
        <v>0</v>
      </c>
      <c r="Y62" s="11"/>
      <c r="Z62" s="11"/>
      <c r="AA62" s="11"/>
    </row>
    <row r="63" spans="1:27" ht="15" thickBot="1" x14ac:dyDescent="0.35">
      <c r="A63" s="8"/>
      <c r="B63" s="8"/>
      <c r="C63" s="9"/>
      <c r="D63" s="9"/>
      <c r="E63" s="9"/>
      <c r="F63" s="9"/>
      <c r="G63" s="9"/>
      <c r="H63" s="9"/>
      <c r="I63" s="9"/>
      <c r="J63" s="9"/>
      <c r="K63" s="9"/>
      <c r="L63" s="10" t="s">
        <v>417</v>
      </c>
      <c r="M63" s="10"/>
      <c r="N63" s="10"/>
      <c r="O63" s="10"/>
      <c r="P63" s="164">
        <f>SUM(Q63:X63)</f>
        <v>0</v>
      </c>
      <c r="Q63" s="57">
        <f>IF(NOT(ISBLANK(Q58)),COUNTIFS(Data!$C:$C,$C58,Data!$P:$P,"VAL",Data!$E:$E,$E58,Data!$F:$F,$F58,Data!$I:$I,IF(ISBLANK($I58),"",$I58),Data!$J:$J,$J58,Data!$K:$K,$K58,Data!$R:$R,"",Data!$L:$L,IF(ISBLANK($P58),"",$P58),Data!$G:$G,"ZF",Data!$H:$H,"A15C",Data!$M:$M,36, Data!$Q:$Q,1),0)</f>
        <v>0</v>
      </c>
      <c r="R63" s="57">
        <f>IF(NOT(ISBLANK(R58)),COUNTIFS(Data!$C:$C,$C58,Data!$P:$P,"VAL",Data!$E:$E,$E58,Data!$F:$F,$F58,Data!$I:$I,IF(ISBLANK($I58),"",$I58),Data!$J:$J,$J58,Data!$K:$K,$K58,Data!$R:$R,"",Data!$L:$L,IF(ISBLANK($P58),"",$P58),Data!$G:$G,"ZF",Data!$H:$H,"A15C",Data!$M:$M,40, Data!$Q:$Q,1),0)</f>
        <v>0</v>
      </c>
      <c r="S63" s="57">
        <f>IF(NOT(ISBLANK(S58)),COUNTIFS(Data!$C:$C,$C58,Data!$P:$P,"VAL",Data!$E:$E,$E58,Data!$F:$F,$F58,Data!$I:$I,IF(ISBLANK($I58),"",$I58),Data!$J:$J,$J58,Data!$K:$K,$K58,Data!$R:$R,"",Data!$L:$L,IF(ISBLANK($P58),"",$P58),Data!$G:$G,"ZF",Data!$H:$H,"A15C",Data!$M:$M,48, Data!$Q:$Q,1),0)</f>
        <v>0</v>
      </c>
      <c r="T63" s="57">
        <f>IF(NOT(ISBLANK(T58)),COUNTIFS(Data!$C:$C,$C58,Data!$P:$P,"VAL",Data!$E:$E,$E58,Data!$F:$F,$F58,Data!$I:$I,IF(ISBLANK($I58),"",$I58),Data!$J:$J,$J58,Data!$K:$K,$K58,Data!$R:$R,"",Data!$L:$L,IF(ISBLANK($P58),"",$P58),Data!$G:$G,"ZF",Data!$H:$H,"A15C",Data!$M:$M,56, Data!$Q:$Q,1),0)</f>
        <v>0</v>
      </c>
      <c r="U63" s="57">
        <f>IF(NOT(ISBLANK(U58)),COUNTIFS(Data!$C:$C,$C58,Data!$P:$P,"VAL",Data!$E:$E,$E58,Data!$F:$F,$F58,Data!$I:$I,IF(ISBLANK($I58),"",$I58),Data!$J:$J,$J58,Data!$K:$K,$K58,Data!$R:$R,"",Data!$L:$L,IF(ISBLANK($P58),"",$P58),Data!$G:$G,"ZF",Data!$H:$H,"A15C",Data!$M:$M,64, Data!$Q:$Q,1),0)</f>
        <v>0</v>
      </c>
      <c r="V63" s="57">
        <f>IF(NOT(ISBLANK(V58)),COUNTIFS(Data!$C:$C,$C58,Data!$P:$P,"VAL",Data!$E:$E,$E58,Data!$F:$F,$F58,Data!$I:$I,IF(ISBLANK($I58),"",$I58),Data!$J:$J,$J58,Data!$K:$K,$K58,Data!$R:$R,"",Data!$L:$L,IF(ISBLANK($P58),"",$P58),Data!$G:$G,"ZF",Data!$H:$H,"A15C",Data!$M:$M,72, Data!$Q:$Q,1),0)</f>
        <v>0</v>
      </c>
      <c r="W63" s="57">
        <f>IF(NOT(ISBLANK(W58)),COUNTIFS(Data!$C:$C,$C58,Data!$P:$P,"VAL",Data!$E:$E,$E58,Data!$F:$F,$F58,Data!$I:$I,IF(ISBLANK($I58),"",$I58),Data!$J:$J,$J58,Data!$K:$K,$K58,Data!$R:$R,"",Data!$L:$L,IF(ISBLANK($P58),"",$P58),Data!$G:$G,"ZF",Data!$H:$H,"A15C",Data!$M:$M,88, Data!$Q:$Q,1),0)</f>
        <v>0</v>
      </c>
      <c r="X63" s="57">
        <f>IF(NOT(ISBLANK(X58)),COUNTIFS(Data!$C:$C,$C58,Data!$P:$P,"VAL",Data!$E:$E,$E58,Data!$F:$F,$F58,Data!$I:$I,IF(ISBLANK($I58),"",$I58),Data!$J:$J,$J58,Data!$K:$K,$K58,Data!$R:$R,"",Data!$L:$L,IF(ISBLANK($P58),"",$P58),Data!$G:$G,"ZF",Data!$H:$H,"A15C",Data!$M:$M,105, Data!$Q:$Q,1),0)</f>
        <v>0</v>
      </c>
      <c r="Y63" s="11"/>
      <c r="Z63" s="11"/>
      <c r="AA63" s="11">
        <v>80</v>
      </c>
    </row>
    <row r="64" spans="1:27" ht="15.6" x14ac:dyDescent="0.3">
      <c r="A64" s="64"/>
      <c r="B64" s="106" t="s">
        <v>485</v>
      </c>
      <c r="C64" s="107" t="s">
        <v>478</v>
      </c>
      <c r="D64" s="62" t="s">
        <v>508</v>
      </c>
      <c r="E64" s="62" t="s">
        <v>487</v>
      </c>
      <c r="F64" s="62">
        <v>1</v>
      </c>
      <c r="G64" s="62" t="s">
        <v>411</v>
      </c>
      <c r="H64" s="62" t="s">
        <v>391</v>
      </c>
      <c r="I64" s="62"/>
      <c r="J64" s="62" t="s">
        <v>488</v>
      </c>
      <c r="K64" s="62" t="s">
        <v>487</v>
      </c>
      <c r="L64" s="62" t="s">
        <v>481</v>
      </c>
      <c r="M64" s="62" t="s">
        <v>393</v>
      </c>
      <c r="N64" s="62">
        <f>+Y64/80</f>
        <v>30</v>
      </c>
      <c r="O64" s="62"/>
      <c r="P64" s="62" t="s">
        <v>544</v>
      </c>
      <c r="Q64" s="64"/>
      <c r="R64" s="64"/>
      <c r="S64" s="64"/>
      <c r="T64" s="63"/>
      <c r="U64" s="63"/>
      <c r="V64" s="63">
        <f>20*80</f>
        <v>1600</v>
      </c>
      <c r="W64" s="63">
        <f>10*80</f>
        <v>800</v>
      </c>
      <c r="X64" s="63"/>
      <c r="Y64" s="63">
        <f>SUM(Q64:X64)</f>
        <v>2400</v>
      </c>
      <c r="Z64" s="110" t="s">
        <v>489</v>
      </c>
      <c r="AA64" s="107" t="s">
        <v>482</v>
      </c>
    </row>
    <row r="65" spans="1:27" x14ac:dyDescent="0.3">
      <c r="A65" s="8"/>
      <c r="B65" s="8"/>
      <c r="C65" s="9"/>
      <c r="D65" s="9"/>
      <c r="E65" s="9"/>
      <c r="F65" s="9"/>
      <c r="G65" s="9"/>
      <c r="H65" s="9"/>
      <c r="I65" s="9"/>
      <c r="J65" s="9"/>
      <c r="K65" s="9"/>
      <c r="L65" s="10" t="s">
        <v>413</v>
      </c>
      <c r="M65" s="10"/>
      <c r="N65" s="10"/>
      <c r="O65" s="10"/>
      <c r="P65" s="9">
        <f>SUM(Q65:X65)</f>
        <v>30</v>
      </c>
      <c r="Q65" s="11">
        <f t="shared" ref="Q65:X65" si="29">IFERROR(Q64/80,0)</f>
        <v>0</v>
      </c>
      <c r="R65" s="11">
        <f t="shared" si="29"/>
        <v>0</v>
      </c>
      <c r="S65" s="11">
        <f t="shared" si="29"/>
        <v>0</v>
      </c>
      <c r="T65" s="11">
        <f t="shared" si="29"/>
        <v>0</v>
      </c>
      <c r="U65" s="11">
        <f t="shared" si="29"/>
        <v>0</v>
      </c>
      <c r="V65" s="11">
        <f t="shared" si="29"/>
        <v>20</v>
      </c>
      <c r="W65" s="11">
        <f t="shared" si="29"/>
        <v>10</v>
      </c>
      <c r="X65" s="11">
        <f t="shared" si="29"/>
        <v>0</v>
      </c>
      <c r="Y65" s="11"/>
      <c r="Z65" s="156" t="s">
        <v>524</v>
      </c>
      <c r="AA65" s="11"/>
    </row>
    <row r="66" spans="1:27" x14ac:dyDescent="0.3">
      <c r="A66" s="8"/>
      <c r="B66" s="8"/>
      <c r="C66" s="9"/>
      <c r="D66" s="9"/>
      <c r="E66" s="9"/>
      <c r="F66" s="9"/>
      <c r="G66" s="9"/>
      <c r="H66" s="9"/>
      <c r="I66" s="9"/>
      <c r="J66" s="9"/>
      <c r="K66" s="9"/>
      <c r="L66" s="10" t="s">
        <v>414</v>
      </c>
      <c r="M66" s="10"/>
      <c r="N66" s="10"/>
      <c r="O66" s="10"/>
      <c r="P66" s="9">
        <f>SUM(Q66:X66)</f>
        <v>30</v>
      </c>
      <c r="Q66" s="11">
        <f t="shared" ref="Q66:X66" si="30">IFERROR(Q65-(Q67+Q69),0)</f>
        <v>0</v>
      </c>
      <c r="R66" s="11">
        <f t="shared" si="30"/>
        <v>0</v>
      </c>
      <c r="S66" s="11">
        <f t="shared" si="30"/>
        <v>0</v>
      </c>
      <c r="T66" s="11">
        <f t="shared" si="30"/>
        <v>0</v>
      </c>
      <c r="U66" s="11">
        <f t="shared" si="30"/>
        <v>0</v>
      </c>
      <c r="V66" s="11">
        <f t="shared" si="30"/>
        <v>20</v>
      </c>
      <c r="W66" s="11">
        <f t="shared" si="30"/>
        <v>10</v>
      </c>
      <c r="X66" s="11">
        <f t="shared" si="30"/>
        <v>0</v>
      </c>
      <c r="Y66" s="11"/>
      <c r="Z66" s="156"/>
      <c r="AA66" s="11"/>
    </row>
    <row r="67" spans="1:27" x14ac:dyDescent="0.3">
      <c r="A67" s="8"/>
      <c r="B67" s="8"/>
      <c r="C67" s="9"/>
      <c r="D67" s="9"/>
      <c r="E67" s="9"/>
      <c r="F67" s="9"/>
      <c r="G67" s="9"/>
      <c r="H67" s="9"/>
      <c r="I67" s="9"/>
      <c r="J67" s="9"/>
      <c r="K67" s="9"/>
      <c r="L67" s="10" t="s">
        <v>415</v>
      </c>
      <c r="M67" s="10"/>
      <c r="N67" s="10"/>
      <c r="O67" s="10"/>
      <c r="P67" s="164">
        <f>SUM(Q67:X67)</f>
        <v>0</v>
      </c>
      <c r="Q67" s="57">
        <f>IF(NOT(ISBLANK(Q64)),COUNTIFS(Data!$C:$C,$C64,Data!$P:$P,"VAL",Data!$E:$E,$E64,Data!$F:$F,$F64,Data!$I:$I,IF(ISBLANK($I64),"",$I64),Data!$J:$J,$J64,Data!$K:$K,$K64,Data!$R:$R,"",Data!$L:$L,IF(ISBLANK($P64),"",$P64),Data!$G:$G,"MALA",Data!$H:$H,"A15C",Data!$M:$M,36),0)-Q69</f>
        <v>0</v>
      </c>
      <c r="R67" s="57">
        <f>IF(NOT(ISBLANK(R64)),COUNTIFS(Data!$C:$C,$C64,Data!$P:$P,"VAL",Data!$E:$E,$E64,Data!$F:$F,$F64,Data!$I:$I,IF(ISBLANK($I64),"",$I64),Data!$J:$J,$J64,Data!$K:$K,$K64,Data!$R:$R,"",Data!$L:$L,IF(ISBLANK($P64),"",$P64),Data!$G:$G,"MALA",Data!$H:$H,"A15C",Data!$M:$M,40),0)-R69</f>
        <v>0</v>
      </c>
      <c r="S67" s="57">
        <f>IF(NOT(ISBLANK(S64)),COUNTIFS(Data!$C:$C,$C64,Data!$P:$P,"VAL",Data!$E:$E,$E64,Data!$F:$F,$F64,Data!$I:$I,IF(ISBLANK($I64),"",$I64),Data!$J:$J,$J64,Data!$K:$K,$K64,Data!$R:$R,"",Data!$L:$L,IF(ISBLANK($P64),"",$P64),Data!$G:$G,"MALA",Data!$H:$H,"A15C",Data!$M:$M,48),0)-S69</f>
        <v>0</v>
      </c>
      <c r="T67" s="57">
        <f>IF(NOT(ISBLANK(T64)),COUNTIFS(Data!$C:$C,$C64,Data!$P:$P,"VAL",Data!$E:$E,$E64,Data!$F:$F,$F64,Data!$I:$I,IF(ISBLANK($I64),"",$I64),Data!$J:$J,$J64,Data!$K:$K,$K64,Data!$R:$R,"",Data!$L:$L,IF(ISBLANK($P64),"",$P64),Data!$G:$G,"MALA",Data!$H:$H,"A15C",Data!$M:$M,56),0)-T69</f>
        <v>0</v>
      </c>
      <c r="U67" s="57">
        <f>IF(NOT(ISBLANK(U64)),COUNTIFS(Data!$C:$C,$C64,Data!$P:$P,"VAL",Data!$E:$E,$E64,Data!$F:$F,$F64,Data!$I:$I,IF(ISBLANK($I64),"",$I64),Data!$J:$J,$J64,Data!$K:$K,$K64,Data!$R:$R,"",Data!$L:$L,IF(ISBLANK($P64),"",$P64),Data!$G:$G,"MALA",Data!$H:$H,"A15C",Data!$M:$M,64),0)-U69</f>
        <v>0</v>
      </c>
      <c r="V67" s="57">
        <f>IF(NOT(ISBLANK(V64)),COUNTIFS(Data!$C:$C,$C64,Data!$P:$P,"VAL",Data!$E:$E,$E64,Data!$F:$F,$F64,Data!$I:$I,IF(ISBLANK($I64),"",$I64),Data!$J:$J,$J64,Data!$K:$K,$K64,Data!$R:$R,"",Data!$L:$L,IF(ISBLANK($P64),"",$P64),Data!$G:$G,"MALA",Data!$H:$H,"A15C",Data!$M:$M,72),0)-V69</f>
        <v>0</v>
      </c>
      <c r="W67" s="57">
        <f>IF(NOT(ISBLANK(W64)),COUNTIFS(Data!$C:$C,$C64,Data!$P:$P,"VAL",Data!$E:$E,$E64,Data!$F:$F,$F64,Data!$I:$I,IF(ISBLANK($I64),"",$I64),Data!$J:$J,$J64,Data!$K:$K,$K64,Data!$R:$R,"",Data!$L:$L,IF(ISBLANK($P64),"",$P64),Data!$G:$G,"MALA",Data!$H:$H,"A15C",Data!$M:$M,88),0)-W69</f>
        <v>0</v>
      </c>
      <c r="X67" s="57">
        <f>IF(NOT(ISBLANK(X64)),COUNTIFS(Data!$C:$C,$C64,Data!$P:$P,"VAL",Data!$E:$E,$E64,Data!$F:$F,$F64,Data!$I:$I,IF(ISBLANK($I64),"",$I64),Data!$J:$J,$J64,Data!$K:$K,$K64,Data!$R:$R,"",Data!$L:$L,IF(ISBLANK($P64),"",$P64),Data!$G:$G,"MALA",Data!$H:$H,"A15C",Data!$M:$M,105),0)-X69</f>
        <v>0</v>
      </c>
      <c r="Y67" s="11"/>
      <c r="Z67" s="11"/>
      <c r="AA67" s="11"/>
    </row>
    <row r="68" spans="1:27" x14ac:dyDescent="0.3">
      <c r="A68" s="8"/>
      <c r="B68" s="8"/>
      <c r="C68" s="9"/>
      <c r="D68" s="9"/>
      <c r="E68" s="9"/>
      <c r="F68" s="9"/>
      <c r="G68" s="9"/>
      <c r="H68" s="9"/>
      <c r="I68" s="9"/>
      <c r="J68" s="9"/>
      <c r="K68" s="9"/>
      <c r="L68" s="10" t="s">
        <v>416</v>
      </c>
      <c r="M68" s="10"/>
      <c r="N68" s="10"/>
      <c r="O68" s="10"/>
      <c r="P68" s="9">
        <f>IF(COUNTIF(Z64:Z69,"*AS ORDERED*")&gt;0,SUM(Q68:X68),IF(P66&gt;0,0,(-1)*P66))</f>
        <v>0</v>
      </c>
      <c r="Q68" s="11">
        <f t="shared" ref="Q68:W68" si="31">IF(($P67+$P69)&gt;$P65,IF((Q67+Q69)-Q65&gt;0,(Q67+Q69)-Q65,0),0)</f>
        <v>0</v>
      </c>
      <c r="R68" s="11">
        <f t="shared" si="31"/>
        <v>0</v>
      </c>
      <c r="S68" s="11">
        <f t="shared" si="31"/>
        <v>0</v>
      </c>
      <c r="T68" s="11">
        <f t="shared" si="31"/>
        <v>0</v>
      </c>
      <c r="U68" s="11">
        <f t="shared" si="31"/>
        <v>0</v>
      </c>
      <c r="V68" s="11">
        <f t="shared" si="31"/>
        <v>0</v>
      </c>
      <c r="W68" s="11">
        <f t="shared" si="31"/>
        <v>0</v>
      </c>
      <c r="X68" s="11">
        <f>IF(X66&lt;0,-X66,IF((X67+X69)-X65&gt;0,(X67+X69)-X65,0))</f>
        <v>0</v>
      </c>
      <c r="Y68" s="11"/>
      <c r="Z68" s="11"/>
      <c r="AA68" s="11"/>
    </row>
    <row r="69" spans="1:27" ht="15" thickBot="1" x14ac:dyDescent="0.35">
      <c r="A69" s="8"/>
      <c r="B69" s="8"/>
      <c r="C69" s="9"/>
      <c r="D69" s="9"/>
      <c r="E69" s="9"/>
      <c r="F69" s="9"/>
      <c r="G69" s="9"/>
      <c r="H69" s="9"/>
      <c r="I69" s="9"/>
      <c r="J69" s="9"/>
      <c r="K69" s="9"/>
      <c r="L69" s="10" t="s">
        <v>417</v>
      </c>
      <c r="M69" s="10"/>
      <c r="N69" s="10"/>
      <c r="O69" s="10"/>
      <c r="P69" s="164">
        <f>SUM(Q69:X69)</f>
        <v>0</v>
      </c>
      <c r="Q69" s="57">
        <f>IF(NOT(ISBLANK(Q64)),COUNTIFS(Data!$C:$C,$C64,Data!$P:$P,"VAL",Data!$E:$E,$E64,Data!$F:$F,$F64,Data!$I:$I,IF(ISBLANK($I64),"",$I64),Data!$J:$J,$J64,Data!$K:$K,$K64,Data!$R:$R,"",Data!$L:$L,IF(ISBLANK($P64),"",$P64),Data!$G:$G,"MALA",Data!$H:$H,"A15C",Data!$M:$M,36, Data!$Q:$Q,1),0)</f>
        <v>0</v>
      </c>
      <c r="R69" s="57">
        <f>IF(NOT(ISBLANK(R64)),COUNTIFS(Data!$C:$C,$C64,Data!$P:$P,"VAL",Data!$E:$E,$E64,Data!$F:$F,$F64,Data!$I:$I,IF(ISBLANK($I64),"",$I64),Data!$J:$J,$J64,Data!$K:$K,$K64,Data!$R:$R,"",Data!$L:$L,IF(ISBLANK($P64),"",$P64),Data!$G:$G,"MALA",Data!$H:$H,"A15C",Data!$M:$M,40, Data!$Q:$Q,1),0)</f>
        <v>0</v>
      </c>
      <c r="S69" s="57">
        <f>IF(NOT(ISBLANK(S64)),COUNTIFS(Data!$C:$C,$C64,Data!$P:$P,"VAL",Data!$E:$E,$E64,Data!$F:$F,$F64,Data!$I:$I,IF(ISBLANK($I64),"",$I64),Data!$J:$J,$J64,Data!$K:$K,$K64,Data!$R:$R,"",Data!$L:$L,IF(ISBLANK($P64),"",$P64),Data!$G:$G,"MALA",Data!$H:$H,"A15C",Data!$M:$M,48, Data!$Q:$Q,1),0)</f>
        <v>0</v>
      </c>
      <c r="T69" s="57">
        <f>IF(NOT(ISBLANK(T64)),COUNTIFS(Data!$C:$C,$C64,Data!$P:$P,"VAL",Data!$E:$E,$E64,Data!$F:$F,$F64,Data!$I:$I,IF(ISBLANK($I64),"",$I64),Data!$J:$J,$J64,Data!$K:$K,$K64,Data!$R:$R,"",Data!$L:$L,IF(ISBLANK($P64),"",$P64),Data!$G:$G,"MALA",Data!$H:$H,"A15C",Data!$M:$M,56, Data!$Q:$Q,1),0)</f>
        <v>0</v>
      </c>
      <c r="U69" s="57">
        <f>IF(NOT(ISBLANK(U64)),COUNTIFS(Data!$C:$C,$C64,Data!$P:$P,"VAL",Data!$E:$E,$E64,Data!$F:$F,$F64,Data!$I:$I,IF(ISBLANK($I64),"",$I64),Data!$J:$J,$J64,Data!$K:$K,$K64,Data!$R:$R,"",Data!$L:$L,IF(ISBLANK($P64),"",$P64),Data!$G:$G,"MALA",Data!$H:$H,"A15C",Data!$M:$M,64, Data!$Q:$Q,1),0)</f>
        <v>0</v>
      </c>
      <c r="V69" s="57">
        <f>IF(NOT(ISBLANK(V64)),COUNTIFS(Data!$C:$C,$C64,Data!$P:$P,"VAL",Data!$E:$E,$E64,Data!$F:$F,$F64,Data!$I:$I,IF(ISBLANK($I64),"",$I64),Data!$J:$J,$J64,Data!$K:$K,$K64,Data!$R:$R,"",Data!$L:$L,IF(ISBLANK($P64),"",$P64),Data!$G:$G,"MALA",Data!$H:$H,"A15C",Data!$M:$M,72, Data!$Q:$Q,1),0)</f>
        <v>0</v>
      </c>
      <c r="W69" s="57">
        <f>IF(NOT(ISBLANK(W64)),COUNTIFS(Data!$C:$C,$C64,Data!$P:$P,"VAL",Data!$E:$E,$E64,Data!$F:$F,$F64,Data!$I:$I,IF(ISBLANK($I64),"",$I64),Data!$J:$J,$J64,Data!$K:$K,$K64,Data!$R:$R,"",Data!$L:$L,IF(ISBLANK($P64),"",$P64),Data!$G:$G,"MALA",Data!$H:$H,"A15C",Data!$M:$M,88, Data!$Q:$Q,1),0)</f>
        <v>0</v>
      </c>
      <c r="X69" s="57">
        <f>IF(NOT(ISBLANK(X64)),COUNTIFS(Data!$C:$C,$C64,Data!$P:$P,"VAL",Data!$E:$E,$E64,Data!$F:$F,$F64,Data!$I:$I,IF(ISBLANK($I64),"",$I64),Data!$J:$J,$J64,Data!$K:$K,$K64,Data!$R:$R,"",Data!$L:$L,IF(ISBLANK($P64),"",$P64),Data!$G:$G,"MALA",Data!$H:$H,"A15C",Data!$M:$M,105, Data!$Q:$Q,1),0)</f>
        <v>0</v>
      </c>
      <c r="Y69" s="11"/>
      <c r="Z69" s="11"/>
      <c r="AA69" s="11">
        <v>80</v>
      </c>
    </row>
    <row r="70" spans="1:27" ht="15.6" x14ac:dyDescent="0.3">
      <c r="A70" s="64" t="s">
        <v>486</v>
      </c>
      <c r="B70" s="106" t="s">
        <v>485</v>
      </c>
      <c r="C70" s="107" t="s">
        <v>478</v>
      </c>
      <c r="D70" s="62" t="s">
        <v>508</v>
      </c>
      <c r="E70" s="62" t="s">
        <v>487</v>
      </c>
      <c r="F70" s="62">
        <v>1</v>
      </c>
      <c r="G70" s="62" t="s">
        <v>394</v>
      </c>
      <c r="H70" s="62" t="s">
        <v>391</v>
      </c>
      <c r="I70" s="62"/>
      <c r="J70" s="62" t="s">
        <v>488</v>
      </c>
      <c r="K70" s="62" t="s">
        <v>487</v>
      </c>
      <c r="L70" s="62" t="s">
        <v>481</v>
      </c>
      <c r="M70" s="62" t="s">
        <v>393</v>
      </c>
      <c r="N70" s="62">
        <f>+Y70/80</f>
        <v>50</v>
      </c>
      <c r="O70" s="62"/>
      <c r="P70" s="62" t="s">
        <v>553</v>
      </c>
      <c r="Q70" s="64"/>
      <c r="R70" s="64"/>
      <c r="S70" s="64"/>
      <c r="T70" s="63"/>
      <c r="U70" s="63">
        <f>10*80</f>
        <v>800</v>
      </c>
      <c r="V70" s="63">
        <f>20*80</f>
        <v>1600</v>
      </c>
      <c r="W70" s="63">
        <f>20*80</f>
        <v>1600</v>
      </c>
      <c r="X70" s="63"/>
      <c r="Y70" s="63">
        <f>SUM(Q70:X70)</f>
        <v>4000</v>
      </c>
      <c r="Z70" s="110" t="s">
        <v>489</v>
      </c>
      <c r="AA70" s="107" t="s">
        <v>482</v>
      </c>
    </row>
    <row r="71" spans="1:27" x14ac:dyDescent="0.3">
      <c r="A71" s="8"/>
      <c r="B71" s="8"/>
      <c r="C71" s="9"/>
      <c r="D71" s="9"/>
      <c r="E71" s="9"/>
      <c r="F71" s="9"/>
      <c r="G71" s="9"/>
      <c r="H71" s="9"/>
      <c r="I71" s="9"/>
      <c r="J71" s="9"/>
      <c r="K71" s="9"/>
      <c r="L71" s="10" t="s">
        <v>413</v>
      </c>
      <c r="M71" s="10"/>
      <c r="N71" s="10"/>
      <c r="O71" s="10"/>
      <c r="P71" s="9">
        <f>SUM(Q71:X71)</f>
        <v>50</v>
      </c>
      <c r="Q71" s="11">
        <f t="shared" ref="Q71:X71" si="32">IFERROR(Q70/80,0)</f>
        <v>0</v>
      </c>
      <c r="R71" s="11">
        <f t="shared" si="32"/>
        <v>0</v>
      </c>
      <c r="S71" s="11">
        <f t="shared" si="32"/>
        <v>0</v>
      </c>
      <c r="T71" s="11">
        <f t="shared" si="32"/>
        <v>0</v>
      </c>
      <c r="U71" s="11">
        <f t="shared" si="32"/>
        <v>10</v>
      </c>
      <c r="V71" s="11">
        <f t="shared" si="32"/>
        <v>20</v>
      </c>
      <c r="W71" s="11">
        <f t="shared" si="32"/>
        <v>20</v>
      </c>
      <c r="X71" s="11">
        <f t="shared" si="32"/>
        <v>0</v>
      </c>
      <c r="Y71" s="11"/>
      <c r="Z71" s="156" t="s">
        <v>561</v>
      </c>
      <c r="AA71" s="11"/>
    </row>
    <row r="72" spans="1:27" x14ac:dyDescent="0.3">
      <c r="A72" s="8"/>
      <c r="B72" s="8"/>
      <c r="C72" s="9"/>
      <c r="D72" s="9"/>
      <c r="E72" s="9"/>
      <c r="F72" s="9"/>
      <c r="G72" s="9"/>
      <c r="H72" s="9"/>
      <c r="I72" s="9"/>
      <c r="J72" s="9"/>
      <c r="K72" s="9"/>
      <c r="L72" s="10" t="s">
        <v>414</v>
      </c>
      <c r="M72" s="10"/>
      <c r="N72" s="10"/>
      <c r="O72" s="10"/>
      <c r="P72" s="9">
        <f>SUM(Q72:X72)</f>
        <v>27</v>
      </c>
      <c r="Q72" s="11">
        <f t="shared" ref="Q72:X72" si="33">IFERROR(Q71-(Q73+Q75),0)</f>
        <v>0</v>
      </c>
      <c r="R72" s="11">
        <f t="shared" si="33"/>
        <v>0</v>
      </c>
      <c r="S72" s="11">
        <f t="shared" si="33"/>
        <v>0</v>
      </c>
      <c r="T72" s="11">
        <f t="shared" si="33"/>
        <v>0</v>
      </c>
      <c r="U72" s="11">
        <f t="shared" si="33"/>
        <v>2</v>
      </c>
      <c r="V72" s="11">
        <f t="shared" si="33"/>
        <v>12</v>
      </c>
      <c r="W72" s="11">
        <f t="shared" si="33"/>
        <v>13</v>
      </c>
      <c r="X72" s="11">
        <f t="shared" si="33"/>
        <v>0</v>
      </c>
      <c r="Y72" s="11"/>
      <c r="Z72" s="156"/>
      <c r="AA72" s="11"/>
    </row>
    <row r="73" spans="1:27" x14ac:dyDescent="0.3">
      <c r="A73" s="8"/>
      <c r="B73" s="8"/>
      <c r="C73" s="9"/>
      <c r="D73" s="9"/>
      <c r="E73" s="9"/>
      <c r="F73" s="9"/>
      <c r="G73" s="9"/>
      <c r="H73" s="9"/>
      <c r="I73" s="9"/>
      <c r="J73" s="9"/>
      <c r="K73" s="9"/>
      <c r="L73" s="10" t="s">
        <v>415</v>
      </c>
      <c r="M73" s="10"/>
      <c r="N73" s="10"/>
      <c r="O73" s="10"/>
      <c r="P73" s="164">
        <f>SUM(Q73:X73)</f>
        <v>23</v>
      </c>
      <c r="Q73" s="57">
        <f>IF(NOT(ISBLANK(Q70)),COUNTIFS(Data!$C:$C,$C70,Data!$P:$P,"VAL",Data!$E:$E,$E70,Data!$F:$F,$F70,Data!$I:$I,IF(ISBLANK($I70),"",$I70),Data!$J:$J,$J70,Data!$K:$K,$K70,Data!$R:$R,"",Data!$L:$L,IF(ISBLANK($P70),"",$P70),Data!$G:$G,"MAHEL",Data!$H:$H,"A15C",Data!$M:$M,36),0)-Q75</f>
        <v>0</v>
      </c>
      <c r="R73" s="57">
        <f>IF(NOT(ISBLANK(R70)),COUNTIFS(Data!$C:$C,$C70,Data!$P:$P,"VAL",Data!$E:$E,$E70,Data!$F:$F,$F70,Data!$I:$I,IF(ISBLANK($I70),"",$I70),Data!$J:$J,$J70,Data!$K:$K,$K70,Data!$R:$R,"",Data!$L:$L,IF(ISBLANK($P70),"",$P70),Data!$G:$G,"MAHEL",Data!$H:$H,"A15C",Data!$M:$M,40),0)-R75</f>
        <v>0</v>
      </c>
      <c r="S73" s="57">
        <f>IF(NOT(ISBLANK(S70)),COUNTIFS(Data!$C:$C,$C70,Data!$P:$P,"VAL",Data!$E:$E,$E70,Data!$F:$F,$F70,Data!$I:$I,IF(ISBLANK($I70),"",$I70),Data!$J:$J,$J70,Data!$K:$K,$K70,Data!$R:$R,"",Data!$L:$L,IF(ISBLANK($P70),"",$P70),Data!$G:$G,"MAHEL",Data!$H:$H,"A15C",Data!$M:$M,48),0)-S75</f>
        <v>0</v>
      </c>
      <c r="T73" s="57">
        <f>IF(NOT(ISBLANK(T70)),COUNTIFS(Data!$C:$C,$C70,Data!$P:$P,"VAL",Data!$E:$E,$E70,Data!$F:$F,$F70,Data!$I:$I,IF(ISBLANK($I70),"",$I70),Data!$J:$J,$J70,Data!$K:$K,$K70,Data!$R:$R,"",Data!$L:$L,IF(ISBLANK($P70),"",$P70),Data!$G:$G,"MAHEL",Data!$H:$H,"A15C",Data!$M:$M,56),0)-T75</f>
        <v>0</v>
      </c>
      <c r="U73" s="57">
        <f>IF(NOT(ISBLANK(U70)),COUNTIFS(Data!$C:$C,$C70,Data!$P:$P,"VAL",Data!$E:$E,$E70,Data!$F:$F,$F70,Data!$I:$I,IF(ISBLANK($I70),"",$I70),Data!$J:$J,$J70,Data!$K:$K,$K70,Data!$R:$R,"",Data!$L:$L,IF(ISBLANK($P70),"",$P70),Data!$G:$G,"MAHEL",Data!$H:$H,"A15C",Data!$M:$M,64),0)-U75-U55-U57</f>
        <v>8</v>
      </c>
      <c r="V73" s="57">
        <f>IF(NOT(ISBLANK(V70)),COUNTIFS(Data!$C:$C,$C70,Data!$P:$P,"VAL",Data!$E:$E,$E70,Data!$F:$F,$F70,Data!$I:$I,IF(ISBLANK($I70),"",$I70),Data!$J:$J,$J70,Data!$K:$K,$K70,Data!$R:$R,"",Data!$L:$L,IF(ISBLANK($P70),"",$P70),Data!$G:$G,"MAHEL",Data!$H:$H,"A15C",Data!$M:$M,72),0)-V75-V55-V57</f>
        <v>8</v>
      </c>
      <c r="W73" s="57">
        <f>IF(NOT(ISBLANK(W70)),COUNTIFS(Data!$C:$C,$C70,Data!$P:$P,"VAL",Data!$E:$E,$E70,Data!$F:$F,$F70,Data!$I:$I,IF(ISBLANK($I70),"",$I70),Data!$J:$J,$J70,Data!$K:$K,$K70,Data!$R:$R,"",Data!$L:$L,IF(ISBLANK($P70),"",$P70),Data!$G:$G,"MAHEL",Data!$H:$H,"A15C",Data!$M:$M,88),0)-W75-W55-W57</f>
        <v>7</v>
      </c>
      <c r="X73" s="57">
        <f>IF(NOT(ISBLANK(X70)),COUNTIFS(Data!$C:$C,$C70,Data!$P:$P,"VAL",Data!$E:$E,$E70,Data!$F:$F,$F70,Data!$I:$I,IF(ISBLANK($I70),"",$I70),Data!$J:$J,$J70,Data!$K:$K,$K70,Data!$R:$R,"",Data!$L:$L,IF(ISBLANK($P70),"",$P70),Data!$G:$G,"MAHEL",Data!$H:$H,"A15C",Data!$M:$M,105),0)-X75</f>
        <v>0</v>
      </c>
      <c r="Y73" s="11"/>
      <c r="Z73" s="11"/>
      <c r="AA73" s="11"/>
    </row>
    <row r="74" spans="1:27" x14ac:dyDescent="0.3">
      <c r="A74" s="8"/>
      <c r="B74" s="8"/>
      <c r="C74" s="9"/>
      <c r="D74" s="9"/>
      <c r="E74" s="9"/>
      <c r="F74" s="9"/>
      <c r="G74" s="9"/>
      <c r="H74" s="9"/>
      <c r="I74" s="9"/>
      <c r="J74" s="9"/>
      <c r="K74" s="9"/>
      <c r="L74" s="10" t="s">
        <v>416</v>
      </c>
      <c r="M74" s="10"/>
      <c r="N74" s="10"/>
      <c r="O74" s="10"/>
      <c r="P74" s="9">
        <f>IF(COUNTIF(Z70:Z75,"*AS ORDERED*")&gt;0,SUM(Q74:X74),IF(P72&gt;0,0,(-1)*P72))</f>
        <v>0</v>
      </c>
      <c r="Q74" s="11">
        <f>IF(($P73+$P75)&gt;$P71,IF((Q73+Q75)-Q71&gt;0,(Q73+Q75)-Q71,0),0)</f>
        <v>0</v>
      </c>
      <c r="R74" s="11">
        <f>IF(($P73+$P75)&gt;$P71,IF((R73+R75)-R71&gt;0,(R73+R75)-R71,0),0)</f>
        <v>0</v>
      </c>
      <c r="S74" s="11">
        <f>IF(($P73+$P75)&gt;$P71,IF((S73+S75)-S71&gt;0,(S73+S75)-S71,0),0)</f>
        <v>0</v>
      </c>
      <c r="T74" s="11">
        <f>IF(($P73+$P75)&gt;$P71,IF((T73+T75)-T71&gt;0,(T73+T75)-T71,0),0)</f>
        <v>0</v>
      </c>
      <c r="U74" s="11">
        <f>IF(U72&lt;0,-U72,IF((U73+U75)-U71&gt;0,(U73+U75)-U71,0))</f>
        <v>0</v>
      </c>
      <c r="V74" s="11">
        <f>IF(($P73+$P75)&gt;$P71,IF((V73+V75)-V71&gt;0,(V73+V75)-V71,0),0)</f>
        <v>0</v>
      </c>
      <c r="W74" s="11">
        <f>IF(($P73+$P75)&gt;$P71,IF((W73+W75)-W71&gt;0,(W73+W75)-W71,0),0)</f>
        <v>0</v>
      </c>
      <c r="X74" s="11">
        <f>IF(($P73+$P75)&gt;$P71,IF((X73+X75)-X71&gt;0,(X73+X75)-X71,0),0)</f>
        <v>0</v>
      </c>
      <c r="Y74" s="11"/>
      <c r="Z74" s="11"/>
      <c r="AA74" s="11"/>
    </row>
    <row r="75" spans="1:27" ht="15" thickBot="1" x14ac:dyDescent="0.35">
      <c r="A75" s="8"/>
      <c r="B75" s="8"/>
      <c r="C75" s="9"/>
      <c r="D75" s="9"/>
      <c r="E75" s="9"/>
      <c r="F75" s="9"/>
      <c r="G75" s="9"/>
      <c r="H75" s="9"/>
      <c r="I75" s="9"/>
      <c r="J75" s="9"/>
      <c r="K75" s="9"/>
      <c r="L75" s="10" t="s">
        <v>417</v>
      </c>
      <c r="M75" s="10"/>
      <c r="N75" s="10"/>
      <c r="O75" s="10"/>
      <c r="P75" s="164">
        <f>SUM(Q75:X75)</f>
        <v>0</v>
      </c>
      <c r="Q75" s="57">
        <f>IF(NOT(ISBLANK(Q70)),COUNTIFS(Data!$C:$C,$C70,Data!$P:$P,"VAL",Data!$E:$E,$E70,Data!$F:$F,$F70,Data!$I:$I,IF(ISBLANK($I70),"",$I70),Data!$J:$J,$J70,Data!$K:$K,$K70,Data!$R:$R,"",Data!$L:$L,IF(ISBLANK($P70),"",$P70),Data!$G:$G,"MAHEL",Data!$H:$H,"A15C",Data!$M:$M,36, Data!$Q:$Q,1),0)</f>
        <v>0</v>
      </c>
      <c r="R75" s="57">
        <f>IF(NOT(ISBLANK(R70)),COUNTIFS(Data!$C:$C,$C70,Data!$P:$P,"VAL",Data!$E:$E,$E70,Data!$F:$F,$F70,Data!$I:$I,IF(ISBLANK($I70),"",$I70),Data!$J:$J,$J70,Data!$K:$K,$K70,Data!$R:$R,"",Data!$L:$L,IF(ISBLANK($P70),"",$P70),Data!$G:$G,"MAHEL",Data!$H:$H,"A15C",Data!$M:$M,40, Data!$Q:$Q,1),0)</f>
        <v>0</v>
      </c>
      <c r="S75" s="57">
        <f>IF(NOT(ISBLANK(S70)),COUNTIFS(Data!$C:$C,$C70,Data!$P:$P,"VAL",Data!$E:$E,$E70,Data!$F:$F,$F70,Data!$I:$I,IF(ISBLANK($I70),"",$I70),Data!$J:$J,$J70,Data!$K:$K,$K70,Data!$R:$R,"",Data!$L:$L,IF(ISBLANK($P70),"",$P70),Data!$G:$G,"MAHEL",Data!$H:$H,"A15C",Data!$M:$M,48, Data!$Q:$Q,1),0)</f>
        <v>0</v>
      </c>
      <c r="T75" s="57">
        <f>IF(NOT(ISBLANK(T70)),COUNTIFS(Data!$C:$C,$C70,Data!$P:$P,"VAL",Data!$E:$E,$E70,Data!$F:$F,$F70,Data!$I:$I,IF(ISBLANK($I70),"",$I70),Data!$J:$J,$J70,Data!$K:$K,$K70,Data!$R:$R,"",Data!$L:$L,IF(ISBLANK($P70),"",$P70),Data!$G:$G,"MAHEL",Data!$H:$H,"A15C",Data!$M:$M,56, Data!$Q:$Q,1),0)</f>
        <v>0</v>
      </c>
      <c r="U75" s="57">
        <f>IF(NOT(ISBLANK(U70)),COUNTIFS(Data!$C:$C,$C70,Data!$P:$P,"VAL",Data!$E:$E,$E70,Data!$F:$F,$F70,Data!$I:$I,IF(ISBLANK($I70),"",$I70),Data!$J:$J,$J70,Data!$K:$K,$K70,Data!$R:$R,"",Data!$L:$L,IF(ISBLANK($P70),"",$P70),Data!$G:$G,"MAHEL",Data!$H:$H,"A15C",Data!$M:$M,64, Data!$Q:$Q,1),0)-U57</f>
        <v>0</v>
      </c>
      <c r="V75" s="57">
        <f>IF(NOT(ISBLANK(V70)),COUNTIFS(Data!$C:$C,$C70,Data!$P:$P,"VAL",Data!$E:$E,$E70,Data!$F:$F,$F70,Data!$I:$I,IF(ISBLANK($I70),"",$I70),Data!$J:$J,$J70,Data!$K:$K,$K70,Data!$R:$R,"",Data!$L:$L,IF(ISBLANK($P70),"",$P70),Data!$G:$G,"MAHEL",Data!$H:$H,"A15C",Data!$M:$M,72, Data!$Q:$Q,1),0)-V57</f>
        <v>0</v>
      </c>
      <c r="W75" s="57">
        <f>IF(NOT(ISBLANK(W70)),COUNTIFS(Data!$C:$C,$C70,Data!$P:$P,"VAL",Data!$E:$E,$E70,Data!$F:$F,$F70,Data!$I:$I,IF(ISBLANK($I70),"",$I70),Data!$J:$J,$J70,Data!$K:$K,$K70,Data!$R:$R,"",Data!$L:$L,IF(ISBLANK($P70),"",$P70),Data!$G:$G,"MAHEL",Data!$H:$H,"A15C",Data!$M:$M,88, Data!$Q:$Q,1),0)-W57</f>
        <v>0</v>
      </c>
      <c r="X75" s="57">
        <f>IF(NOT(ISBLANK(X70)),COUNTIFS(Data!$C:$C,$C70,Data!$P:$P,"VAL",Data!$E:$E,$E70,Data!$F:$F,$F70,Data!$I:$I,IF(ISBLANK($I70),"",$I70),Data!$J:$J,$J70,Data!$K:$K,$K70,Data!$R:$R,"",Data!$L:$L,IF(ISBLANK($P70),"",$P70),Data!$G:$G,"MAHEL",Data!$H:$H,"A15C",Data!$M:$M,105, Data!$Q:$Q,1),0)</f>
        <v>0</v>
      </c>
      <c r="Y75" s="11"/>
      <c r="Z75" s="11"/>
      <c r="AA75" s="11">
        <v>80</v>
      </c>
    </row>
    <row r="76" spans="1:27" ht="15.6" x14ac:dyDescent="0.3">
      <c r="A76" s="64"/>
      <c r="B76" s="106" t="s">
        <v>389</v>
      </c>
      <c r="C76" s="107" t="s">
        <v>396</v>
      </c>
      <c r="D76" s="62" t="s">
        <v>508</v>
      </c>
      <c r="E76" s="62" t="s">
        <v>487</v>
      </c>
      <c r="F76" s="62">
        <v>1</v>
      </c>
      <c r="G76" s="62" t="s">
        <v>390</v>
      </c>
      <c r="H76" s="62" t="s">
        <v>391</v>
      </c>
      <c r="I76" s="62"/>
      <c r="J76" s="62" t="s">
        <v>488</v>
      </c>
      <c r="K76" s="62" t="s">
        <v>487</v>
      </c>
      <c r="L76" s="62" t="s">
        <v>481</v>
      </c>
      <c r="M76" s="62" t="s">
        <v>393</v>
      </c>
      <c r="N76" s="62">
        <f>+Y76/80</f>
        <v>30</v>
      </c>
      <c r="O76" s="62"/>
      <c r="P76" s="62" t="s">
        <v>536</v>
      </c>
      <c r="Q76" s="64"/>
      <c r="R76" s="64"/>
      <c r="S76" s="64"/>
      <c r="T76" s="63"/>
      <c r="U76" s="66"/>
      <c r="V76" s="63">
        <f>10*80</f>
        <v>800</v>
      </c>
      <c r="W76" s="63">
        <f>10*80</f>
        <v>800</v>
      </c>
      <c r="X76" s="63">
        <f>10*80</f>
        <v>800</v>
      </c>
      <c r="Y76" s="63">
        <f>SUM(Q76:X76)</f>
        <v>2400</v>
      </c>
      <c r="Z76" s="110" t="s">
        <v>490</v>
      </c>
      <c r="AA76" s="107" t="s">
        <v>406</v>
      </c>
    </row>
    <row r="77" spans="1:27" x14ac:dyDescent="0.3">
      <c r="A77" s="8"/>
      <c r="B77" s="8"/>
      <c r="C77" s="9"/>
      <c r="D77" s="9"/>
      <c r="E77" s="9"/>
      <c r="F77" s="9"/>
      <c r="G77" s="9"/>
      <c r="H77" s="9"/>
      <c r="I77" s="9"/>
      <c r="J77" s="9"/>
      <c r="K77" s="9"/>
      <c r="L77" s="10" t="s">
        <v>413</v>
      </c>
      <c r="M77" s="10"/>
      <c r="N77" s="10"/>
      <c r="O77" s="10"/>
      <c r="P77" s="9">
        <f>SUM(Q77:X77)</f>
        <v>30</v>
      </c>
      <c r="Q77" s="11">
        <f t="shared" ref="Q77:X77" si="34">IFERROR(Q76/80,0)</f>
        <v>0</v>
      </c>
      <c r="R77" s="11">
        <f t="shared" si="34"/>
        <v>0</v>
      </c>
      <c r="S77" s="11">
        <f t="shared" si="34"/>
        <v>0</v>
      </c>
      <c r="T77" s="11">
        <f t="shared" si="34"/>
        <v>0</v>
      </c>
      <c r="U77" s="11">
        <f t="shared" si="34"/>
        <v>0</v>
      </c>
      <c r="V77" s="11">
        <f t="shared" si="34"/>
        <v>10</v>
      </c>
      <c r="W77" s="11">
        <f t="shared" si="34"/>
        <v>10</v>
      </c>
      <c r="X77" s="11">
        <f t="shared" si="34"/>
        <v>10</v>
      </c>
      <c r="Y77" s="11"/>
      <c r="Z77" s="156" t="s">
        <v>523</v>
      </c>
      <c r="AA77" s="11"/>
    </row>
    <row r="78" spans="1:27" x14ac:dyDescent="0.3">
      <c r="A78" s="8"/>
      <c r="B78" s="8"/>
      <c r="C78" s="9"/>
      <c r="D78" s="9"/>
      <c r="E78" s="9"/>
      <c r="F78" s="9"/>
      <c r="G78" s="9"/>
      <c r="H78" s="9"/>
      <c r="I78" s="9"/>
      <c r="J78" s="9"/>
      <c r="K78" s="9"/>
      <c r="L78" s="10" t="s">
        <v>414</v>
      </c>
      <c r="M78" s="10"/>
      <c r="N78" s="10"/>
      <c r="O78" s="10"/>
      <c r="P78" s="9">
        <f>SUM(Q78:X78)</f>
        <v>30</v>
      </c>
      <c r="Q78" s="11">
        <f t="shared" ref="Q78:X78" si="35">IFERROR(Q77-(Q79+Q81),0)</f>
        <v>0</v>
      </c>
      <c r="R78" s="11">
        <f t="shared" si="35"/>
        <v>0</v>
      </c>
      <c r="S78" s="11">
        <f t="shared" si="35"/>
        <v>0</v>
      </c>
      <c r="T78" s="11">
        <f t="shared" si="35"/>
        <v>0</v>
      </c>
      <c r="U78" s="11">
        <f t="shared" si="35"/>
        <v>0</v>
      </c>
      <c r="V78" s="11">
        <f t="shared" si="35"/>
        <v>10</v>
      </c>
      <c r="W78" s="11">
        <f t="shared" si="35"/>
        <v>10</v>
      </c>
      <c r="X78" s="11">
        <f t="shared" si="35"/>
        <v>10</v>
      </c>
      <c r="Y78" s="11"/>
      <c r="Z78" s="156"/>
      <c r="AA78" s="11"/>
    </row>
    <row r="79" spans="1:27" x14ac:dyDescent="0.3">
      <c r="A79" s="8"/>
      <c r="B79" s="8"/>
      <c r="C79" s="9"/>
      <c r="D79" s="9"/>
      <c r="E79" s="9"/>
      <c r="F79" s="9"/>
      <c r="G79" s="9"/>
      <c r="H79" s="9"/>
      <c r="I79" s="9"/>
      <c r="J79" s="9"/>
      <c r="K79" s="9"/>
      <c r="L79" s="10" t="s">
        <v>415</v>
      </c>
      <c r="M79" s="10"/>
      <c r="N79" s="10"/>
      <c r="O79" s="10"/>
      <c r="P79" s="164">
        <f>SUM(Q79:X79)</f>
        <v>0</v>
      </c>
      <c r="Q79" s="57">
        <f>IF(NOT(ISBLANK(Q76)),COUNTIFS(Data!$C:$C,$C76,Data!$P:$P,"VAL",Data!$E:$E,$E76,Data!$F:$F,$F76,Data!$I:$I,IF(ISBLANK($I76),"",$I76),Data!$J:$J,$J76,Data!$K:$K,$K76,Data!$R:$R,"",Data!$L:$L,IF(ISBLANK($P76),"",$P76),Data!$G:$G,"ZF",Data!$H:$H,"A15C",Data!$M:$M,36),0)-Q81</f>
        <v>0</v>
      </c>
      <c r="R79" s="57">
        <f>IF(NOT(ISBLANK(R76)),COUNTIFS(Data!$C:$C,$C76,Data!$P:$P,"VAL",Data!$E:$E,$E76,Data!$F:$F,$F76,Data!$I:$I,IF(ISBLANK($I76),"",$I76),Data!$J:$J,$J76,Data!$K:$K,$K76,Data!$R:$R,"",Data!$L:$L,IF(ISBLANK($P76),"",$P76),Data!$G:$G,"ZF",Data!$H:$H,"A15C",Data!$M:$M,40),0)-R81</f>
        <v>0</v>
      </c>
      <c r="S79" s="57">
        <f>IF(NOT(ISBLANK(S76)),COUNTIFS(Data!$C:$C,$C76,Data!$P:$P,"VAL",Data!$E:$E,$E76,Data!$F:$F,$F76,Data!$I:$I,IF(ISBLANK($I76),"",$I76),Data!$J:$J,$J76,Data!$K:$K,$K76,Data!$R:$R,"",Data!$L:$L,IF(ISBLANK($P76),"",$P76),Data!$G:$G,"ZF",Data!$H:$H,"A15C",Data!$M:$M,48),0)-S81</f>
        <v>0</v>
      </c>
      <c r="T79" s="57">
        <f>IF(NOT(ISBLANK(T76)),COUNTIFS(Data!$C:$C,$C76,Data!$P:$P,"VAL",Data!$E:$E,$E76,Data!$F:$F,$F76,Data!$I:$I,IF(ISBLANK($I76),"",$I76),Data!$J:$J,$J76,Data!$K:$K,$K76,Data!$R:$R,"",Data!$L:$L,IF(ISBLANK($P76),"",$P76),Data!$G:$G,"ZF",Data!$H:$H,"A15C",Data!$M:$M,56),0)-T81</f>
        <v>0</v>
      </c>
      <c r="U79" s="57">
        <f>IF(NOT(ISBLANK(U76)),COUNTIFS(Data!$C:$C,$C76,Data!$P:$P,"VAL",Data!$E:$E,$E76,Data!$F:$F,$F76,Data!$I:$I,IF(ISBLANK($I76),"",$I76),Data!$J:$J,$J76,Data!$K:$K,$K76,Data!$R:$R,"",Data!$L:$L,IF(ISBLANK($P76),"",$P76),Data!$G:$G,"ZF",Data!$H:$H,"A15C",Data!$M:$M,64),0)-U81</f>
        <v>0</v>
      </c>
      <c r="V79" s="57">
        <f>IF(NOT(ISBLANK(V76)),COUNTIFS(Data!$C:$C,$C76,Data!$P:$P,"VAL",Data!$E:$E,$E76,Data!$F:$F,$F76,Data!$I:$I,IF(ISBLANK($I76),"",$I76),Data!$J:$J,$J76,Data!$K:$K,$K76,Data!$R:$R,"",Data!$L:$L,IF(ISBLANK($P76),"",$P76),Data!$G:$G,"ZF",Data!$H:$H,"A15C",Data!$M:$M,72),0)-V81-V61-V63</f>
        <v>0</v>
      </c>
      <c r="W79" s="57">
        <f>IF(NOT(ISBLANK(W76)),COUNTIFS(Data!$C:$C,$C76,Data!$P:$P,"VAL",Data!$E:$E,$E76,Data!$F:$F,$F76,Data!$I:$I,IF(ISBLANK($I76),"",$I76),Data!$J:$J,$J76,Data!$K:$K,$K76,Data!$R:$R,"",Data!$L:$L,IF(ISBLANK($P76),"",$P76),Data!$G:$G,"ZF",Data!$H:$H,"A15C",Data!$M:$M,88),0)-W81-W61-W63</f>
        <v>0</v>
      </c>
      <c r="X79" s="57">
        <f>IF(NOT(ISBLANK(X76)),COUNTIFS(Data!$C:$C,$C76,Data!$P:$P,"VAL",Data!$E:$E,$E76,Data!$F:$F,$F76,Data!$I:$I,IF(ISBLANK($I76),"",$I76),Data!$J:$J,$J76,Data!$K:$K,$K76,Data!$R:$R,"",Data!$L:$L,IF(ISBLANK($P76),"",$P76),Data!$G:$G,"ZF",Data!$H:$H,"A15C",Data!$M:$M,105),0)-X81-X61-X63</f>
        <v>0</v>
      </c>
      <c r="Y79" s="11"/>
      <c r="Z79" s="11"/>
      <c r="AA79" s="11"/>
    </row>
    <row r="80" spans="1:27" x14ac:dyDescent="0.3">
      <c r="A80" s="8"/>
      <c r="B80" s="8"/>
      <c r="C80" s="9"/>
      <c r="D80" s="9"/>
      <c r="E80" s="9"/>
      <c r="F80" s="9"/>
      <c r="G80" s="9"/>
      <c r="H80" s="9"/>
      <c r="I80" s="9"/>
      <c r="J80" s="9"/>
      <c r="K80" s="9"/>
      <c r="L80" s="10" t="s">
        <v>416</v>
      </c>
      <c r="M80" s="10"/>
      <c r="N80" s="10"/>
      <c r="O80" s="10"/>
      <c r="P80" s="9">
        <f>IF(COUNTIF(Z76:Z81,"*AS ORDERED*")&gt;0,SUM(Q80:X80),IF(P78&gt;0,0,(-1)*P78))</f>
        <v>0</v>
      </c>
      <c r="Q80" s="11">
        <f t="shared" ref="Q80:X80" si="36">IF(($P79+$P81)&gt;$P77,IF((Q79+Q81)-Q77&gt;0,(Q79+Q81)-Q77,0),0)</f>
        <v>0</v>
      </c>
      <c r="R80" s="11">
        <f t="shared" si="36"/>
        <v>0</v>
      </c>
      <c r="S80" s="11">
        <f t="shared" si="36"/>
        <v>0</v>
      </c>
      <c r="T80" s="11">
        <f t="shared" si="36"/>
        <v>0</v>
      </c>
      <c r="U80" s="11">
        <f t="shared" si="36"/>
        <v>0</v>
      </c>
      <c r="V80" s="11">
        <f t="shared" si="36"/>
        <v>0</v>
      </c>
      <c r="W80" s="11">
        <f t="shared" si="36"/>
        <v>0</v>
      </c>
      <c r="X80" s="11">
        <f t="shared" si="36"/>
        <v>0</v>
      </c>
      <c r="Y80" s="11"/>
      <c r="Z80" s="11"/>
      <c r="AA80" s="11"/>
    </row>
    <row r="81" spans="1:27" ht="15" thickBot="1" x14ac:dyDescent="0.35">
      <c r="A81" s="8"/>
      <c r="B81" s="8"/>
      <c r="C81" s="9"/>
      <c r="D81" s="9"/>
      <c r="E81" s="9"/>
      <c r="F81" s="9"/>
      <c r="G81" s="9"/>
      <c r="H81" s="9"/>
      <c r="I81" s="9"/>
      <c r="J81" s="9"/>
      <c r="K81" s="9"/>
      <c r="L81" s="10" t="s">
        <v>417</v>
      </c>
      <c r="M81" s="10"/>
      <c r="N81" s="10"/>
      <c r="O81" s="10"/>
      <c r="P81" s="164">
        <f>SUM(Q81:X81)</f>
        <v>0</v>
      </c>
      <c r="Q81" s="57">
        <f>IF(NOT(ISBLANK(Q76)),COUNTIFS(Data!$C:$C,$C76,Data!$P:$P,"VAL",Data!$E:$E,$E76,Data!$F:$F,$F76,Data!$I:$I,IF(ISBLANK($I76),"",$I76),Data!$J:$J,$J76,Data!$K:$K,$K76,Data!$R:$R,"",Data!$L:$L,IF(ISBLANK($P76),"",$P76),Data!$G:$G,"ZF",Data!$H:$H,"A15C",Data!$M:$M,36, Data!$Q:$Q,1),0)</f>
        <v>0</v>
      </c>
      <c r="R81" s="57">
        <f>IF(NOT(ISBLANK(R76)),COUNTIFS(Data!$C:$C,$C76,Data!$P:$P,"VAL",Data!$E:$E,$E76,Data!$F:$F,$F76,Data!$I:$I,IF(ISBLANK($I76),"",$I76),Data!$J:$J,$J76,Data!$K:$K,$K76,Data!$R:$R,"",Data!$L:$L,IF(ISBLANK($P76),"",$P76),Data!$G:$G,"ZF",Data!$H:$H,"A15C",Data!$M:$M,40, Data!$Q:$Q,1),0)</f>
        <v>0</v>
      </c>
      <c r="S81" s="57">
        <f>IF(NOT(ISBLANK(S76)),COUNTIFS(Data!$C:$C,$C76,Data!$P:$P,"VAL",Data!$E:$E,$E76,Data!$F:$F,$F76,Data!$I:$I,IF(ISBLANK($I76),"",$I76),Data!$J:$J,$J76,Data!$K:$K,$K76,Data!$R:$R,"",Data!$L:$L,IF(ISBLANK($P76),"",$P76),Data!$G:$G,"ZF",Data!$H:$H,"A15C",Data!$M:$M,48, Data!$Q:$Q,1),0)</f>
        <v>0</v>
      </c>
      <c r="T81" s="57">
        <f>IF(NOT(ISBLANK(T76)),COUNTIFS(Data!$C:$C,$C76,Data!$P:$P,"VAL",Data!$E:$E,$E76,Data!$F:$F,$F76,Data!$I:$I,IF(ISBLANK($I76),"",$I76),Data!$J:$J,$J76,Data!$K:$K,$K76,Data!$R:$R,"",Data!$L:$L,IF(ISBLANK($P76),"",$P76),Data!$G:$G,"ZF",Data!$H:$H,"A15C",Data!$M:$M,56, Data!$Q:$Q,1),0)</f>
        <v>0</v>
      </c>
      <c r="U81" s="57">
        <f>IF(NOT(ISBLANK(U76)),COUNTIFS(Data!$C:$C,$C76,Data!$P:$P,"VAL",Data!$E:$E,$E76,Data!$F:$F,$F76,Data!$I:$I,IF(ISBLANK($I76),"",$I76),Data!$J:$J,$J76,Data!$K:$K,$K76,Data!$R:$R,"",Data!$L:$L,IF(ISBLANK($P76),"",$P76),Data!$G:$G,"ZF",Data!$H:$H,"A15C",Data!$M:$M,64, Data!$Q:$Q,1),0)</f>
        <v>0</v>
      </c>
      <c r="V81" s="57">
        <f>IF(NOT(ISBLANK(V76)),COUNTIFS(Data!$C:$C,$C76,Data!$P:$P,"VAL",Data!$E:$E,$E76,Data!$F:$F,$F76,Data!$I:$I,IF(ISBLANK($I76),"",$I76),Data!$J:$J,$J76,Data!$K:$K,$K76,Data!$R:$R,"",Data!$L:$L,IF(ISBLANK($P76),"",$P76),Data!$G:$G,"ZF",Data!$H:$H,"A15C",Data!$M:$M,72, Data!$Q:$Q,1),0)-V63</f>
        <v>0</v>
      </c>
      <c r="W81" s="57">
        <f>IF(NOT(ISBLANK(W76)),COUNTIFS(Data!$C:$C,$C76,Data!$P:$P,"VAL",Data!$E:$E,$E76,Data!$F:$F,$F76,Data!$I:$I,IF(ISBLANK($I76),"",$I76),Data!$J:$J,$J76,Data!$K:$K,$K76,Data!$R:$R,"",Data!$L:$L,IF(ISBLANK($P76),"",$P76),Data!$G:$G,"ZF",Data!$H:$H,"A15C",Data!$M:$M,88, Data!$Q:$Q,1),0)-W63</f>
        <v>0</v>
      </c>
      <c r="X81" s="57">
        <f>IF(NOT(ISBLANK(X76)),COUNTIFS(Data!$C:$C,$C76,Data!$P:$P,"VAL",Data!$E:$E,$E76,Data!$F:$F,$F76,Data!$I:$I,IF(ISBLANK($I76),"",$I76),Data!$J:$J,$J76,Data!$K:$K,$K76,Data!$R:$R,"",Data!$L:$L,IF(ISBLANK($P76),"",$P76),Data!$G:$G,"ZF",Data!$H:$H,"A15C",Data!$M:$M,105, Data!$Q:$Q,1),0)-X63</f>
        <v>0</v>
      </c>
      <c r="Y81" s="11"/>
      <c r="Z81" s="11"/>
      <c r="AA81" s="11">
        <v>80</v>
      </c>
    </row>
    <row r="82" spans="1:27" ht="15.6" x14ac:dyDescent="0.3">
      <c r="A82" s="64"/>
      <c r="B82" s="106" t="s">
        <v>485</v>
      </c>
      <c r="C82" s="107" t="s">
        <v>478</v>
      </c>
      <c r="D82" s="62" t="s">
        <v>508</v>
      </c>
      <c r="E82" s="62" t="s">
        <v>487</v>
      </c>
      <c r="F82" s="62">
        <v>1</v>
      </c>
      <c r="G82" s="62" t="s">
        <v>411</v>
      </c>
      <c r="H82" s="62" t="s">
        <v>391</v>
      </c>
      <c r="I82" s="62"/>
      <c r="J82" s="62" t="s">
        <v>488</v>
      </c>
      <c r="K82" s="62" t="s">
        <v>487</v>
      </c>
      <c r="L82" s="62" t="s">
        <v>481</v>
      </c>
      <c r="M82" s="62" t="s">
        <v>393</v>
      </c>
      <c r="N82" s="62">
        <f>+Y82/80</f>
        <v>30</v>
      </c>
      <c r="O82" s="62"/>
      <c r="P82" s="62" t="s">
        <v>544</v>
      </c>
      <c r="Q82" s="64"/>
      <c r="R82" s="64"/>
      <c r="S82" s="64"/>
      <c r="T82" s="63"/>
      <c r="U82" s="63"/>
      <c r="V82" s="63">
        <f>20*80</f>
        <v>1600</v>
      </c>
      <c r="W82" s="63">
        <f>10*80</f>
        <v>800</v>
      </c>
      <c r="X82" s="63"/>
      <c r="Y82" s="63">
        <f>SUM(Q82:X82)</f>
        <v>2400</v>
      </c>
      <c r="Z82" s="110" t="s">
        <v>489</v>
      </c>
      <c r="AA82" s="107" t="s">
        <v>482</v>
      </c>
    </row>
    <row r="83" spans="1:27" x14ac:dyDescent="0.3">
      <c r="A83" s="8"/>
      <c r="B83" s="8"/>
      <c r="C83" s="9"/>
      <c r="D83" s="9"/>
      <c r="E83" s="9"/>
      <c r="F83" s="9"/>
      <c r="G83" s="9"/>
      <c r="H83" s="9"/>
      <c r="I83" s="9"/>
      <c r="J83" s="9"/>
      <c r="K83" s="9"/>
      <c r="L83" s="10" t="s">
        <v>413</v>
      </c>
      <c r="M83" s="10"/>
      <c r="N83" s="10"/>
      <c r="O83" s="10"/>
      <c r="P83" s="9">
        <f>SUM(Q83:X83)</f>
        <v>30</v>
      </c>
      <c r="Q83" s="11">
        <f t="shared" ref="Q83:X83" si="37">IFERROR(Q82/80,0)</f>
        <v>0</v>
      </c>
      <c r="R83" s="11">
        <f t="shared" si="37"/>
        <v>0</v>
      </c>
      <c r="S83" s="11">
        <f t="shared" si="37"/>
        <v>0</v>
      </c>
      <c r="T83" s="11">
        <f t="shared" si="37"/>
        <v>0</v>
      </c>
      <c r="U83" s="11">
        <f t="shared" si="37"/>
        <v>0</v>
      </c>
      <c r="V83" s="11">
        <f t="shared" si="37"/>
        <v>20</v>
      </c>
      <c r="W83" s="11">
        <f t="shared" si="37"/>
        <v>10</v>
      </c>
      <c r="X83" s="11">
        <f t="shared" si="37"/>
        <v>0</v>
      </c>
      <c r="Y83" s="11"/>
      <c r="Z83" s="156" t="s">
        <v>524</v>
      </c>
      <c r="AA83" s="11"/>
    </row>
    <row r="84" spans="1:27" x14ac:dyDescent="0.3">
      <c r="A84" s="8"/>
      <c r="B84" s="8"/>
      <c r="C84" s="9"/>
      <c r="D84" s="9"/>
      <c r="E84" s="9"/>
      <c r="F84" s="9"/>
      <c r="G84" s="9"/>
      <c r="H84" s="9"/>
      <c r="I84" s="9"/>
      <c r="J84" s="9"/>
      <c r="K84" s="9"/>
      <c r="L84" s="10" t="s">
        <v>414</v>
      </c>
      <c r="M84" s="10"/>
      <c r="N84" s="10"/>
      <c r="O84" s="10"/>
      <c r="P84" s="9">
        <f>SUM(Q84:X84)</f>
        <v>30</v>
      </c>
      <c r="Q84" s="11">
        <f t="shared" ref="Q84:X84" si="38">IFERROR(Q83-(Q85+Q87),0)</f>
        <v>0</v>
      </c>
      <c r="R84" s="11">
        <f t="shared" si="38"/>
        <v>0</v>
      </c>
      <c r="S84" s="11">
        <f t="shared" si="38"/>
        <v>0</v>
      </c>
      <c r="T84" s="11">
        <f t="shared" si="38"/>
        <v>0</v>
      </c>
      <c r="U84" s="11">
        <f t="shared" si="38"/>
        <v>0</v>
      </c>
      <c r="V84" s="11">
        <f t="shared" si="38"/>
        <v>20</v>
      </c>
      <c r="W84" s="11">
        <f t="shared" si="38"/>
        <v>10</v>
      </c>
      <c r="X84" s="11">
        <f t="shared" si="38"/>
        <v>0</v>
      </c>
      <c r="Y84" s="11"/>
      <c r="Z84" s="156"/>
      <c r="AA84" s="11"/>
    </row>
    <row r="85" spans="1:27" x14ac:dyDescent="0.3">
      <c r="A85" s="8"/>
      <c r="B85" s="8"/>
      <c r="C85" s="9"/>
      <c r="D85" s="9"/>
      <c r="E85" s="9"/>
      <c r="F85" s="9"/>
      <c r="G85" s="9"/>
      <c r="H85" s="9"/>
      <c r="I85" s="9"/>
      <c r="J85" s="9"/>
      <c r="K85" s="9"/>
      <c r="L85" s="10" t="s">
        <v>415</v>
      </c>
      <c r="M85" s="10"/>
      <c r="N85" s="10"/>
      <c r="O85" s="10"/>
      <c r="P85" s="164">
        <f>SUM(Q85:X85)</f>
        <v>0</v>
      </c>
      <c r="Q85" s="57">
        <f>IF(NOT(ISBLANK(Q82)),COUNTIFS(Data!$C:$C,$C82,Data!$P:$P,"VAL",Data!$E:$E,$E82,Data!$F:$F,$F82,Data!$I:$I,IF(ISBLANK($I82),"",$I82),Data!$J:$J,$J82,Data!$K:$K,$K82,Data!$R:$R,"",Data!$L:$L,IF(ISBLANK($P82),"",$P82),Data!$G:$G,"MALA",Data!$H:$H,"A15C",Data!$M:$M,36),0)-Q87</f>
        <v>0</v>
      </c>
      <c r="R85" s="57">
        <f>IF(NOT(ISBLANK(R82)),COUNTIFS(Data!$C:$C,$C82,Data!$P:$P,"VAL",Data!$E:$E,$E82,Data!$F:$F,$F82,Data!$I:$I,IF(ISBLANK($I82),"",$I82),Data!$J:$J,$J82,Data!$K:$K,$K82,Data!$R:$R,"",Data!$L:$L,IF(ISBLANK($P82),"",$P82),Data!$G:$G,"MALA",Data!$H:$H,"A15C",Data!$M:$M,40),0)-R87</f>
        <v>0</v>
      </c>
      <c r="S85" s="57">
        <f>IF(NOT(ISBLANK(S82)),COUNTIFS(Data!$C:$C,$C82,Data!$P:$P,"VAL",Data!$E:$E,$E82,Data!$F:$F,$F82,Data!$I:$I,IF(ISBLANK($I82),"",$I82),Data!$J:$J,$J82,Data!$K:$K,$K82,Data!$R:$R,"",Data!$L:$L,IF(ISBLANK($P82),"",$P82),Data!$G:$G,"MALA",Data!$H:$H,"A15C",Data!$M:$M,48),0)-S87</f>
        <v>0</v>
      </c>
      <c r="T85" s="57">
        <f>IF(NOT(ISBLANK(T82)),COUNTIFS(Data!$C:$C,$C82,Data!$P:$P,"VAL",Data!$E:$E,$E82,Data!$F:$F,$F82,Data!$I:$I,IF(ISBLANK($I82),"",$I82),Data!$J:$J,$J82,Data!$K:$K,$K82,Data!$R:$R,"",Data!$L:$L,IF(ISBLANK($P82),"",$P82),Data!$G:$G,"MALA",Data!$H:$H,"A15C",Data!$M:$M,56),0)-T87</f>
        <v>0</v>
      </c>
      <c r="U85" s="57">
        <f>IF(NOT(ISBLANK(U82)),COUNTIFS(Data!$C:$C,$C82,Data!$P:$P,"VAL",Data!$E:$E,$E82,Data!$F:$F,$F82,Data!$I:$I,IF(ISBLANK($I82),"",$I82),Data!$J:$J,$J82,Data!$K:$K,$K82,Data!$R:$R,"",Data!$L:$L,IF(ISBLANK($P82),"",$P82),Data!$G:$G,"MALA",Data!$H:$H,"A15C",Data!$M:$M,64),0)-U87</f>
        <v>0</v>
      </c>
      <c r="V85" s="57">
        <f>IF(NOT(ISBLANK(V82)),COUNTIFS(Data!$C:$C,$C82,Data!$P:$P,"VAL",Data!$E:$E,$E82,Data!$F:$F,$F82,Data!$I:$I,IF(ISBLANK($I82),"",$I82),Data!$J:$J,$J82,Data!$K:$K,$K82,Data!$R:$R,"",Data!$L:$L,IF(ISBLANK($P82),"",$P82),Data!$G:$G,"MALA",Data!$H:$H,"A15C",Data!$M:$M,72),0)-V87-V67-V69</f>
        <v>0</v>
      </c>
      <c r="W85" s="57">
        <f>IF(NOT(ISBLANK(W82)),COUNTIFS(Data!$C:$C,$C82,Data!$P:$P,"VAL",Data!$E:$E,$E82,Data!$F:$F,$F82,Data!$I:$I,IF(ISBLANK($I82),"",$I82),Data!$J:$J,$J82,Data!$K:$K,$K82,Data!$R:$R,"",Data!$L:$L,IF(ISBLANK($P82),"",$P82),Data!$G:$G,"MALA",Data!$H:$H,"A15C",Data!$M:$M,88),0)-W87-W67-W69</f>
        <v>0</v>
      </c>
      <c r="X85" s="57">
        <f>IF(NOT(ISBLANK(X82)),COUNTIFS(Data!$C:$C,$C82,Data!$P:$P,"VAL",Data!$E:$E,$E82,Data!$F:$F,$F82,Data!$I:$I,IF(ISBLANK($I82),"",$I82),Data!$J:$J,$J82,Data!$K:$K,$K82,Data!$R:$R,"",Data!$L:$L,IF(ISBLANK($P82),"",$P82),Data!$G:$G,"MALA",Data!$H:$H,"A15C",Data!$M:$M,105),0)-X87</f>
        <v>0</v>
      </c>
      <c r="Y85" s="11"/>
      <c r="Z85" s="11"/>
      <c r="AA85" s="11"/>
    </row>
    <row r="86" spans="1:27" x14ac:dyDescent="0.3">
      <c r="A86" s="8"/>
      <c r="B86" s="8"/>
      <c r="C86" s="9"/>
      <c r="D86" s="9"/>
      <c r="E86" s="9"/>
      <c r="F86" s="9"/>
      <c r="G86" s="9"/>
      <c r="H86" s="9"/>
      <c r="I86" s="9"/>
      <c r="J86" s="9"/>
      <c r="K86" s="9"/>
      <c r="L86" s="10" t="s">
        <v>416</v>
      </c>
      <c r="M86" s="10"/>
      <c r="N86" s="10"/>
      <c r="O86" s="10"/>
      <c r="P86" s="9">
        <f>IF(COUNTIF(Z82:Z87,"*AS ORDERED*")&gt;0,SUM(Q86:X86),IF(P84&gt;0,0,(-1)*P84))</f>
        <v>0</v>
      </c>
      <c r="Q86" s="11">
        <f t="shared" ref="Q86:W86" si="39">IF(($P85+$P87)&gt;$P83,IF((Q85+Q87)-Q83&gt;0,(Q85+Q87)-Q83,0),0)</f>
        <v>0</v>
      </c>
      <c r="R86" s="11">
        <f t="shared" si="39"/>
        <v>0</v>
      </c>
      <c r="S86" s="11">
        <f t="shared" si="39"/>
        <v>0</v>
      </c>
      <c r="T86" s="11">
        <f t="shared" si="39"/>
        <v>0</v>
      </c>
      <c r="U86" s="11">
        <f t="shared" si="39"/>
        <v>0</v>
      </c>
      <c r="V86" s="11">
        <f t="shared" si="39"/>
        <v>0</v>
      </c>
      <c r="W86" s="11">
        <f t="shared" si="39"/>
        <v>0</v>
      </c>
      <c r="X86" s="11">
        <f>IF(X84&lt;0,-X84,IF((X85+X87)-X83&gt;0,(X85+X87)-X83,0))</f>
        <v>0</v>
      </c>
      <c r="Y86" s="11"/>
      <c r="Z86" s="11"/>
      <c r="AA86" s="11"/>
    </row>
    <row r="87" spans="1:27" ht="15" thickBot="1" x14ac:dyDescent="0.35">
      <c r="A87" s="8"/>
      <c r="B87" s="8"/>
      <c r="C87" s="9"/>
      <c r="D87" s="9"/>
      <c r="E87" s="9"/>
      <c r="F87" s="9"/>
      <c r="G87" s="9"/>
      <c r="H87" s="9"/>
      <c r="I87" s="9"/>
      <c r="J87" s="9"/>
      <c r="K87" s="9"/>
      <c r="L87" s="10" t="s">
        <v>417</v>
      </c>
      <c r="M87" s="10"/>
      <c r="N87" s="10"/>
      <c r="O87" s="10"/>
      <c r="P87" s="164">
        <f>SUM(Q87:X87)</f>
        <v>0</v>
      </c>
      <c r="Q87" s="57">
        <f>IF(NOT(ISBLANK(Q82)),COUNTIFS(Data!$C:$C,$C82,Data!$P:$P,"VAL",Data!$E:$E,$E82,Data!$F:$F,$F82,Data!$I:$I,IF(ISBLANK($I82),"",$I82),Data!$J:$J,$J82,Data!$K:$K,$K82,Data!$R:$R,"",Data!$L:$L,IF(ISBLANK($P82),"",$P82),Data!$G:$G,"MALA",Data!$H:$H,"A15C",Data!$M:$M,36, Data!$Q:$Q,1),0)</f>
        <v>0</v>
      </c>
      <c r="R87" s="57">
        <f>IF(NOT(ISBLANK(R82)),COUNTIFS(Data!$C:$C,$C82,Data!$P:$P,"VAL",Data!$E:$E,$E82,Data!$F:$F,$F82,Data!$I:$I,IF(ISBLANK($I82),"",$I82),Data!$J:$J,$J82,Data!$K:$K,$K82,Data!$R:$R,"",Data!$L:$L,IF(ISBLANK($P82),"",$P82),Data!$G:$G,"MALA",Data!$H:$H,"A15C",Data!$M:$M,40, Data!$Q:$Q,1),0)</f>
        <v>0</v>
      </c>
      <c r="S87" s="57">
        <f>IF(NOT(ISBLANK(S82)),COUNTIFS(Data!$C:$C,$C82,Data!$P:$P,"VAL",Data!$E:$E,$E82,Data!$F:$F,$F82,Data!$I:$I,IF(ISBLANK($I82),"",$I82),Data!$J:$J,$J82,Data!$K:$K,$K82,Data!$R:$R,"",Data!$L:$L,IF(ISBLANK($P82),"",$P82),Data!$G:$G,"MALA",Data!$H:$H,"A15C",Data!$M:$M,48, Data!$Q:$Q,1),0)</f>
        <v>0</v>
      </c>
      <c r="T87" s="57">
        <f>IF(NOT(ISBLANK(T82)),COUNTIFS(Data!$C:$C,$C82,Data!$P:$P,"VAL",Data!$E:$E,$E82,Data!$F:$F,$F82,Data!$I:$I,IF(ISBLANK($I82),"",$I82),Data!$J:$J,$J82,Data!$K:$K,$K82,Data!$R:$R,"",Data!$L:$L,IF(ISBLANK($P82),"",$P82),Data!$G:$G,"MALA",Data!$H:$H,"A15C",Data!$M:$M,56, Data!$Q:$Q,1),0)</f>
        <v>0</v>
      </c>
      <c r="U87" s="57">
        <f>IF(NOT(ISBLANK(U82)),COUNTIFS(Data!$C:$C,$C82,Data!$P:$P,"VAL",Data!$E:$E,$E82,Data!$F:$F,$F82,Data!$I:$I,IF(ISBLANK($I82),"",$I82),Data!$J:$J,$J82,Data!$K:$K,$K82,Data!$R:$R,"",Data!$L:$L,IF(ISBLANK($P82),"",$P82),Data!$G:$G,"MALA",Data!$H:$H,"A15C",Data!$M:$M,64, Data!$Q:$Q,1),0)</f>
        <v>0</v>
      </c>
      <c r="V87" s="57">
        <f>IF(NOT(ISBLANK(V82)),COUNTIFS(Data!$C:$C,$C82,Data!$P:$P,"VAL",Data!$E:$E,$E82,Data!$F:$F,$F82,Data!$I:$I,IF(ISBLANK($I82),"",$I82),Data!$J:$J,$J82,Data!$K:$K,$K82,Data!$R:$R,"",Data!$L:$L,IF(ISBLANK($P82),"",$P82),Data!$G:$G,"MALA",Data!$H:$H,"A15C",Data!$M:$M,72, Data!$Q:$Q,1),0)-V69</f>
        <v>0</v>
      </c>
      <c r="W87" s="57">
        <f>IF(NOT(ISBLANK(W82)),COUNTIFS(Data!$C:$C,$C82,Data!$P:$P,"VAL",Data!$E:$E,$E82,Data!$F:$F,$F82,Data!$I:$I,IF(ISBLANK($I82),"",$I82),Data!$J:$J,$J82,Data!$K:$K,$K82,Data!$R:$R,"",Data!$L:$L,IF(ISBLANK($P82),"",$P82),Data!$G:$G,"MALA",Data!$H:$H,"A15C",Data!$M:$M,88, Data!$Q:$Q,1),0)-W69</f>
        <v>0</v>
      </c>
      <c r="X87" s="57">
        <f>IF(NOT(ISBLANK(X82)),COUNTIFS(Data!$C:$C,$C82,Data!$P:$P,"VAL",Data!$E:$E,$E82,Data!$F:$F,$F82,Data!$I:$I,IF(ISBLANK($I82),"",$I82),Data!$J:$J,$J82,Data!$K:$K,$K82,Data!$R:$R,"",Data!$L:$L,IF(ISBLANK($P82),"",$P82),Data!$G:$G,"MALA",Data!$H:$H,"A15C",Data!$M:$M,105, Data!$Q:$Q,1),0)</f>
        <v>0</v>
      </c>
      <c r="Y87" s="11"/>
      <c r="Z87" s="11"/>
      <c r="AA87" s="11">
        <v>80</v>
      </c>
    </row>
    <row r="88" spans="1:27" ht="15.6" x14ac:dyDescent="0.3">
      <c r="A88" s="149" t="s">
        <v>395</v>
      </c>
      <c r="B88" s="149" t="s">
        <v>389</v>
      </c>
      <c r="C88" s="113" t="s">
        <v>396</v>
      </c>
      <c r="D88" s="113" t="s">
        <v>508</v>
      </c>
      <c r="E88" s="113" t="s">
        <v>397</v>
      </c>
      <c r="F88" s="113">
        <v>1</v>
      </c>
      <c r="G88" s="113" t="s">
        <v>390</v>
      </c>
      <c r="H88" s="113" t="s">
        <v>391</v>
      </c>
      <c r="I88" s="150" t="s">
        <v>535</v>
      </c>
      <c r="J88" s="113" t="s">
        <v>398</v>
      </c>
      <c r="K88" s="113" t="s">
        <v>397</v>
      </c>
      <c r="L88" s="113" t="s">
        <v>392</v>
      </c>
      <c r="M88" s="113" t="s">
        <v>399</v>
      </c>
      <c r="N88" s="113"/>
      <c r="O88" s="113">
        <f>+Y88/70</f>
        <v>74</v>
      </c>
      <c r="P88" s="113" t="s">
        <v>536</v>
      </c>
      <c r="Q88" s="152"/>
      <c r="R88" s="151"/>
      <c r="S88" s="151">
        <f>20*70</f>
        <v>1400</v>
      </c>
      <c r="T88" s="151">
        <f>27*70</f>
        <v>1890</v>
      </c>
      <c r="U88" s="151">
        <f>27*70</f>
        <v>1890</v>
      </c>
      <c r="V88" s="151"/>
      <c r="W88" s="151"/>
      <c r="X88" s="151"/>
      <c r="Y88" s="151">
        <f>SUM(Q88:X88)</f>
        <v>5180</v>
      </c>
      <c r="Z88" s="155" t="s">
        <v>555</v>
      </c>
      <c r="AA88" s="113" t="s">
        <v>406</v>
      </c>
    </row>
    <row r="89" spans="1:27" x14ac:dyDescent="0.3">
      <c r="A89" s="8"/>
      <c r="B89" s="8"/>
      <c r="C89" s="9"/>
      <c r="D89" s="9"/>
      <c r="E89" s="9"/>
      <c r="F89" s="9"/>
      <c r="G89" s="9"/>
      <c r="H89" s="9"/>
      <c r="I89" s="9"/>
      <c r="J89" s="9"/>
      <c r="K89" s="9"/>
      <c r="L89" s="10" t="s">
        <v>413</v>
      </c>
      <c r="M89" s="10"/>
      <c r="N89" s="10"/>
      <c r="O89" s="10"/>
      <c r="P89" s="9">
        <f>SUM(Q89:X89)</f>
        <v>74</v>
      </c>
      <c r="Q89" s="11">
        <f t="shared" ref="Q89:X89" si="40">IFERROR(Q88/70,0)</f>
        <v>0</v>
      </c>
      <c r="R89" s="11">
        <f t="shared" si="40"/>
        <v>0</v>
      </c>
      <c r="S89" s="11">
        <f t="shared" si="40"/>
        <v>20</v>
      </c>
      <c r="T89" s="11">
        <f t="shared" si="40"/>
        <v>27</v>
      </c>
      <c r="U89" s="11">
        <f t="shared" si="40"/>
        <v>27</v>
      </c>
      <c r="V89" s="11">
        <f t="shared" si="40"/>
        <v>0</v>
      </c>
      <c r="W89" s="11">
        <f t="shared" si="40"/>
        <v>0</v>
      </c>
      <c r="X89" s="11">
        <f t="shared" si="40"/>
        <v>0</v>
      </c>
      <c r="Y89" s="11"/>
      <c r="Z89" s="156" t="s">
        <v>557</v>
      </c>
      <c r="AA89" s="11"/>
    </row>
    <row r="90" spans="1:27" x14ac:dyDescent="0.3">
      <c r="A90" s="8"/>
      <c r="B90" s="8"/>
      <c r="C90" s="9"/>
      <c r="D90" s="9"/>
      <c r="E90" s="9"/>
      <c r="F90" s="9"/>
      <c r="G90" s="9"/>
      <c r="H90" s="9"/>
      <c r="I90" s="9"/>
      <c r="J90" s="9"/>
      <c r="K90" s="9"/>
      <c r="L90" s="10" t="s">
        <v>414</v>
      </c>
      <c r="M90" s="10"/>
      <c r="N90" s="10"/>
      <c r="O90" s="10"/>
      <c r="P90" s="9">
        <f>SUM(Q90:X90)</f>
        <v>41</v>
      </c>
      <c r="Q90" s="11">
        <f t="shared" ref="Q90:X90" si="41">IFERROR(Q89-(Q91+Q93),0)</f>
        <v>0</v>
      </c>
      <c r="R90" s="11">
        <f t="shared" si="41"/>
        <v>0</v>
      </c>
      <c r="S90" s="11">
        <f t="shared" si="41"/>
        <v>10</v>
      </c>
      <c r="T90" s="11">
        <f t="shared" si="41"/>
        <v>5</v>
      </c>
      <c r="U90" s="11">
        <f t="shared" si="41"/>
        <v>26</v>
      </c>
      <c r="V90" s="11">
        <f t="shared" si="41"/>
        <v>0</v>
      </c>
      <c r="W90" s="11">
        <f t="shared" si="41"/>
        <v>0</v>
      </c>
      <c r="X90" s="11">
        <f t="shared" si="41"/>
        <v>0</v>
      </c>
      <c r="Y90" s="11"/>
      <c r="Z90" s="156"/>
      <c r="AA90" s="11"/>
    </row>
    <row r="91" spans="1:27" x14ac:dyDescent="0.3">
      <c r="A91" s="8"/>
      <c r="B91" s="8"/>
      <c r="C91" s="9"/>
      <c r="D91" s="9"/>
      <c r="E91" s="9"/>
      <c r="F91" s="9"/>
      <c r="G91" s="9"/>
      <c r="H91" s="9"/>
      <c r="I91" s="9"/>
      <c r="J91" s="9"/>
      <c r="K91" s="9"/>
      <c r="L91" s="10" t="s">
        <v>415</v>
      </c>
      <c r="M91" s="10"/>
      <c r="N91" s="10"/>
      <c r="O91" s="10"/>
      <c r="P91" s="164">
        <f>SUM(Q91:X91)</f>
        <v>33</v>
      </c>
      <c r="Q91" s="57">
        <f>IF(NOT(ISBLANK(Q88)),COUNTIFS(Data!$C:$C,$C88,Data!$P:$P,"VAL",Data!$E:$E,$E88,Data!$F:$F,$F88,Data!$I:$I,IF(ISBLANK($I88),"",$I88),Data!$J:$J,$J88,Data!$K:$K,$K88,Data!$R:$R,"",Data!$L:$L,IF(ISBLANK($P88),"",$P88),Data!$G:$G,"ZF",Data!$H:$H,"A15C",Data!$M:$M,36),0)-Q93</f>
        <v>0</v>
      </c>
      <c r="R91" s="57">
        <f>IF(NOT(ISBLANK(R88)),COUNTIFS(Data!$C:$C,$C88,Data!$P:$P,"VAL",Data!$E:$E,$E88,Data!$F:$F,$F88,Data!$I:$I,IF(ISBLANK($I88),"",$I88),Data!$J:$J,$J88,Data!$K:$K,$K88,Data!$R:$R,"",Data!$L:$L,IF(ISBLANK($P88),"",$P88),Data!$G:$G,"ZF",Data!$H:$H,"A15C",Data!$M:$M,40),0)-R93</f>
        <v>0</v>
      </c>
      <c r="S91" s="57">
        <f>IF(NOT(ISBLANK(S88)),COUNTIFS(Data!$C:$C,$C88,Data!$P:$P,"VAL",Data!$E:$E,$E88,Data!$F:$F,$F88,Data!$I:$I,IF(ISBLANK($I88),"",$I88),Data!$J:$J,$J88,Data!$K:$K,$K88,Data!$R:$R,"",Data!$L:$L,IF(ISBLANK($P88),"",$P88),Data!$G:$G,"ZF",Data!$H:$H,"A15C",Data!$M:$M,48),0)-S93</f>
        <v>10</v>
      </c>
      <c r="T91" s="57">
        <f>IF(NOT(ISBLANK(T88)),COUNTIFS(Data!$C:$C,$C88,Data!$P:$P,"VAL",Data!$E:$E,$E88,Data!$F:$F,$F88,Data!$I:$I,IF(ISBLANK($I88),"",$I88),Data!$J:$J,$J88,Data!$K:$K,$K88,Data!$R:$R,"",Data!$L:$L,IF(ISBLANK($P88),"",$P88),Data!$G:$G,"ZF",Data!$H:$H,"A15C",Data!$M:$M,56),0)-T93</f>
        <v>22</v>
      </c>
      <c r="U91" s="57">
        <f>IF(NOT(ISBLANK(U88)),COUNTIFS(Data!$C:$C,$C88,Data!$P:$P,"VAL",Data!$E:$E,$E88,Data!$F:$F,$F88,Data!$I:$I,IF(ISBLANK($I88),"",$I88),Data!$J:$J,$J88,Data!$K:$K,$K88,Data!$R:$R,"",Data!$L:$L,IF(ISBLANK($P88),"",$P88),Data!$G:$G,"ZF",Data!$H:$H,"A15C",Data!$M:$M,64),0)-U93</f>
        <v>1</v>
      </c>
      <c r="V91" s="57">
        <f>IF(NOT(ISBLANK(V88)),COUNTIFS(Data!$C:$C,$C88,Data!$P:$P,"VAL",Data!$E:$E,$E88,Data!$F:$F,$F88,Data!$I:$I,IF(ISBLANK($I88),"",$I88),Data!$J:$J,$J88,Data!$K:$K,$K88,Data!$R:$R,"",Data!$L:$L,IF(ISBLANK($P88),"",$P88),Data!$G:$G,"ZF",Data!$H:$H,"A15C",Data!$M:$M,72),0)-V93</f>
        <v>0</v>
      </c>
      <c r="W91" s="57">
        <f>IF(NOT(ISBLANK(W88)),COUNTIFS(Data!$C:$C,$C88,Data!$P:$P,"VAL",Data!$E:$E,$E88,Data!$F:$F,$F88,Data!$I:$I,IF(ISBLANK($I88),"",$I88),Data!$J:$J,$J88,Data!$K:$K,$K88,Data!$R:$R,"",Data!$L:$L,IF(ISBLANK($P88),"",$P88),Data!$G:$G,"ZF",Data!$H:$H,"A15C",Data!$M:$M,88),0)-W93</f>
        <v>0</v>
      </c>
      <c r="X91" s="57">
        <f>IF(NOT(ISBLANK(X88)),COUNTIFS(Data!$C:$C,$C88,Data!$P:$P,"VAL",Data!$E:$E,$E88,Data!$F:$F,$F88,Data!$I:$I,IF(ISBLANK($I88),"",$I88),Data!$J:$J,$J88,Data!$K:$K,$K88,Data!$R:$R,"",Data!$L:$L,IF(ISBLANK($P88),"",$P88),Data!$G:$G,"ZF",Data!$H:$H,"A15C",Data!$M:$M,105),0)-X93</f>
        <v>0</v>
      </c>
      <c r="Y91" s="11"/>
      <c r="Z91" s="11"/>
      <c r="AA91" s="11"/>
    </row>
    <row r="92" spans="1:27" x14ac:dyDescent="0.3">
      <c r="A92" s="8"/>
      <c r="B92" s="8"/>
      <c r="C92" s="9"/>
      <c r="D92" s="9"/>
      <c r="E92" s="9"/>
      <c r="F92" s="9"/>
      <c r="G92" s="9"/>
      <c r="H92" s="9"/>
      <c r="I92" s="9"/>
      <c r="J92" s="9"/>
      <c r="K92" s="9"/>
      <c r="L92" s="10" t="s">
        <v>416</v>
      </c>
      <c r="M92" s="10"/>
      <c r="N92" s="10"/>
      <c r="O92" s="10"/>
      <c r="P92" s="9">
        <f>IF(COUNTIF(Z88:Z93,"*AS ORDERED*")&gt;0,SUM(Q92:X92),IF(P90&gt;0,0,(-1)*P90))</f>
        <v>0</v>
      </c>
      <c r="Q92" s="11">
        <f t="shared" ref="Q92:X92" si="42">IF(($P91+$P93)&gt;$P89,IF((Q91+Q93)-Q89&gt;0,(Q91+Q93)-Q89,0),0)</f>
        <v>0</v>
      </c>
      <c r="R92" s="11">
        <f t="shared" si="42"/>
        <v>0</v>
      </c>
      <c r="S92" s="11">
        <f t="shared" si="42"/>
        <v>0</v>
      </c>
      <c r="T92" s="11">
        <f t="shared" si="42"/>
        <v>0</v>
      </c>
      <c r="U92" s="11">
        <f t="shared" si="42"/>
        <v>0</v>
      </c>
      <c r="V92" s="11">
        <f t="shared" si="42"/>
        <v>0</v>
      </c>
      <c r="W92" s="11">
        <f t="shared" si="42"/>
        <v>0</v>
      </c>
      <c r="X92" s="11">
        <f t="shared" si="42"/>
        <v>0</v>
      </c>
      <c r="Y92" s="11"/>
      <c r="Z92" s="11"/>
      <c r="AA92" s="11"/>
    </row>
    <row r="93" spans="1:27" ht="15" thickBot="1" x14ac:dyDescent="0.35">
      <c r="A93" s="8"/>
      <c r="B93" s="8"/>
      <c r="C93" s="9"/>
      <c r="D93" s="9"/>
      <c r="E93" s="9"/>
      <c r="F93" s="9"/>
      <c r="G93" s="9"/>
      <c r="H93" s="9"/>
      <c r="I93" s="9"/>
      <c r="J93" s="9"/>
      <c r="K93" s="9"/>
      <c r="L93" s="10" t="s">
        <v>417</v>
      </c>
      <c r="M93" s="10"/>
      <c r="N93" s="10"/>
      <c r="O93" s="10"/>
      <c r="P93" s="164">
        <f>SUM(Q93:X93)</f>
        <v>0</v>
      </c>
      <c r="Q93" s="57">
        <f>IF(NOT(ISBLANK(Q88)),COUNTIFS(Data!$C:$C,$C88,Data!$P:$P,"VAL",Data!$E:$E,$E88,Data!$F:$F,$F88,Data!$I:$I,IF(ISBLANK($I88),"",$I88),Data!$J:$J,$J88,Data!$K:$K,$K88,Data!$R:$R,"",Data!$L:$L,IF(ISBLANK($P88),"",$P88),Data!$G:$G,"ZF",Data!$H:$H,"A15C",Data!$M:$M,36, Data!$Q:$Q,1),0)</f>
        <v>0</v>
      </c>
      <c r="R93" s="57">
        <f>IF(NOT(ISBLANK(R88)),COUNTIFS(Data!$C:$C,$C88,Data!$P:$P,"VAL",Data!$E:$E,$E88,Data!$F:$F,$F88,Data!$I:$I,IF(ISBLANK($I88),"",$I88),Data!$J:$J,$J88,Data!$K:$K,$K88,Data!$R:$R,"",Data!$L:$L,IF(ISBLANK($P88),"",$P88),Data!$G:$G,"ZF",Data!$H:$H,"A15C",Data!$M:$M,40, Data!$Q:$Q,1),0)</f>
        <v>0</v>
      </c>
      <c r="S93" s="57">
        <f>IF(NOT(ISBLANK(S88)),COUNTIFS(Data!$C:$C,$C88,Data!$P:$P,"VAL",Data!$E:$E,$E88,Data!$F:$F,$F88,Data!$I:$I,IF(ISBLANK($I88),"",$I88),Data!$J:$J,$J88,Data!$K:$K,$K88,Data!$R:$R,"",Data!$L:$L,IF(ISBLANK($P88),"",$P88),Data!$G:$G,"ZF",Data!$H:$H,"A15C",Data!$M:$M,48, Data!$Q:$Q,1),0)</f>
        <v>0</v>
      </c>
      <c r="T93" s="57">
        <f>IF(NOT(ISBLANK(T88)),COUNTIFS(Data!$C:$C,$C88,Data!$P:$P,"VAL",Data!$E:$E,$E88,Data!$F:$F,$F88,Data!$I:$I,IF(ISBLANK($I88),"",$I88),Data!$J:$J,$J88,Data!$K:$K,$K88,Data!$R:$R,"",Data!$L:$L,IF(ISBLANK($P88),"",$P88),Data!$G:$G,"ZF",Data!$H:$H,"A15C",Data!$M:$M,56, Data!$Q:$Q,1),0)</f>
        <v>0</v>
      </c>
      <c r="U93" s="57">
        <f>IF(NOT(ISBLANK(U88)),COUNTIFS(Data!$C:$C,$C88,Data!$P:$P,"VAL",Data!$E:$E,$E88,Data!$F:$F,$F88,Data!$I:$I,IF(ISBLANK($I88),"",$I88),Data!$J:$J,$J88,Data!$K:$K,$K88,Data!$R:$R,"",Data!$L:$L,IF(ISBLANK($P88),"",$P88),Data!$G:$G,"ZF",Data!$H:$H,"A15C",Data!$M:$M,64, Data!$Q:$Q,1),0)</f>
        <v>0</v>
      </c>
      <c r="V93" s="57">
        <f>IF(NOT(ISBLANK(V88)),COUNTIFS(Data!$C:$C,$C88,Data!$P:$P,"VAL",Data!$E:$E,$E88,Data!$F:$F,$F88,Data!$I:$I,IF(ISBLANK($I88),"",$I88),Data!$J:$J,$J88,Data!$K:$K,$K88,Data!$R:$R,"",Data!$L:$L,IF(ISBLANK($P88),"",$P88),Data!$G:$G,"ZF",Data!$H:$H,"A15C",Data!$M:$M,72, Data!$Q:$Q,1),0)</f>
        <v>0</v>
      </c>
      <c r="W93" s="57">
        <f>IF(NOT(ISBLANK(W88)),COUNTIFS(Data!$C:$C,$C88,Data!$P:$P,"VAL",Data!$E:$E,$E88,Data!$F:$F,$F88,Data!$I:$I,IF(ISBLANK($I88),"",$I88),Data!$J:$J,$J88,Data!$K:$K,$K88,Data!$R:$R,"",Data!$L:$L,IF(ISBLANK($P88),"",$P88),Data!$G:$G,"ZF",Data!$H:$H,"A15C",Data!$M:$M,88, Data!$Q:$Q,1),0)</f>
        <v>0</v>
      </c>
      <c r="X93" s="57">
        <f>IF(NOT(ISBLANK(X88)),COUNTIFS(Data!$C:$C,$C88,Data!$P:$P,"VAL",Data!$E:$E,$E88,Data!$F:$F,$F88,Data!$I:$I,IF(ISBLANK($I88),"",$I88),Data!$J:$J,$J88,Data!$K:$K,$K88,Data!$R:$R,"",Data!$L:$L,IF(ISBLANK($P88),"",$P88),Data!$G:$G,"ZF",Data!$H:$H,"A15C",Data!$M:$M,105, Data!$Q:$Q,1),0)</f>
        <v>0</v>
      </c>
      <c r="Y93" s="11"/>
      <c r="Z93" s="11"/>
      <c r="AA93" s="11">
        <v>70</v>
      </c>
    </row>
    <row r="94" spans="1:27" ht="15.6" x14ac:dyDescent="0.3">
      <c r="A94" s="66"/>
      <c r="B94" s="66"/>
      <c r="C94" s="107" t="s">
        <v>396</v>
      </c>
      <c r="D94" s="62" t="s">
        <v>508</v>
      </c>
      <c r="E94" s="62" t="s">
        <v>397</v>
      </c>
      <c r="F94" s="62">
        <v>1</v>
      </c>
      <c r="G94" s="62" t="s">
        <v>558</v>
      </c>
      <c r="H94" s="108" t="s">
        <v>419</v>
      </c>
      <c r="I94" s="108" t="s">
        <v>430</v>
      </c>
      <c r="J94" s="62" t="s">
        <v>398</v>
      </c>
      <c r="K94" s="62" t="s">
        <v>397</v>
      </c>
      <c r="L94" s="62" t="s">
        <v>392</v>
      </c>
      <c r="M94" s="62" t="s">
        <v>399</v>
      </c>
      <c r="N94" s="62"/>
      <c r="O94" s="62">
        <f>+Y94/55</f>
        <v>30</v>
      </c>
      <c r="P94" s="62" t="s">
        <v>536</v>
      </c>
      <c r="Q94" s="63">
        <f>5*55</f>
        <v>275</v>
      </c>
      <c r="R94" s="63">
        <f>10*55</f>
        <v>550</v>
      </c>
      <c r="S94" s="63">
        <f>15*55</f>
        <v>825</v>
      </c>
      <c r="T94" s="63"/>
      <c r="U94" s="63"/>
      <c r="V94" s="63"/>
      <c r="W94" s="63"/>
      <c r="X94" s="63"/>
      <c r="Y94" s="63">
        <f>SUM(Q94:X94)</f>
        <v>1650</v>
      </c>
      <c r="Z94" s="65" t="s">
        <v>490</v>
      </c>
      <c r="AA94" s="62" t="s">
        <v>406</v>
      </c>
    </row>
    <row r="95" spans="1:27" x14ac:dyDescent="0.3">
      <c r="A95" s="8"/>
      <c r="B95" s="8"/>
      <c r="C95" s="9"/>
      <c r="D95" s="9"/>
      <c r="E95" s="9"/>
      <c r="F95" s="9"/>
      <c r="G95" s="9"/>
      <c r="H95" s="9"/>
      <c r="I95" s="9"/>
      <c r="J95" s="9"/>
      <c r="K95" s="9"/>
      <c r="L95" s="10" t="s">
        <v>413</v>
      </c>
      <c r="M95" s="10"/>
      <c r="N95" s="10"/>
      <c r="O95" s="10"/>
      <c r="P95" s="9">
        <f>SUM(Q95:X95)</f>
        <v>30</v>
      </c>
      <c r="Q95" s="11">
        <f t="shared" ref="Q95:X95" si="43">IFERROR(Q94/55,0)</f>
        <v>5</v>
      </c>
      <c r="R95" s="11">
        <f t="shared" si="43"/>
        <v>10</v>
      </c>
      <c r="S95" s="11">
        <f t="shared" si="43"/>
        <v>15</v>
      </c>
      <c r="T95" s="11">
        <f t="shared" si="43"/>
        <v>0</v>
      </c>
      <c r="U95" s="11">
        <f t="shared" si="43"/>
        <v>0</v>
      </c>
      <c r="V95" s="11">
        <f t="shared" si="43"/>
        <v>0</v>
      </c>
      <c r="W95" s="11">
        <f t="shared" si="43"/>
        <v>0</v>
      </c>
      <c r="X95" s="11">
        <f t="shared" si="43"/>
        <v>0</v>
      </c>
      <c r="Y95" s="11"/>
      <c r="Z95" s="156" t="s">
        <v>525</v>
      </c>
      <c r="AA95" s="11"/>
    </row>
    <row r="96" spans="1:27" x14ac:dyDescent="0.3">
      <c r="A96" s="8"/>
      <c r="B96" s="8"/>
      <c r="C96" s="9"/>
      <c r="D96" s="9"/>
      <c r="E96" s="9"/>
      <c r="F96" s="9"/>
      <c r="G96" s="9"/>
      <c r="H96" s="9"/>
      <c r="I96" s="9"/>
      <c r="J96" s="9"/>
      <c r="K96" s="9"/>
      <c r="L96" s="10" t="s">
        <v>414</v>
      </c>
      <c r="M96" s="10"/>
      <c r="N96" s="10"/>
      <c r="O96" s="10"/>
      <c r="P96" s="9">
        <f>SUM(Q96:X96)</f>
        <v>27</v>
      </c>
      <c r="Q96" s="11">
        <f t="shared" ref="Q96:X96" si="44">IFERROR(Q95-(Q97+Q99),0)</f>
        <v>4</v>
      </c>
      <c r="R96" s="11">
        <f t="shared" si="44"/>
        <v>8</v>
      </c>
      <c r="S96" s="11">
        <f t="shared" si="44"/>
        <v>15</v>
      </c>
      <c r="T96" s="11">
        <f t="shared" si="44"/>
        <v>0</v>
      </c>
      <c r="U96" s="11">
        <f t="shared" si="44"/>
        <v>0</v>
      </c>
      <c r="V96" s="11">
        <f t="shared" si="44"/>
        <v>0</v>
      </c>
      <c r="W96" s="11">
        <f t="shared" si="44"/>
        <v>0</v>
      </c>
      <c r="X96" s="11">
        <f t="shared" si="44"/>
        <v>0</v>
      </c>
      <c r="Y96" s="11"/>
      <c r="Z96" s="156" t="s">
        <v>520</v>
      </c>
      <c r="AA96" s="11"/>
    </row>
    <row r="97" spans="1:27" x14ac:dyDescent="0.3">
      <c r="A97" s="8"/>
      <c r="B97" s="8"/>
      <c r="C97" s="9"/>
      <c r="D97" s="9"/>
      <c r="E97" s="9"/>
      <c r="F97" s="9"/>
      <c r="G97" s="9"/>
      <c r="H97" s="9"/>
      <c r="I97" s="9"/>
      <c r="J97" s="9"/>
      <c r="K97" s="9"/>
      <c r="L97" s="10" t="s">
        <v>415</v>
      </c>
      <c r="M97" s="10"/>
      <c r="N97" s="10"/>
      <c r="O97" s="10"/>
      <c r="P97" s="164">
        <f>SUM(Q97:X97)</f>
        <v>3</v>
      </c>
      <c r="Q97" s="57">
        <f>IF(NOT(ISBLANK(Q94)),COUNTIFS(Data!$C:$C,$C94,Data!$P:$P,"VAL",Data!$E:$E,$E94,Data!$F:$F,$F94,Data!$I:$I,IF(ISBLANK($I94),"",$I94),Data!$J:$J,$J94,Data!$K:$K,$K94,Data!$R:$R,"",Data!$L:$L,IF(ISBLANK($P94),"",$P94),Data!$G:$G,"ZF",Data!$H:$H,"E15D",Data!$M:$M,45)+COUNTIFS(Data!$C:$C,$C94,Data!$P:$P,"VAL",Data!$E:$E,$E94,Data!$F:$F,$F94,Data!$I:$I,IF(ISBLANK($I94),"",$I94),Data!$J:$J,$J94,Data!$K:$K,$K94,Data!$R:$R,"",Data!$L:$L,IF(ISBLANK($P94),"",$P94),Data!$G:$G,"MAHEL",Data!$H:$H,"E15D",Data!$M:$M,45)+COUNTIFS(Data!$C:$C,$C94,Data!$P:$P,"VAL",Data!$E:$E,$E94,Data!$F:$F,$F94,Data!$I:$I,IF(ISBLANK($I94),"",$I94),Data!$J:$J,$J94,Data!$K:$K,$K94,Data!$R:$R,"",Data!$L:$L,IF(ISBLANK($P94),"",$P94),Data!$G:$G,"MALA",Data!$H:$H,"E15D",Data!$M:$M,45)+COUNTIFS(Data!$C:$C,$C94,Data!$P:$P,"VAL",Data!$E:$E,$E94,Data!$F:$F,$F94,Data!$I:$I,IF(ISBLANK($I94),"",$I94),Data!$J:$J,$J94,Data!$K:$K,$K94,Data!$R:$R,"",Data!$L:$L,IF(ISBLANK($P94),"",$P94),Data!$G:$G,"MAKUL",Data!$H:$H,"E15D",Data!$M:$M,45),0)-Q99</f>
        <v>1</v>
      </c>
      <c r="R97" s="57">
        <f>IF(NOT(ISBLANK(R94)),COUNTIFS(Data!$C:$C,$C94,Data!$P:$P,"VAL",Data!$E:$E,$E94,Data!$F:$F,$F94,Data!$I:$I,IF(ISBLANK($I94),"",$I94),Data!$J:$J,$J94,Data!$K:$K,$K94,Data!$R:$R,"",Data!$L:$L,IF(ISBLANK($P94),"",$P94),Data!$G:$G,"ZF",Data!$H:$H,"E15D",Data!$M:$M,50)+COUNTIFS(Data!$C:$C,$C94,Data!$P:$P,"VAL",Data!$E:$E,$E94,Data!$F:$F,$F94,Data!$I:$I,IF(ISBLANK($I94),"",$I94),Data!$J:$J,$J94,Data!$K:$K,$K94,Data!$R:$R,"",Data!$L:$L,IF(ISBLANK($P94),"",$P94),Data!$G:$G,"MAHEL",Data!$H:$H,"E15D",Data!$M:$M,50)+COUNTIFS(Data!$C:$C,$C94,Data!$P:$P,"VAL",Data!$E:$E,$E94,Data!$F:$F,$F94,Data!$I:$I,IF(ISBLANK($I94),"",$I94),Data!$J:$J,$J94,Data!$K:$K,$K94,Data!$R:$R,"",Data!$L:$L,IF(ISBLANK($P94),"",$P94),Data!$G:$G,"MALA",Data!$H:$H,"E15D",Data!$M:$M,50)+COUNTIFS(Data!$C:$C,$C94,Data!$P:$P,"VAL",Data!$E:$E,$E94,Data!$F:$F,$F94,Data!$I:$I,IF(ISBLANK($I94),"",$I94),Data!$J:$J,$J94,Data!$K:$K,$K94,Data!$R:$R,"",Data!$L:$L,IF(ISBLANK($P94),"",$P94),Data!$G:$G,"MAKUL",Data!$H:$H,"E15D",Data!$M:$M,50),0)-R99</f>
        <v>2</v>
      </c>
      <c r="S97" s="57">
        <f>IF(NOT(ISBLANK(S94)),COUNTIFS(Data!$C:$C,$C94,Data!$P:$P,"VAL",Data!$E:$E,$E94,Data!$F:$F,$F94,Data!$I:$I,IF(ISBLANK($I94),"",$I94),Data!$J:$J,$J94,Data!$K:$K,$K94,Data!$R:$R,"",Data!$L:$L,IF(ISBLANK($P94),"",$P94),Data!$G:$G,"ZF",Data!$H:$H,"E15D",Data!$M:$M,55)+COUNTIFS(Data!$C:$C,$C94,Data!$P:$P,"VAL",Data!$E:$E,$E94,Data!$F:$F,$F94,Data!$I:$I,IF(ISBLANK($I94),"",$I94),Data!$J:$J,$J94,Data!$K:$K,$K94,Data!$R:$R,"",Data!$L:$L,IF(ISBLANK($P94),"",$P94),Data!$G:$G,"MAHEL",Data!$H:$H,"E15D",Data!$M:$M,55)+COUNTIFS(Data!$C:$C,$C94,Data!$P:$P,"VAL",Data!$E:$E,$E94,Data!$F:$F,$F94,Data!$I:$I,IF(ISBLANK($I94),"",$I94),Data!$J:$J,$J94,Data!$K:$K,$K94,Data!$R:$R,"",Data!$L:$L,IF(ISBLANK($P94),"",$P94),Data!$G:$G,"MALA",Data!$H:$H,"E15D",Data!$M:$M,55)+COUNTIFS(Data!$C:$C,$C94,Data!$P:$P,"VAL",Data!$E:$E,$E94,Data!$F:$F,$F94,Data!$I:$I,IF(ISBLANK($I94),"",$I94),Data!$J:$J,$J94,Data!$K:$K,$K94,Data!$R:$R,"",Data!$L:$L,IF(ISBLANK($P94),"",$P94),Data!$G:$G,"MAKUL",Data!$H:$H,"E15D",Data!$M:$M,55),0)-S99</f>
        <v>0</v>
      </c>
      <c r="T97" s="57">
        <f>IF(NOT(ISBLANK(T94)),COUNTIFS(Data!$C:$C,$C94,Data!$P:$P,"VAL",Data!$E:$E,$E94,Data!$F:$F,$F94,Data!$I:$I,IF(ISBLANK($I94),"",$I94),Data!$J:$J,$J94,Data!$K:$K,$K94,Data!$R:$R,"",Data!$L:$L,IF(ISBLANK($P94),"",$P94),Data!$G:$G,"ZF",Data!$H:$H,"E15D",Data!$M:$M,60)+COUNTIFS(Data!$C:$C,$C94,Data!$P:$P,"VAL",Data!$E:$E,$E94,Data!$F:$F,$F94,Data!$I:$I,IF(ISBLANK($I94),"",$I94),Data!$J:$J,$J94,Data!$K:$K,$K94,Data!$R:$R,"",Data!$L:$L,IF(ISBLANK($P94),"",$P94),Data!$G:$G,"MAHEL",Data!$H:$H,"E15D",Data!$M:$M,60)+COUNTIFS(Data!$C:$C,$C94,Data!$P:$P,"VAL",Data!$E:$E,$E94,Data!$F:$F,$F94,Data!$I:$I,IF(ISBLANK($I94),"",$I94),Data!$J:$J,$J94,Data!$K:$K,$K94,Data!$R:$R,"",Data!$L:$L,IF(ISBLANK($P94),"",$P94),Data!$G:$G,"MALA",Data!$H:$H,"E15D",Data!$M:$M,60)+COUNTIFS(Data!$C:$C,$C94,Data!$P:$P,"VAL",Data!$E:$E,$E94,Data!$F:$F,$F94,Data!$I:$I,IF(ISBLANK($I94),"",$I94),Data!$J:$J,$J94,Data!$K:$K,$K94,Data!$R:$R,"",Data!$L:$L,IF(ISBLANK($P94),"",$P94),Data!$G:$G,"MAKUL",Data!$H:$H,"E15D",Data!$M:$M,60),0)-T99</f>
        <v>0</v>
      </c>
      <c r="U97" s="57">
        <f>IF(NOT(ISBLANK(U94)),COUNTIFS(Data!$C:$C,$C94,Data!$P:$P,"VAL",Data!$E:$E,$E94,Data!$F:$F,$F94,Data!$I:$I,IF(ISBLANK($I94),"",$I94),Data!$J:$J,$J94,Data!$K:$K,$K94,Data!$R:$R,"",Data!$L:$L,IF(ISBLANK($P94),"",$P94),Data!$G:$G,"ZF",Data!$H:$H,"E15D",Data!$M:$M,65)+COUNTIFS(Data!$C:$C,$C94,Data!$P:$P,"VAL",Data!$E:$E,$E94,Data!$F:$F,$F94,Data!$I:$I,IF(ISBLANK($I94),"",$I94),Data!$J:$J,$J94,Data!$K:$K,$K94,Data!$R:$R,"",Data!$L:$L,IF(ISBLANK($P94),"",$P94),Data!$G:$G,"MAHEL",Data!$H:$H,"E15D",Data!$M:$M,65)+COUNTIFS(Data!$C:$C,$C94,Data!$P:$P,"VAL",Data!$E:$E,$E94,Data!$F:$F,$F94,Data!$I:$I,IF(ISBLANK($I94),"",$I94),Data!$J:$J,$J94,Data!$K:$K,$K94,Data!$R:$R,"",Data!$L:$L,IF(ISBLANK($P94),"",$P94),Data!$G:$G,"MALA",Data!$H:$H,"E15D",Data!$M:$M,65)+COUNTIFS(Data!$C:$C,$C94,Data!$P:$P,"VAL",Data!$E:$E,$E94,Data!$F:$F,$F94,Data!$I:$I,IF(ISBLANK($I94),"",$I94),Data!$J:$J,$J94,Data!$K:$K,$K94,Data!$R:$R,"",Data!$L:$L,IF(ISBLANK($P94),"",$P94),Data!$G:$G,"MAKUL",Data!$H:$H,"E15D",Data!$M:$M,65),0)-U99</f>
        <v>0</v>
      </c>
      <c r="V97" s="57">
        <f>IF(NOT(ISBLANK(V94)),COUNTIFS(Data!$C:$C,$C94,Data!$P:$P,"VAL",Data!$E:$E,$E94,Data!$F:$F,$F94,Data!$I:$I,IF(ISBLANK($I94),"",$I94),Data!$J:$J,$J94,Data!$K:$K,$K94,Data!$R:$R,"",Data!$L:$L,IF(ISBLANK($P94),"",$P94),Data!$G:$G,"ZF",Data!$H:$H,"E15D",Data!$M:$M,72)+COUNTIFS(Data!$C:$C,$C94,Data!$P:$P,"VAL",Data!$E:$E,$E94,Data!$F:$F,$F94,Data!$I:$I,IF(ISBLANK($I94),"",$I94),Data!$J:$J,$J94,Data!$K:$K,$K94,Data!$R:$R,"",Data!$L:$L,IF(ISBLANK($P94),"",$P94),Data!$G:$G,"MAHEL",Data!$H:$H,"E15D",Data!$M:$M,72)+COUNTIFS(Data!$C:$C,$C94,Data!$P:$P,"VAL",Data!$E:$E,$E94,Data!$F:$F,$F94,Data!$I:$I,IF(ISBLANK($I94),"",$I94),Data!$J:$J,$J94,Data!$K:$K,$K94,Data!$R:$R,"",Data!$L:$L,IF(ISBLANK($P94),"",$P94),Data!$G:$G,"MALA",Data!$H:$H,"E15D",Data!$M:$M,72)+COUNTIFS(Data!$C:$C,$C94,Data!$P:$P,"VAL",Data!$E:$E,$E94,Data!$F:$F,$F94,Data!$I:$I,IF(ISBLANK($I94),"",$I94),Data!$J:$J,$J94,Data!$K:$K,$K94,Data!$R:$R,"",Data!$L:$L,IF(ISBLANK($P94),"",$P94),Data!$G:$G,"MAKUL",Data!$H:$H,"E15D",Data!$M:$M,72),0)-V99</f>
        <v>0</v>
      </c>
      <c r="W97" s="57">
        <f>IF(NOT(ISBLANK(W94)),COUNTIFS(Data!$C:$C,$C94,Data!$P:$P,"VAL",Data!$E:$E,$E94,Data!$F:$F,$F94,Data!$I:$I,IF(ISBLANK($I94),"",$I94),Data!$J:$J,$J94,Data!$K:$K,$K94,Data!$R:$R,"",Data!$L:$L,IF(ISBLANK($P94),"",$P94),Data!$G:$G,"ZF",Data!$H:$H,"E15D",Data!$M:$M,90)+COUNTIFS(Data!$C:$C,$C94,Data!$P:$P,"VAL",Data!$E:$E,$E94,Data!$F:$F,$F94,Data!$I:$I,IF(ISBLANK($I94),"",$I94),Data!$J:$J,$J94,Data!$K:$K,$K94,Data!$R:$R,"",Data!$L:$L,IF(ISBLANK($P94),"",$P94),Data!$G:$G,"MAHEL",Data!$H:$H,"E15D",Data!$M:$M,90)+COUNTIFS(Data!$C:$C,$C94,Data!$P:$P,"VAL",Data!$E:$E,$E94,Data!$F:$F,$F94,Data!$I:$I,IF(ISBLANK($I94),"",$I94),Data!$J:$J,$J94,Data!$K:$K,$K94,Data!$R:$R,"",Data!$L:$L,IF(ISBLANK($P94),"",$P94),Data!$G:$G,"MALA",Data!$H:$H,"E15D",Data!$M:$M,90)+COUNTIFS(Data!$C:$C,$C94,Data!$P:$P,"VAL",Data!$E:$E,$E94,Data!$F:$F,$F94,Data!$I:$I,IF(ISBLANK($I94),"",$I94),Data!$J:$J,$J94,Data!$K:$K,$K94,Data!$R:$R,"",Data!$L:$L,IF(ISBLANK($P94),"",$P94),Data!$G:$G,"MAKUL",Data!$H:$H,"E15D",Data!$M:$M,90),0)-W99</f>
        <v>0</v>
      </c>
      <c r="X97" s="57">
        <f>IF(NOT(ISBLANK(X94)),COUNTIFS(Data!$C:$C,$C94,Data!$P:$P,"VAL",Data!$E:$E,$E94,Data!$F:$F,$F94,Data!$I:$I,IF(ISBLANK($I94),"",$I94),Data!$J:$J,$J94,Data!$K:$K,$K94,Data!$R:$R,"",Data!$L:$L,IF(ISBLANK($P94),"",$P94),Data!$G:$G,"ZF",Data!$H:$H,"E15D",Data!$M:$M,96)+COUNTIFS(Data!$C:$C,$C94,Data!$P:$P,"VAL",Data!$E:$E,$E94,Data!$F:$F,$F94,Data!$I:$I,IF(ISBLANK($I94),"",$I94),Data!$J:$J,$J94,Data!$K:$K,$K94,Data!$R:$R,"",Data!$L:$L,IF(ISBLANK($P94),"",$P94),Data!$G:$G,"MAHEL",Data!$H:$H,"E15D",Data!$M:$M,96)+COUNTIFS(Data!$C:$C,$C94,Data!$P:$P,"VAL",Data!$E:$E,$E94,Data!$F:$F,$F94,Data!$I:$I,IF(ISBLANK($I94),"",$I94),Data!$J:$J,$J94,Data!$K:$K,$K94,Data!$R:$R,"",Data!$L:$L,IF(ISBLANK($P94),"",$P94),Data!$G:$G,"MALA",Data!$H:$H,"E15D",Data!$M:$M,96)+COUNTIFS(Data!$C:$C,$C94,Data!$P:$P,"VAL",Data!$E:$E,$E94,Data!$F:$F,$F94,Data!$I:$I,IF(ISBLANK($I94),"",$I94),Data!$J:$J,$J94,Data!$K:$K,$K94,Data!$R:$R,"",Data!$L:$L,IF(ISBLANK($P94),"",$P94),Data!$G:$G,"MAKUL",Data!$H:$H,"E15D",Data!$M:$M,96),0)-X99</f>
        <v>0</v>
      </c>
      <c r="Y97" s="11"/>
      <c r="Z97" s="156"/>
      <c r="AA97" s="11"/>
    </row>
    <row r="98" spans="1:27" x14ac:dyDescent="0.3">
      <c r="A98" s="8"/>
      <c r="B98" s="8"/>
      <c r="C98" s="9"/>
      <c r="D98" s="9"/>
      <c r="E98" s="9"/>
      <c r="F98" s="9"/>
      <c r="G98" s="9"/>
      <c r="H98" s="9"/>
      <c r="I98" s="9"/>
      <c r="J98" s="9"/>
      <c r="K98" s="9"/>
      <c r="L98" s="10" t="s">
        <v>416</v>
      </c>
      <c r="M98" s="10"/>
      <c r="N98" s="10"/>
      <c r="O98" s="10"/>
      <c r="P98" s="9">
        <f>IF(COUNTIF(Z94:Z99,"*AS ORDERED*")&gt;0,SUM(Q98:X98),IF(P96&gt;0,0,(-1)*P96))</f>
        <v>0</v>
      </c>
      <c r="Q98" s="11">
        <f t="shared" ref="Q98:X98" si="45">IF(($P97+$P99)&gt;$P95,IF((Q97+Q99)-Q95&gt;0,(Q97+Q99)-Q95,0),0)</f>
        <v>0</v>
      </c>
      <c r="R98" s="11">
        <f t="shared" si="45"/>
        <v>0</v>
      </c>
      <c r="S98" s="11">
        <f t="shared" si="45"/>
        <v>0</v>
      </c>
      <c r="T98" s="11">
        <f t="shared" si="45"/>
        <v>0</v>
      </c>
      <c r="U98" s="11">
        <f t="shared" si="45"/>
        <v>0</v>
      </c>
      <c r="V98" s="11">
        <f t="shared" si="45"/>
        <v>0</v>
      </c>
      <c r="W98" s="11">
        <f t="shared" si="45"/>
        <v>0</v>
      </c>
      <c r="X98" s="11">
        <f t="shared" si="45"/>
        <v>0</v>
      </c>
      <c r="Y98" s="11"/>
      <c r="Z98" s="156"/>
      <c r="AA98" s="11"/>
    </row>
    <row r="99" spans="1:27" ht="15" thickBot="1" x14ac:dyDescent="0.35">
      <c r="A99" s="8"/>
      <c r="B99" s="8"/>
      <c r="C99" s="9"/>
      <c r="D99" s="9"/>
      <c r="E99" s="9"/>
      <c r="F99" s="9"/>
      <c r="G99" s="9"/>
      <c r="H99" s="9"/>
      <c r="I99" s="9"/>
      <c r="J99" s="9"/>
      <c r="K99" s="9"/>
      <c r="L99" s="10" t="s">
        <v>417</v>
      </c>
      <c r="M99" s="10"/>
      <c r="N99" s="10"/>
      <c r="O99" s="10"/>
      <c r="P99" s="164">
        <f>SUM(Q99:X99)</f>
        <v>0</v>
      </c>
      <c r="Q99" s="57">
        <f>IF(NOT(ISBLANK(Q94)),COUNTIFS(Data!$C:$C,$C94,Data!$P:$P,"VAL",Data!$E:$E,$E94,Data!$F:$F,$F94,Data!$I:$I,IF(ISBLANK($I94),"",$I94),Data!$J:$J,$J94,Data!$K:$K,$K94,Data!$R:$R,"",Data!$L:$L,IF(ISBLANK($P94),"",$P94),Data!$G:$G,"ZF",Data!$H:$H,"E15D",Data!$M:$M,45, Data!$Q:$Q,1)+COUNTIFS(Data!$C:$C,$C94,Data!$P:$P,"VAL",Data!$E:$E,$E94,Data!$F:$F,$F94,Data!$I:$I,IF(ISBLANK($I94),"",$I94),Data!$J:$J,$J94,Data!$K:$K,$K94,Data!$R:$R,"",Data!$L:$L,IF(ISBLANK($P94),"",$P94),Data!$G:$G,"MAHEL",Data!$H:$H,"E15D",Data!$M:$M,45, Data!$Q:$Q,1)+COUNTIFS(Data!$C:$C,$C94,Data!$P:$P,"VAL",Data!$E:$E,$E94,Data!$F:$F,$F94,Data!$I:$I,IF(ISBLANK($I94),"",$I94),Data!$J:$J,$J94,Data!$K:$K,$K94,Data!$R:$R,"",Data!$L:$L,IF(ISBLANK($P94),"",$P94),Data!$G:$G,"MALA",Data!$H:$H,"E15D",Data!$M:$M,45, Data!$Q:$Q,1)+COUNTIFS(Data!$C:$C,$C94,Data!$P:$P,"VAL",Data!$E:$E,$E94,Data!$F:$F,$F94,Data!$I:$I,IF(ISBLANK($I94),"",$I94),Data!$J:$J,$J94,Data!$K:$K,$K94,Data!$R:$R,"",Data!$L:$L,IF(ISBLANK($P94),"",$P94),Data!$G:$G,"MAKUL",Data!$H:$H,"E15D",Data!$M:$M,45, Data!$Q:$Q,1),0)</f>
        <v>0</v>
      </c>
      <c r="R99" s="57">
        <f>IF(NOT(ISBLANK(R94)),COUNTIFS(Data!$C:$C,$C94,Data!$P:$P,"VAL",Data!$E:$E,$E94,Data!$F:$F,$F94,Data!$I:$I,IF(ISBLANK($I94),"",$I94),Data!$J:$J,$J94,Data!$K:$K,$K94,Data!$R:$R,"",Data!$L:$L,IF(ISBLANK($P94),"",$P94),Data!$G:$G,"ZF",Data!$H:$H,"E15D",Data!$M:$M,50, Data!$Q:$Q,1)+COUNTIFS(Data!$C:$C,$C94,Data!$P:$P,"VAL",Data!$E:$E,$E94,Data!$F:$F,$F94,Data!$I:$I,IF(ISBLANK($I94),"",$I94),Data!$J:$J,$J94,Data!$K:$K,$K94,Data!$R:$R,"",Data!$L:$L,IF(ISBLANK($P94),"",$P94),Data!$G:$G,"MAHEL",Data!$H:$H,"E15D",Data!$M:$M,50, Data!$Q:$Q,1)+COUNTIFS(Data!$C:$C,$C94,Data!$P:$P,"VAL",Data!$E:$E,$E94,Data!$F:$F,$F94,Data!$I:$I,IF(ISBLANK($I94),"",$I94),Data!$J:$J,$J94,Data!$K:$K,$K94,Data!$R:$R,"",Data!$L:$L,IF(ISBLANK($P94),"",$P94),Data!$G:$G,"MALA",Data!$H:$H,"E15D",Data!$M:$M,50, Data!$Q:$Q,1)+COUNTIFS(Data!$C:$C,$C94,Data!$P:$P,"VAL",Data!$E:$E,$E94,Data!$F:$F,$F94,Data!$I:$I,IF(ISBLANK($I94),"",$I94),Data!$J:$J,$J94,Data!$K:$K,$K94,Data!$R:$R,"",Data!$L:$L,IF(ISBLANK($P94),"",$P94),Data!$G:$G,"MAKUL",Data!$H:$H,"E15D",Data!$M:$M,50, Data!$Q:$Q,1),0)</f>
        <v>0</v>
      </c>
      <c r="S99" s="57">
        <f>IF(NOT(ISBLANK(S94)),COUNTIFS(Data!$C:$C,$C94,Data!$P:$P,"VAL",Data!$E:$E,$E94,Data!$F:$F,$F94,Data!$I:$I,IF(ISBLANK($I94),"",$I94),Data!$J:$J,$J94,Data!$K:$K,$K94,Data!$R:$R,"",Data!$L:$L,IF(ISBLANK($P94),"",$P94),Data!$G:$G,"ZF",Data!$H:$H,"E15D",Data!$M:$M,55, Data!$Q:$Q,1)+COUNTIFS(Data!$C:$C,$C94,Data!$P:$P,"VAL",Data!$E:$E,$E94,Data!$F:$F,$F94,Data!$I:$I,IF(ISBLANK($I94),"",$I94),Data!$J:$J,$J94,Data!$K:$K,$K94,Data!$R:$R,"",Data!$L:$L,IF(ISBLANK($P94),"",$P94),Data!$G:$G,"MAHEL",Data!$H:$H,"E15D",Data!$M:$M,55, Data!$Q:$Q,1)+COUNTIFS(Data!$C:$C,$C94,Data!$P:$P,"VAL",Data!$E:$E,$E94,Data!$F:$F,$F94,Data!$I:$I,IF(ISBLANK($I94),"",$I94),Data!$J:$J,$J94,Data!$K:$K,$K94,Data!$R:$R,"",Data!$L:$L,IF(ISBLANK($P94),"",$P94),Data!$G:$G,"MALA",Data!$H:$H,"E15D",Data!$M:$M,55, Data!$Q:$Q,1)+COUNTIFS(Data!$C:$C,$C94,Data!$P:$P,"VAL",Data!$E:$E,$E94,Data!$F:$F,$F94,Data!$I:$I,IF(ISBLANK($I94),"",$I94),Data!$J:$J,$J94,Data!$K:$K,$K94,Data!$R:$R,"",Data!$L:$L,IF(ISBLANK($P94),"",$P94),Data!$G:$G,"MAKUL",Data!$H:$H,"E15D",Data!$M:$M,55, Data!$Q:$Q,1),0)</f>
        <v>0</v>
      </c>
      <c r="T99" s="57">
        <f>IF(NOT(ISBLANK(T94)),COUNTIFS(Data!$C:$C,$C94,Data!$P:$P,"VAL",Data!$E:$E,$E94,Data!$F:$F,$F94,Data!$I:$I,IF(ISBLANK($I94),"",$I94),Data!$J:$J,$J94,Data!$K:$K,$K94,Data!$R:$R,"",Data!$L:$L,IF(ISBLANK($P94),"",$P94),Data!$G:$G,"ZF",Data!$H:$H,"E15D",Data!$M:$M,60, Data!$Q:$Q,1)+COUNTIFS(Data!$C:$C,$C94,Data!$P:$P,"VAL",Data!$E:$E,$E94,Data!$F:$F,$F94,Data!$I:$I,IF(ISBLANK($I94),"",$I94),Data!$J:$J,$J94,Data!$K:$K,$K94,Data!$R:$R,"",Data!$L:$L,IF(ISBLANK($P94),"",$P94),Data!$G:$G,"MAHEL",Data!$H:$H,"E15D",Data!$M:$M,60, Data!$Q:$Q,1)+COUNTIFS(Data!$C:$C,$C94,Data!$P:$P,"VAL",Data!$E:$E,$E94,Data!$F:$F,$F94,Data!$I:$I,IF(ISBLANK($I94),"",$I94),Data!$J:$J,$J94,Data!$K:$K,$K94,Data!$R:$R,"",Data!$L:$L,IF(ISBLANK($P94),"",$P94),Data!$G:$G,"MALA",Data!$H:$H,"E15D",Data!$M:$M,60, Data!$Q:$Q,1)+COUNTIFS(Data!$C:$C,$C94,Data!$P:$P,"VAL",Data!$E:$E,$E94,Data!$F:$F,$F94,Data!$I:$I,IF(ISBLANK($I94),"",$I94),Data!$J:$J,$J94,Data!$K:$K,$K94,Data!$R:$R,"",Data!$L:$L,IF(ISBLANK($P94),"",$P94),Data!$G:$G,"MAKUL",Data!$H:$H,"E15D",Data!$M:$M,60, Data!$Q:$Q,1),0)</f>
        <v>0</v>
      </c>
      <c r="U99" s="57">
        <f>IF(NOT(ISBLANK(U94)),COUNTIFS(Data!$C:$C,$C94,Data!$P:$P,"VAL",Data!$E:$E,$E94,Data!$F:$F,$F94,Data!$I:$I,IF(ISBLANK($I94),"",$I94),Data!$J:$J,$J94,Data!$K:$K,$K94,Data!$R:$R,"",Data!$L:$L,IF(ISBLANK($P94),"",$P94),Data!$G:$G,"ZF",Data!$H:$H,"E15D",Data!$M:$M,65, Data!$Q:$Q,1)+COUNTIFS(Data!$C:$C,$C94,Data!$P:$P,"VAL",Data!$E:$E,$E94,Data!$F:$F,$F94,Data!$I:$I,IF(ISBLANK($I94),"",$I94),Data!$J:$J,$J94,Data!$K:$K,$K94,Data!$R:$R,"",Data!$L:$L,IF(ISBLANK($P94),"",$P94),Data!$G:$G,"MAHEL",Data!$H:$H,"E15D",Data!$M:$M,65, Data!$Q:$Q,1)+COUNTIFS(Data!$C:$C,$C94,Data!$P:$P,"VAL",Data!$E:$E,$E94,Data!$F:$F,$F94,Data!$I:$I,IF(ISBLANK($I94),"",$I94),Data!$J:$J,$J94,Data!$K:$K,$K94,Data!$R:$R,"",Data!$L:$L,IF(ISBLANK($P94),"",$P94),Data!$G:$G,"MALA",Data!$H:$H,"E15D",Data!$M:$M,65, Data!$Q:$Q,1)+COUNTIFS(Data!$C:$C,$C94,Data!$P:$P,"VAL",Data!$E:$E,$E94,Data!$F:$F,$F94,Data!$I:$I,IF(ISBLANK($I94),"",$I94),Data!$J:$J,$J94,Data!$K:$K,$K94,Data!$R:$R,"",Data!$L:$L,IF(ISBLANK($P94),"",$P94),Data!$G:$G,"MAKUL",Data!$H:$H,"E15D",Data!$M:$M,65, Data!$Q:$Q,1),0)</f>
        <v>0</v>
      </c>
      <c r="V99" s="57">
        <f>IF(NOT(ISBLANK(V94)),COUNTIFS(Data!$C:$C,$C94,Data!$P:$P,"VAL",Data!$E:$E,$E94,Data!$F:$F,$F94,Data!$I:$I,IF(ISBLANK($I94),"",$I94),Data!$J:$J,$J94,Data!$K:$K,$K94,Data!$R:$R,"",Data!$L:$L,IF(ISBLANK($P94),"",$P94),Data!$G:$G,"ZF",Data!$H:$H,"E15D",Data!$M:$M,72, Data!$Q:$Q,1)+COUNTIFS(Data!$C:$C,$C94,Data!$P:$P,"VAL",Data!$E:$E,$E94,Data!$F:$F,$F94,Data!$I:$I,IF(ISBLANK($I94),"",$I94),Data!$J:$J,$J94,Data!$K:$K,$K94,Data!$R:$R,"",Data!$L:$L,IF(ISBLANK($P94),"",$P94),Data!$G:$G,"MAHEL",Data!$H:$H,"E15D",Data!$M:$M,72, Data!$Q:$Q,1)+COUNTIFS(Data!$C:$C,$C94,Data!$P:$P,"VAL",Data!$E:$E,$E94,Data!$F:$F,$F94,Data!$I:$I,IF(ISBLANK($I94),"",$I94),Data!$J:$J,$J94,Data!$K:$K,$K94,Data!$R:$R,"",Data!$L:$L,IF(ISBLANK($P94),"",$P94),Data!$G:$G,"MALA",Data!$H:$H,"E15D",Data!$M:$M,72, Data!$Q:$Q,1)+COUNTIFS(Data!$C:$C,$C94,Data!$P:$P,"VAL",Data!$E:$E,$E94,Data!$F:$F,$F94,Data!$I:$I,IF(ISBLANK($I94),"",$I94),Data!$J:$J,$J94,Data!$K:$K,$K94,Data!$R:$R,"",Data!$L:$L,IF(ISBLANK($P94),"",$P94),Data!$G:$G,"MAKUL",Data!$H:$H,"E15D",Data!$M:$M,72, Data!$Q:$Q,1),0)</f>
        <v>0</v>
      </c>
      <c r="W99" s="57">
        <f>IF(NOT(ISBLANK(W94)),COUNTIFS(Data!$C:$C,$C94,Data!$P:$P,"VAL",Data!$E:$E,$E94,Data!$F:$F,$F94,Data!$I:$I,IF(ISBLANK($I94),"",$I94),Data!$J:$J,$J94,Data!$K:$K,$K94,Data!$R:$R,"",Data!$L:$L,IF(ISBLANK($P94),"",$P94),Data!$G:$G,"ZF",Data!$H:$H,"E15D",Data!$M:$M,90, Data!$Q:$Q,1)+COUNTIFS(Data!$C:$C,$C94,Data!$P:$P,"VAL",Data!$E:$E,$E94,Data!$F:$F,$F94,Data!$I:$I,IF(ISBLANK($I94),"",$I94),Data!$J:$J,$J94,Data!$K:$K,$K94,Data!$R:$R,"",Data!$L:$L,IF(ISBLANK($P94),"",$P94),Data!$G:$G,"MAHEL",Data!$H:$H,"E15D",Data!$M:$M,90, Data!$Q:$Q,1)+COUNTIFS(Data!$C:$C,$C94,Data!$P:$P,"VAL",Data!$E:$E,$E94,Data!$F:$F,$F94,Data!$I:$I,IF(ISBLANK($I94),"",$I94),Data!$J:$J,$J94,Data!$K:$K,$K94,Data!$R:$R,"",Data!$L:$L,IF(ISBLANK($P94),"",$P94),Data!$G:$G,"MALA",Data!$H:$H,"E15D",Data!$M:$M,90, Data!$Q:$Q,1)+COUNTIFS(Data!$C:$C,$C94,Data!$P:$P,"VAL",Data!$E:$E,$E94,Data!$F:$F,$F94,Data!$I:$I,IF(ISBLANK($I94),"",$I94),Data!$J:$J,$J94,Data!$K:$K,$K94,Data!$R:$R,"",Data!$L:$L,IF(ISBLANK($P94),"",$P94),Data!$G:$G,"MAKUL",Data!$H:$H,"E15D",Data!$M:$M,90, Data!$Q:$Q,1),0)</f>
        <v>0</v>
      </c>
      <c r="X99" s="57">
        <f>IF(NOT(ISBLANK(X94)),COUNTIFS(Data!$C:$C,$C94,Data!$P:$P,"VAL",Data!$E:$E,$E94,Data!$F:$F,$F94,Data!$I:$I,IF(ISBLANK($I94),"",$I94),Data!$J:$J,$J94,Data!$K:$K,$K94,Data!$R:$R,"",Data!$L:$L,IF(ISBLANK($P94),"",$P94),Data!$G:$G,"ZF",Data!$H:$H,"E15D",Data!$M:$M,96, Data!$Q:$Q,1)+COUNTIFS(Data!$C:$C,$C94,Data!$P:$P,"VAL",Data!$E:$E,$E94,Data!$F:$F,$F94,Data!$I:$I,IF(ISBLANK($I94),"",$I94),Data!$J:$J,$J94,Data!$K:$K,$K94,Data!$R:$R,"",Data!$L:$L,IF(ISBLANK($P94),"",$P94),Data!$G:$G,"MAHEL",Data!$H:$H,"E15D",Data!$M:$M,96, Data!$Q:$Q,1)+COUNTIFS(Data!$C:$C,$C94,Data!$P:$P,"VAL",Data!$E:$E,$E94,Data!$F:$F,$F94,Data!$I:$I,IF(ISBLANK($I94),"",$I94),Data!$J:$J,$J94,Data!$K:$K,$K94,Data!$R:$R,"",Data!$L:$L,IF(ISBLANK($P94),"",$P94),Data!$G:$G,"MALA",Data!$H:$H,"E15D",Data!$M:$M,96, Data!$Q:$Q,1)+COUNTIFS(Data!$C:$C,$C94,Data!$P:$P,"VAL",Data!$E:$E,$E94,Data!$F:$F,$F94,Data!$I:$I,IF(ISBLANK($I94),"",$I94),Data!$J:$J,$J94,Data!$K:$K,$K94,Data!$R:$R,"",Data!$L:$L,IF(ISBLANK($P94),"",$P94),Data!$G:$G,"MAKUL",Data!$H:$H,"E15D",Data!$M:$M,96, Data!$Q:$Q,1),0)</f>
        <v>0</v>
      </c>
      <c r="Y99" s="11"/>
      <c r="Z99" s="11"/>
      <c r="AA99" s="11">
        <v>55</v>
      </c>
    </row>
    <row r="100" spans="1:27" ht="15.6" x14ac:dyDescent="0.3">
      <c r="A100" s="64"/>
      <c r="B100" s="106"/>
      <c r="C100" s="62" t="s">
        <v>396</v>
      </c>
      <c r="D100" s="62" t="s">
        <v>508</v>
      </c>
      <c r="E100" s="62" t="s">
        <v>397</v>
      </c>
      <c r="F100" s="62">
        <v>1</v>
      </c>
      <c r="G100" s="62" t="s">
        <v>390</v>
      </c>
      <c r="H100" s="62" t="s">
        <v>391</v>
      </c>
      <c r="I100" s="108" t="s">
        <v>430</v>
      </c>
      <c r="J100" s="62" t="s">
        <v>398</v>
      </c>
      <c r="K100" s="62" t="s">
        <v>397</v>
      </c>
      <c r="L100" s="62" t="s">
        <v>392</v>
      </c>
      <c r="M100" s="62" t="s">
        <v>399</v>
      </c>
      <c r="N100" s="62"/>
      <c r="O100" s="62">
        <f>+Y100/70</f>
        <v>30</v>
      </c>
      <c r="P100" s="62" t="s">
        <v>536</v>
      </c>
      <c r="Q100" s="66"/>
      <c r="R100" s="63"/>
      <c r="S100" s="63"/>
      <c r="T100" s="63">
        <f>15*70</f>
        <v>1050</v>
      </c>
      <c r="U100" s="63">
        <f>15*70</f>
        <v>1050</v>
      </c>
      <c r="V100" s="63"/>
      <c r="W100" s="63"/>
      <c r="X100" s="63"/>
      <c r="Y100" s="63">
        <f>SUM(Q100:X100)</f>
        <v>2100</v>
      </c>
      <c r="Z100" s="65" t="s">
        <v>490</v>
      </c>
      <c r="AA100" s="62"/>
    </row>
    <row r="101" spans="1:27" x14ac:dyDescent="0.3">
      <c r="A101" s="8"/>
      <c r="B101" s="8"/>
      <c r="C101" s="9"/>
      <c r="D101" s="9"/>
      <c r="E101" s="9"/>
      <c r="F101" s="9"/>
      <c r="G101" s="9"/>
      <c r="H101" s="9"/>
      <c r="I101" s="9"/>
      <c r="J101" s="9"/>
      <c r="K101" s="9"/>
      <c r="L101" s="10" t="s">
        <v>413</v>
      </c>
      <c r="M101" s="10"/>
      <c r="N101" s="10"/>
      <c r="O101" s="10"/>
      <c r="P101" s="9">
        <f>SUM(Q101:X101)</f>
        <v>30</v>
      </c>
      <c r="Q101" s="11">
        <f t="shared" ref="Q101:X101" si="46">IFERROR(Q100/70,0)</f>
        <v>0</v>
      </c>
      <c r="R101" s="11">
        <f t="shared" si="46"/>
        <v>0</v>
      </c>
      <c r="S101" s="11">
        <f t="shared" si="46"/>
        <v>0</v>
      </c>
      <c r="T101" s="11">
        <f t="shared" si="46"/>
        <v>15</v>
      </c>
      <c r="U101" s="11">
        <f t="shared" si="46"/>
        <v>15</v>
      </c>
      <c r="V101" s="11">
        <f t="shared" si="46"/>
        <v>0</v>
      </c>
      <c r="W101" s="11">
        <f t="shared" si="46"/>
        <v>0</v>
      </c>
      <c r="X101" s="11">
        <f t="shared" si="46"/>
        <v>0</v>
      </c>
      <c r="Y101" s="11"/>
      <c r="Z101" s="156" t="s">
        <v>525</v>
      </c>
      <c r="AA101" s="11"/>
    </row>
    <row r="102" spans="1:27" x14ac:dyDescent="0.3">
      <c r="A102" s="8"/>
      <c r="B102" s="8"/>
      <c r="C102" s="9"/>
      <c r="D102" s="9"/>
      <c r="E102" s="9"/>
      <c r="F102" s="9"/>
      <c r="G102" s="9"/>
      <c r="H102" s="9"/>
      <c r="I102" s="9"/>
      <c r="J102" s="9"/>
      <c r="K102" s="9"/>
      <c r="L102" s="10" t="s">
        <v>414</v>
      </c>
      <c r="M102" s="10"/>
      <c r="N102" s="10"/>
      <c r="O102" s="10"/>
      <c r="P102" s="9">
        <f>SUM(Q102:X102)</f>
        <v>30</v>
      </c>
      <c r="Q102" s="11">
        <f t="shared" ref="Q102:X102" si="47">IFERROR(Q101-(Q103+Q105),0)</f>
        <v>0</v>
      </c>
      <c r="R102" s="11">
        <f t="shared" si="47"/>
        <v>0</v>
      </c>
      <c r="S102" s="11">
        <f t="shared" si="47"/>
        <v>0</v>
      </c>
      <c r="T102" s="11">
        <f t="shared" si="47"/>
        <v>15</v>
      </c>
      <c r="U102" s="11">
        <f t="shared" si="47"/>
        <v>15</v>
      </c>
      <c r="V102" s="11">
        <f t="shared" si="47"/>
        <v>0</v>
      </c>
      <c r="W102" s="11">
        <f t="shared" si="47"/>
        <v>0</v>
      </c>
      <c r="X102" s="11">
        <f t="shared" si="47"/>
        <v>0</v>
      </c>
      <c r="Y102" s="11"/>
      <c r="Z102" s="156" t="s">
        <v>520</v>
      </c>
      <c r="AA102" s="11"/>
    </row>
    <row r="103" spans="1:27" x14ac:dyDescent="0.3">
      <c r="A103" s="8"/>
      <c r="B103" s="8"/>
      <c r="C103" s="9"/>
      <c r="D103" s="9"/>
      <c r="E103" s="9"/>
      <c r="F103" s="9"/>
      <c r="G103" s="9"/>
      <c r="H103" s="9"/>
      <c r="I103" s="9"/>
      <c r="J103" s="9"/>
      <c r="K103" s="9"/>
      <c r="L103" s="10" t="s">
        <v>415</v>
      </c>
      <c r="M103" s="10"/>
      <c r="N103" s="10"/>
      <c r="O103" s="10"/>
      <c r="P103" s="164">
        <f>SUM(Q103:X103)</f>
        <v>0</v>
      </c>
      <c r="Q103" s="57">
        <f>IF(NOT(ISBLANK(Q100)),COUNTIFS(Data!$C:$C,$C100,Data!$P:$P,"VAL",Data!$E:$E,$E100,Data!$F:$F,$F100,Data!$I:$I,IF(ISBLANK($I100),"",$I100),Data!$J:$J,$J100,Data!$K:$K,$K100,Data!$R:$R,"",Data!$L:$L,IF(ISBLANK($P100),"",$P100),Data!$G:$G,"ZF",Data!$H:$H,"A15C",Data!$M:$M,36),0)-Q105</f>
        <v>0</v>
      </c>
      <c r="R103" s="57">
        <f>IF(NOT(ISBLANK(R100)),COUNTIFS(Data!$C:$C,$C100,Data!$P:$P,"VAL",Data!$E:$E,$E100,Data!$F:$F,$F100,Data!$I:$I,IF(ISBLANK($I100),"",$I100),Data!$J:$J,$J100,Data!$K:$K,$K100,Data!$R:$R,"",Data!$L:$L,IF(ISBLANK($P100),"",$P100),Data!$G:$G,"ZF",Data!$H:$H,"A15C",Data!$M:$M,40),0)-R105</f>
        <v>0</v>
      </c>
      <c r="S103" s="57">
        <f>IF(NOT(ISBLANK(S100)),COUNTIFS(Data!$C:$C,$C100,Data!$P:$P,"VAL",Data!$E:$E,$E100,Data!$F:$F,$F100,Data!$I:$I,IF(ISBLANK($I100),"",$I100),Data!$J:$J,$J100,Data!$K:$K,$K100,Data!$R:$R,"",Data!$L:$L,IF(ISBLANK($P100),"",$P100),Data!$G:$G,"ZF",Data!$H:$H,"A15C",Data!$M:$M,48),0)-S105</f>
        <v>0</v>
      </c>
      <c r="T103" s="57">
        <f>IF(NOT(ISBLANK(T100)),COUNTIFS(Data!$C:$C,$C100,Data!$P:$P,"VAL",Data!$E:$E,$E100,Data!$F:$F,$F100,Data!$I:$I,IF(ISBLANK($I100),"",$I100),Data!$J:$J,$J100,Data!$K:$K,$K100,Data!$R:$R,"",Data!$L:$L,IF(ISBLANK($P100),"",$P100),Data!$G:$G,"ZF",Data!$H:$H,"A15C",Data!$M:$M,56),0)-T105</f>
        <v>0</v>
      </c>
      <c r="U103" s="57">
        <f>IF(NOT(ISBLANK(U100)),COUNTIFS(Data!$C:$C,$C100,Data!$P:$P,"VAL",Data!$E:$E,$E100,Data!$F:$F,$F100,Data!$I:$I,IF(ISBLANK($I100),"",$I100),Data!$J:$J,$J100,Data!$K:$K,$K100,Data!$R:$R,"",Data!$L:$L,IF(ISBLANK($P100),"",$P100),Data!$G:$G,"ZF",Data!$H:$H,"A15C",Data!$M:$M,64),0)-U105</f>
        <v>0</v>
      </c>
      <c r="V103" s="57">
        <f>IF(NOT(ISBLANK(V100)),COUNTIFS(Data!$C:$C,$C100,Data!$P:$P,"VAL",Data!$E:$E,$E100,Data!$F:$F,$F100,Data!$I:$I,IF(ISBLANK($I100),"",$I100),Data!$J:$J,$J100,Data!$K:$K,$K100,Data!$R:$R,"",Data!$L:$L,IF(ISBLANK($P100),"",$P100),Data!$G:$G,"ZF",Data!$H:$H,"A15C",Data!$M:$M,72),0)-V105</f>
        <v>0</v>
      </c>
      <c r="W103" s="57">
        <f>IF(NOT(ISBLANK(W100)),COUNTIFS(Data!$C:$C,$C100,Data!$P:$P,"VAL",Data!$E:$E,$E100,Data!$F:$F,$F100,Data!$I:$I,IF(ISBLANK($I100),"",$I100),Data!$J:$J,$J100,Data!$K:$K,$K100,Data!$R:$R,"",Data!$L:$L,IF(ISBLANK($P100),"",$P100),Data!$G:$G,"ZF",Data!$H:$H,"A15C",Data!$M:$M,88),0)-W105</f>
        <v>0</v>
      </c>
      <c r="X103" s="57">
        <f>IF(NOT(ISBLANK(X100)),COUNTIFS(Data!$C:$C,$C100,Data!$P:$P,"VAL",Data!$E:$E,$E100,Data!$F:$F,$F100,Data!$I:$I,IF(ISBLANK($I100),"",$I100),Data!$J:$J,$J100,Data!$K:$K,$K100,Data!$R:$R,"",Data!$L:$L,IF(ISBLANK($P100),"",$P100),Data!$G:$G,"ZF",Data!$H:$H,"A15C",Data!$M:$M,105),0)-X105</f>
        <v>0</v>
      </c>
      <c r="Y103" s="11"/>
      <c r="Z103" s="156"/>
      <c r="AA103" s="11"/>
    </row>
    <row r="104" spans="1:27" x14ac:dyDescent="0.3">
      <c r="A104" s="8"/>
      <c r="B104" s="8"/>
      <c r="C104" s="9"/>
      <c r="D104" s="9"/>
      <c r="E104" s="9"/>
      <c r="F104" s="9"/>
      <c r="G104" s="9"/>
      <c r="H104" s="9"/>
      <c r="I104" s="9"/>
      <c r="J104" s="9"/>
      <c r="K104" s="9"/>
      <c r="L104" s="10" t="s">
        <v>416</v>
      </c>
      <c r="M104" s="10"/>
      <c r="N104" s="10"/>
      <c r="O104" s="10"/>
      <c r="P104" s="9">
        <f>IF(COUNTIF(Z100:Z105,"*AS ORDERED*")&gt;0,SUM(Q104:X104),IF(P102&gt;0,0,(-1)*P102))</f>
        <v>0</v>
      </c>
      <c r="Q104" s="11">
        <f t="shared" ref="Q104:X104" si="48">IF(($P103+$P105)&gt;$P101,IF((Q103+Q105)-Q101&gt;0,(Q103+Q105)-Q101,0),0)</f>
        <v>0</v>
      </c>
      <c r="R104" s="11">
        <f t="shared" si="48"/>
        <v>0</v>
      </c>
      <c r="S104" s="11">
        <f t="shared" si="48"/>
        <v>0</v>
      </c>
      <c r="T104" s="11">
        <f t="shared" si="48"/>
        <v>0</v>
      </c>
      <c r="U104" s="11">
        <f t="shared" si="48"/>
        <v>0</v>
      </c>
      <c r="V104" s="11">
        <f t="shared" si="48"/>
        <v>0</v>
      </c>
      <c r="W104" s="11">
        <f t="shared" si="48"/>
        <v>0</v>
      </c>
      <c r="X104" s="11">
        <f t="shared" si="48"/>
        <v>0</v>
      </c>
      <c r="Y104" s="11"/>
      <c r="Z104" s="156"/>
      <c r="AA104" s="11"/>
    </row>
    <row r="105" spans="1:27" ht="15" thickBot="1" x14ac:dyDescent="0.35">
      <c r="A105" s="26"/>
      <c r="B105" s="26"/>
      <c r="C105" s="27"/>
      <c r="D105" s="27"/>
      <c r="E105" s="27"/>
      <c r="F105" s="27"/>
      <c r="G105" s="27"/>
      <c r="H105" s="27"/>
      <c r="I105" s="27"/>
      <c r="J105" s="27"/>
      <c r="K105" s="27"/>
      <c r="L105" s="28" t="s">
        <v>417</v>
      </c>
      <c r="M105" s="28"/>
      <c r="N105" s="28"/>
      <c r="O105" s="28"/>
      <c r="P105" s="165">
        <f>SUM(Q105:X105)</f>
        <v>0</v>
      </c>
      <c r="Q105" s="58">
        <f>IF(NOT(ISBLANK(Q100)),COUNTIFS(Data!$C:$C,$C100,Data!$P:$P,"VAL",Data!$E:$E,$E100,Data!$F:$F,$F100,Data!$I:$I,IF(ISBLANK($I100),"",$I100),Data!$J:$J,$J100,Data!$K:$K,$K100,Data!$R:$R,"",Data!$L:$L,IF(ISBLANK($P100),"",$P100),Data!$G:$G,"ZF",Data!$H:$H,"A15C",Data!$M:$M,36, Data!$Q:$Q,1),0)</f>
        <v>0</v>
      </c>
      <c r="R105" s="58">
        <f>IF(NOT(ISBLANK(R100)),COUNTIFS(Data!$C:$C,$C100,Data!$P:$P,"VAL",Data!$E:$E,$E100,Data!$F:$F,$F100,Data!$I:$I,IF(ISBLANK($I100),"",$I100),Data!$J:$J,$J100,Data!$K:$K,$K100,Data!$R:$R,"",Data!$L:$L,IF(ISBLANK($P100),"",$P100),Data!$G:$G,"ZF",Data!$H:$H,"A15C",Data!$M:$M,40, Data!$Q:$Q,1),0)</f>
        <v>0</v>
      </c>
      <c r="S105" s="58">
        <f>IF(NOT(ISBLANK(S100)),COUNTIFS(Data!$C:$C,$C100,Data!$P:$P,"VAL",Data!$E:$E,$E100,Data!$F:$F,$F100,Data!$I:$I,IF(ISBLANK($I100),"",$I100),Data!$J:$J,$J100,Data!$K:$K,$K100,Data!$R:$R,"",Data!$L:$L,IF(ISBLANK($P100),"",$P100),Data!$G:$G,"ZF",Data!$H:$H,"A15C",Data!$M:$M,48, Data!$Q:$Q,1),0)</f>
        <v>0</v>
      </c>
      <c r="T105" s="58">
        <f>IF(NOT(ISBLANK(T100)),COUNTIFS(Data!$C:$C,$C100,Data!$P:$P,"VAL",Data!$E:$E,$E100,Data!$F:$F,$F100,Data!$I:$I,IF(ISBLANK($I100),"",$I100),Data!$J:$J,$J100,Data!$K:$K,$K100,Data!$R:$R,"",Data!$L:$L,IF(ISBLANK($P100),"",$P100),Data!$G:$G,"ZF",Data!$H:$H,"A15C",Data!$M:$M,56, Data!$Q:$Q,1),0)</f>
        <v>0</v>
      </c>
      <c r="U105" s="58">
        <f>IF(NOT(ISBLANK(U100)),COUNTIFS(Data!$C:$C,$C100,Data!$P:$P,"VAL",Data!$E:$E,$E100,Data!$F:$F,$F100,Data!$I:$I,IF(ISBLANK($I100),"",$I100),Data!$J:$J,$J100,Data!$K:$K,$K100,Data!$R:$R,"",Data!$L:$L,IF(ISBLANK($P100),"",$P100),Data!$G:$G,"ZF",Data!$H:$H,"A15C",Data!$M:$M,64, Data!$Q:$Q,1),0)</f>
        <v>0</v>
      </c>
      <c r="V105" s="58">
        <f>IF(NOT(ISBLANK(V100)),COUNTIFS(Data!$C:$C,$C100,Data!$P:$P,"VAL",Data!$E:$E,$E100,Data!$F:$F,$F100,Data!$I:$I,IF(ISBLANK($I100),"",$I100),Data!$J:$J,$J100,Data!$K:$K,$K100,Data!$R:$R,"",Data!$L:$L,IF(ISBLANK($P100),"",$P100),Data!$G:$G,"ZF",Data!$H:$H,"A15C",Data!$M:$M,72, Data!$Q:$Q,1),0)</f>
        <v>0</v>
      </c>
      <c r="W105" s="58">
        <f>IF(NOT(ISBLANK(W100)),COUNTIFS(Data!$C:$C,$C100,Data!$P:$P,"VAL",Data!$E:$E,$E100,Data!$F:$F,$F100,Data!$I:$I,IF(ISBLANK($I100),"",$I100),Data!$J:$J,$J100,Data!$K:$K,$K100,Data!$R:$R,"",Data!$L:$L,IF(ISBLANK($P100),"",$P100),Data!$G:$G,"ZF",Data!$H:$H,"A15C",Data!$M:$M,88, Data!$Q:$Q,1),0)</f>
        <v>0</v>
      </c>
      <c r="X105" s="58">
        <f>IF(NOT(ISBLANK(X100)),COUNTIFS(Data!$C:$C,$C100,Data!$P:$P,"VAL",Data!$E:$E,$E100,Data!$F:$F,$F100,Data!$I:$I,IF(ISBLANK($I100),"",$I100),Data!$J:$J,$J100,Data!$K:$K,$K100,Data!$R:$R,"",Data!$L:$L,IF(ISBLANK($P100),"",$P100),Data!$G:$G,"ZF",Data!$H:$H,"A15C",Data!$M:$M,105, Data!$Q:$Q,1),0)</f>
        <v>0</v>
      </c>
      <c r="Y105" s="29"/>
      <c r="Z105" s="29"/>
      <c r="AA105" s="29">
        <v>70</v>
      </c>
    </row>
    <row r="106" spans="1:27" x14ac:dyDescent="0.3">
      <c r="A106" s="20" t="s">
        <v>407</v>
      </c>
      <c r="B106" s="20"/>
      <c r="C106" s="21"/>
      <c r="D106" s="21"/>
      <c r="E106" s="21"/>
      <c r="F106" s="21"/>
      <c r="G106" s="21"/>
      <c r="H106" s="21"/>
      <c r="I106" s="21"/>
      <c r="J106" s="21"/>
      <c r="K106" s="21"/>
      <c r="L106" s="22"/>
      <c r="M106" s="22"/>
      <c r="N106" s="22">
        <f>SUMIFS(N$1:N$105,$Y$1:$Y$105,"&gt;0")</f>
        <v>335</v>
      </c>
      <c r="O106" s="22">
        <f>SUMIFS(O$1:O$105,$Y$1:$Y$105,"&gt;0")</f>
        <v>134</v>
      </c>
      <c r="P106" s="21"/>
      <c r="Q106" s="23">
        <f t="shared" ref="Q106:Y106" si="49">SUMIFS(Q$1:Q$105,$Y$1:$Y$105,"&gt;0")</f>
        <v>275</v>
      </c>
      <c r="R106" s="23">
        <f t="shared" si="49"/>
        <v>550</v>
      </c>
      <c r="S106" s="23">
        <f t="shared" si="49"/>
        <v>2225</v>
      </c>
      <c r="T106" s="23">
        <f t="shared" si="49"/>
        <v>2940</v>
      </c>
      <c r="U106" s="23">
        <f t="shared" si="49"/>
        <v>5180</v>
      </c>
      <c r="V106" s="23">
        <f t="shared" si="49"/>
        <v>12160</v>
      </c>
      <c r="W106" s="23">
        <f t="shared" si="49"/>
        <v>9360</v>
      </c>
      <c r="X106" s="23">
        <f t="shared" si="49"/>
        <v>3040</v>
      </c>
      <c r="Y106" s="23">
        <f t="shared" si="49"/>
        <v>35730</v>
      </c>
      <c r="Z106" s="23"/>
      <c r="AA106" s="23"/>
    </row>
    <row r="107" spans="1:27" x14ac:dyDescent="0.3">
      <c r="A107" s="16"/>
      <c r="B107" s="16"/>
      <c r="C107" s="17"/>
      <c r="D107" s="17"/>
      <c r="E107" s="17"/>
      <c r="F107" s="17"/>
      <c r="G107" s="17"/>
      <c r="H107" s="17"/>
      <c r="I107" s="17"/>
      <c r="J107" s="17"/>
      <c r="K107" s="17"/>
      <c r="L107" s="18" t="s">
        <v>413</v>
      </c>
      <c r="M107" s="18"/>
      <c r="N107" s="18"/>
      <c r="O107" s="18"/>
      <c r="P107" s="17">
        <f>SUM(Q107:X107)</f>
        <v>469</v>
      </c>
      <c r="Q107" s="19">
        <f t="shared" ref="Q107:X111" si="50">SUMIFS(Q$1:Q$105,$L$1:$L$105,$L107)</f>
        <v>5</v>
      </c>
      <c r="R107" s="19">
        <f t="shared" si="50"/>
        <v>10</v>
      </c>
      <c r="S107" s="19">
        <f t="shared" si="50"/>
        <v>35</v>
      </c>
      <c r="T107" s="19">
        <f t="shared" si="50"/>
        <v>42</v>
      </c>
      <c r="U107" s="19">
        <f t="shared" si="50"/>
        <v>70</v>
      </c>
      <c r="V107" s="19">
        <f t="shared" si="50"/>
        <v>152</v>
      </c>
      <c r="W107" s="19">
        <f t="shared" si="50"/>
        <v>117</v>
      </c>
      <c r="X107" s="19">
        <f t="shared" si="50"/>
        <v>38</v>
      </c>
      <c r="Y107" s="19"/>
      <c r="Z107" s="19"/>
      <c r="AA107" s="19"/>
    </row>
    <row r="108" spans="1:27" x14ac:dyDescent="0.3">
      <c r="A108" s="12"/>
      <c r="B108" s="12"/>
      <c r="C108" s="13"/>
      <c r="D108" s="13"/>
      <c r="E108" s="13"/>
      <c r="F108" s="13"/>
      <c r="G108" s="13"/>
      <c r="H108" s="13"/>
      <c r="I108" s="13"/>
      <c r="J108" s="13"/>
      <c r="K108" s="13"/>
      <c r="L108" s="14" t="s">
        <v>414</v>
      </c>
      <c r="M108" s="14"/>
      <c r="N108" s="14"/>
      <c r="O108" s="14"/>
      <c r="P108" s="13">
        <f>SUM(Q108:X108)</f>
        <v>319</v>
      </c>
      <c r="Q108" s="15">
        <f t="shared" si="50"/>
        <v>4</v>
      </c>
      <c r="R108" s="15">
        <f t="shared" si="50"/>
        <v>8</v>
      </c>
      <c r="S108" s="15">
        <f t="shared" si="50"/>
        <v>25</v>
      </c>
      <c r="T108" s="15">
        <f t="shared" si="50"/>
        <v>20</v>
      </c>
      <c r="U108" s="15">
        <f t="shared" si="50"/>
        <v>48</v>
      </c>
      <c r="V108" s="15">
        <f t="shared" si="50"/>
        <v>102</v>
      </c>
      <c r="W108" s="15">
        <f t="shared" si="50"/>
        <v>92</v>
      </c>
      <c r="X108" s="15">
        <f t="shared" si="50"/>
        <v>20</v>
      </c>
      <c r="Y108" s="15"/>
      <c r="Z108" s="15"/>
      <c r="AA108" s="15"/>
    </row>
    <row r="109" spans="1:27" x14ac:dyDescent="0.3">
      <c r="A109" s="12"/>
      <c r="B109" s="12"/>
      <c r="C109" s="13"/>
      <c r="D109" s="13"/>
      <c r="E109" s="13"/>
      <c r="F109" s="13"/>
      <c r="G109" s="13"/>
      <c r="H109" s="13"/>
      <c r="I109" s="13"/>
      <c r="J109" s="13"/>
      <c r="K109" s="13"/>
      <c r="L109" s="14" t="s">
        <v>415</v>
      </c>
      <c r="M109" s="14"/>
      <c r="N109" s="14"/>
      <c r="O109" s="14"/>
      <c r="P109" s="163">
        <f>SUM(Q109:X109)</f>
        <v>150</v>
      </c>
      <c r="Q109" s="56">
        <f t="shared" si="50"/>
        <v>1</v>
      </c>
      <c r="R109" s="56">
        <f t="shared" si="50"/>
        <v>2</v>
      </c>
      <c r="S109" s="56">
        <f t="shared" si="50"/>
        <v>10</v>
      </c>
      <c r="T109" s="56">
        <f t="shared" si="50"/>
        <v>22</v>
      </c>
      <c r="U109" s="56">
        <f t="shared" si="50"/>
        <v>22</v>
      </c>
      <c r="V109" s="56">
        <f t="shared" si="50"/>
        <v>50</v>
      </c>
      <c r="W109" s="56">
        <f t="shared" si="50"/>
        <v>25</v>
      </c>
      <c r="X109" s="56">
        <f t="shared" si="50"/>
        <v>18</v>
      </c>
      <c r="Y109" s="15"/>
      <c r="Z109" s="15"/>
      <c r="AA109" s="15"/>
    </row>
    <row r="110" spans="1:27" x14ac:dyDescent="0.3">
      <c r="A110" s="12"/>
      <c r="B110" s="12"/>
      <c r="C110" s="13"/>
      <c r="D110" s="13"/>
      <c r="E110" s="13"/>
      <c r="F110" s="13"/>
      <c r="G110" s="13"/>
      <c r="H110" s="13"/>
      <c r="I110" s="13"/>
      <c r="J110" s="13"/>
      <c r="K110" s="13"/>
      <c r="L110" s="14" t="s">
        <v>416</v>
      </c>
      <c r="M110" s="14"/>
      <c r="N110" s="14"/>
      <c r="O110" s="14"/>
      <c r="P110" s="13">
        <f>SUMIFS(P$1:P$105,$L$1:$L$105,$L110,$P$1:$P$105,"&gt;0")</f>
        <v>0</v>
      </c>
      <c r="Q110" s="15">
        <f t="shared" si="50"/>
        <v>0</v>
      </c>
      <c r="R110" s="15">
        <f t="shared" si="50"/>
        <v>0</v>
      </c>
      <c r="S110" s="15">
        <f t="shared" si="50"/>
        <v>0</v>
      </c>
      <c r="T110" s="15">
        <f t="shared" si="50"/>
        <v>0</v>
      </c>
      <c r="U110" s="15">
        <f t="shared" si="50"/>
        <v>0</v>
      </c>
      <c r="V110" s="15">
        <f t="shared" si="50"/>
        <v>0</v>
      </c>
      <c r="W110" s="15">
        <f t="shared" si="50"/>
        <v>0</v>
      </c>
      <c r="X110" s="15">
        <f t="shared" si="50"/>
        <v>0</v>
      </c>
      <c r="Y110" s="15"/>
      <c r="Z110" s="15"/>
      <c r="AA110" s="15"/>
    </row>
    <row r="111" spans="1:27" x14ac:dyDescent="0.3">
      <c r="A111" s="12"/>
      <c r="B111" s="12"/>
      <c r="C111" s="13"/>
      <c r="D111" s="13"/>
      <c r="E111" s="13"/>
      <c r="F111" s="13"/>
      <c r="G111" s="13"/>
      <c r="H111" s="13"/>
      <c r="I111" s="13"/>
      <c r="J111" s="13"/>
      <c r="K111" s="13"/>
      <c r="L111" s="14" t="s">
        <v>417</v>
      </c>
      <c r="M111" s="14"/>
      <c r="N111" s="14"/>
      <c r="O111" s="14"/>
      <c r="P111" s="163">
        <f>SUM(Q111:X111)</f>
        <v>0</v>
      </c>
      <c r="Q111" s="56">
        <f t="shared" si="50"/>
        <v>0</v>
      </c>
      <c r="R111" s="56">
        <f t="shared" si="50"/>
        <v>0</v>
      </c>
      <c r="S111" s="56">
        <f t="shared" si="50"/>
        <v>0</v>
      </c>
      <c r="T111" s="56">
        <f t="shared" si="50"/>
        <v>0</v>
      </c>
      <c r="U111" s="56">
        <f t="shared" si="50"/>
        <v>0</v>
      </c>
      <c r="V111" s="56">
        <f t="shared" si="50"/>
        <v>0</v>
      </c>
      <c r="W111" s="56">
        <f t="shared" si="50"/>
        <v>0</v>
      </c>
      <c r="X111" s="56">
        <f t="shared" si="50"/>
        <v>0</v>
      </c>
      <c r="Y111" s="15"/>
      <c r="Z111" s="15"/>
      <c r="AA111" s="15"/>
    </row>
  </sheetData>
  <conditionalFormatting sqref="P6">
    <cfRule type="cellIs" dxfId="101" priority="1" stopIfTrue="1" operator="equal">
      <formula>0</formula>
    </cfRule>
    <cfRule type="cellIs" dxfId="100" priority="2" stopIfTrue="1" operator="lessThan">
      <formula>0</formula>
    </cfRule>
    <cfRule type="cellIs" dxfId="99" priority="3" stopIfTrue="1" operator="greaterThan">
      <formula>0</formula>
    </cfRule>
  </conditionalFormatting>
  <conditionalFormatting sqref="P8">
    <cfRule type="cellIs" dxfId="98" priority="4" stopIfTrue="1" operator="equal">
      <formula>0</formula>
    </cfRule>
    <cfRule type="cellIs" dxfId="97" priority="5" stopIfTrue="1" operator="lessThan">
      <formula>0</formula>
    </cfRule>
    <cfRule type="cellIs" dxfId="96" priority="6" stopIfTrue="1" operator="greaterThan">
      <formula>0</formula>
    </cfRule>
  </conditionalFormatting>
  <conditionalFormatting sqref="P12">
    <cfRule type="cellIs" dxfId="95" priority="7" stopIfTrue="1" operator="equal">
      <formula>0</formula>
    </cfRule>
    <cfRule type="cellIs" dxfId="94" priority="8" stopIfTrue="1" operator="lessThan">
      <formula>0</formula>
    </cfRule>
    <cfRule type="cellIs" dxfId="93" priority="9" stopIfTrue="1" operator="greaterThan">
      <formula>0</formula>
    </cfRule>
  </conditionalFormatting>
  <conditionalFormatting sqref="P14">
    <cfRule type="cellIs" dxfId="92" priority="10" stopIfTrue="1" operator="equal">
      <formula>0</formula>
    </cfRule>
    <cfRule type="cellIs" dxfId="91" priority="11" stopIfTrue="1" operator="lessThan">
      <formula>0</formula>
    </cfRule>
    <cfRule type="cellIs" dxfId="90" priority="12" stopIfTrue="1" operator="greaterThan">
      <formula>0</formula>
    </cfRule>
  </conditionalFormatting>
  <conditionalFormatting sqref="P18">
    <cfRule type="cellIs" dxfId="89" priority="13" stopIfTrue="1" operator="equal">
      <formula>0</formula>
    </cfRule>
    <cfRule type="cellIs" dxfId="88" priority="14" stopIfTrue="1" operator="lessThan">
      <formula>0</formula>
    </cfRule>
    <cfRule type="cellIs" dxfId="87" priority="15" stopIfTrue="1" operator="greaterThan">
      <formula>0</formula>
    </cfRule>
  </conditionalFormatting>
  <conditionalFormatting sqref="P20">
    <cfRule type="cellIs" dxfId="86" priority="16" stopIfTrue="1" operator="equal">
      <formula>0</formula>
    </cfRule>
    <cfRule type="cellIs" dxfId="85" priority="17" stopIfTrue="1" operator="lessThan">
      <formula>0</formula>
    </cfRule>
    <cfRule type="cellIs" dxfId="84" priority="18" stopIfTrue="1" operator="greaterThan">
      <formula>0</formula>
    </cfRule>
  </conditionalFormatting>
  <conditionalFormatting sqref="P24">
    <cfRule type="cellIs" dxfId="83" priority="19" stopIfTrue="1" operator="equal">
      <formula>0</formula>
    </cfRule>
    <cfRule type="cellIs" dxfId="82" priority="20" stopIfTrue="1" operator="lessThan">
      <formula>0</formula>
    </cfRule>
    <cfRule type="cellIs" dxfId="81" priority="21" stopIfTrue="1" operator="greaterThan">
      <formula>0</formula>
    </cfRule>
  </conditionalFormatting>
  <conditionalFormatting sqref="P26">
    <cfRule type="cellIs" dxfId="80" priority="22" stopIfTrue="1" operator="equal">
      <formula>0</formula>
    </cfRule>
    <cfRule type="cellIs" dxfId="79" priority="23" stopIfTrue="1" operator="lessThan">
      <formula>0</formula>
    </cfRule>
    <cfRule type="cellIs" dxfId="78" priority="24" stopIfTrue="1" operator="greaterThan">
      <formula>0</formula>
    </cfRule>
  </conditionalFormatting>
  <conditionalFormatting sqref="P30">
    <cfRule type="cellIs" dxfId="77" priority="25" stopIfTrue="1" operator="equal">
      <formula>0</formula>
    </cfRule>
    <cfRule type="cellIs" dxfId="76" priority="26" stopIfTrue="1" operator="lessThan">
      <formula>0</formula>
    </cfRule>
    <cfRule type="cellIs" dxfId="75" priority="27" stopIfTrue="1" operator="greaterThan">
      <formula>0</formula>
    </cfRule>
  </conditionalFormatting>
  <conditionalFormatting sqref="P32">
    <cfRule type="cellIs" dxfId="74" priority="28" stopIfTrue="1" operator="equal">
      <formula>0</formula>
    </cfRule>
    <cfRule type="cellIs" dxfId="73" priority="29" stopIfTrue="1" operator="lessThan">
      <formula>0</formula>
    </cfRule>
    <cfRule type="cellIs" dxfId="72" priority="30" stopIfTrue="1" operator="greaterThan">
      <formula>0</formula>
    </cfRule>
  </conditionalFormatting>
  <conditionalFormatting sqref="P36">
    <cfRule type="cellIs" dxfId="71" priority="31" stopIfTrue="1" operator="equal">
      <formula>0</formula>
    </cfRule>
    <cfRule type="cellIs" dxfId="70" priority="32" stopIfTrue="1" operator="lessThan">
      <formula>0</formula>
    </cfRule>
    <cfRule type="cellIs" dxfId="69" priority="33" stopIfTrue="1" operator="greaterThan">
      <formula>0</formula>
    </cfRule>
  </conditionalFormatting>
  <conditionalFormatting sqref="P38">
    <cfRule type="cellIs" dxfId="68" priority="34" stopIfTrue="1" operator="equal">
      <formula>0</formula>
    </cfRule>
    <cfRule type="cellIs" dxfId="67" priority="35" stopIfTrue="1" operator="lessThan">
      <formula>0</formula>
    </cfRule>
    <cfRule type="cellIs" dxfId="66" priority="36" stopIfTrue="1" operator="greaterThan">
      <formula>0</formula>
    </cfRule>
  </conditionalFormatting>
  <conditionalFormatting sqref="P42">
    <cfRule type="cellIs" dxfId="65" priority="37" stopIfTrue="1" operator="equal">
      <formula>0</formula>
    </cfRule>
    <cfRule type="cellIs" dxfId="64" priority="38" stopIfTrue="1" operator="lessThan">
      <formula>0</formula>
    </cfRule>
    <cfRule type="cellIs" dxfId="63" priority="39" stopIfTrue="1" operator="greaterThan">
      <formula>0</formula>
    </cfRule>
  </conditionalFormatting>
  <conditionalFormatting sqref="P44">
    <cfRule type="cellIs" dxfId="62" priority="40" stopIfTrue="1" operator="equal">
      <formula>0</formula>
    </cfRule>
    <cfRule type="cellIs" dxfId="61" priority="41" stopIfTrue="1" operator="lessThan">
      <formula>0</formula>
    </cfRule>
    <cfRule type="cellIs" dxfId="60" priority="42" stopIfTrue="1" operator="greaterThan">
      <formula>0</formula>
    </cfRule>
  </conditionalFormatting>
  <conditionalFormatting sqref="P48">
    <cfRule type="cellIs" dxfId="59" priority="43" stopIfTrue="1" operator="equal">
      <formula>0</formula>
    </cfRule>
    <cfRule type="cellIs" dxfId="58" priority="44" stopIfTrue="1" operator="lessThan">
      <formula>0</formula>
    </cfRule>
    <cfRule type="cellIs" dxfId="57" priority="45" stopIfTrue="1" operator="greaterThan">
      <formula>0</formula>
    </cfRule>
  </conditionalFormatting>
  <conditionalFormatting sqref="P50">
    <cfRule type="cellIs" dxfId="56" priority="46" stopIfTrue="1" operator="equal">
      <formula>0</formula>
    </cfRule>
    <cfRule type="cellIs" dxfId="55" priority="47" stopIfTrue="1" operator="lessThan">
      <formula>0</formula>
    </cfRule>
    <cfRule type="cellIs" dxfId="54" priority="48" stopIfTrue="1" operator="greaterThan">
      <formula>0</formula>
    </cfRule>
  </conditionalFormatting>
  <conditionalFormatting sqref="P54">
    <cfRule type="cellIs" dxfId="53" priority="49" stopIfTrue="1" operator="equal">
      <formula>0</formula>
    </cfRule>
    <cfRule type="cellIs" dxfId="52" priority="50" stopIfTrue="1" operator="lessThan">
      <formula>0</formula>
    </cfRule>
    <cfRule type="cellIs" dxfId="51" priority="51" stopIfTrue="1" operator="greaterThan">
      <formula>0</formula>
    </cfRule>
  </conditionalFormatting>
  <conditionalFormatting sqref="P56">
    <cfRule type="cellIs" dxfId="50" priority="52" stopIfTrue="1" operator="equal">
      <formula>0</formula>
    </cfRule>
    <cfRule type="cellIs" dxfId="49" priority="53" stopIfTrue="1" operator="lessThan">
      <formula>0</formula>
    </cfRule>
    <cfRule type="cellIs" dxfId="48" priority="54" stopIfTrue="1" operator="greaterThan">
      <formula>0</formula>
    </cfRule>
  </conditionalFormatting>
  <conditionalFormatting sqref="P60">
    <cfRule type="cellIs" dxfId="47" priority="55" stopIfTrue="1" operator="equal">
      <formula>0</formula>
    </cfRule>
    <cfRule type="cellIs" dxfId="46" priority="56" stopIfTrue="1" operator="lessThan">
      <formula>0</formula>
    </cfRule>
    <cfRule type="cellIs" dxfId="45" priority="57" stopIfTrue="1" operator="greaterThan">
      <formula>0</formula>
    </cfRule>
  </conditionalFormatting>
  <conditionalFormatting sqref="P62">
    <cfRule type="cellIs" dxfId="44" priority="58" stopIfTrue="1" operator="equal">
      <formula>0</formula>
    </cfRule>
    <cfRule type="cellIs" dxfId="43" priority="59" stopIfTrue="1" operator="lessThan">
      <formula>0</formula>
    </cfRule>
    <cfRule type="cellIs" dxfId="42" priority="60" stopIfTrue="1" operator="greaterThan">
      <formula>0</formula>
    </cfRule>
  </conditionalFormatting>
  <conditionalFormatting sqref="P66">
    <cfRule type="cellIs" dxfId="41" priority="61" stopIfTrue="1" operator="equal">
      <formula>0</formula>
    </cfRule>
  </conditionalFormatting>
  <conditionalFormatting sqref="P66">
    <cfRule type="cellIs" dxfId="40" priority="62" stopIfTrue="1" operator="lessThan">
      <formula>0</formula>
    </cfRule>
  </conditionalFormatting>
  <conditionalFormatting sqref="P66">
    <cfRule type="cellIs" dxfId="39" priority="63" stopIfTrue="1" operator="greaterThan">
      <formula>0</formula>
    </cfRule>
  </conditionalFormatting>
  <conditionalFormatting sqref="P68">
    <cfRule type="cellIs" dxfId="38" priority="64" stopIfTrue="1" operator="equal">
      <formula>0</formula>
    </cfRule>
  </conditionalFormatting>
  <conditionalFormatting sqref="P68">
    <cfRule type="cellIs" dxfId="37" priority="65" stopIfTrue="1" operator="lessThan">
      <formula>0</formula>
    </cfRule>
  </conditionalFormatting>
  <conditionalFormatting sqref="P68">
    <cfRule type="cellIs" dxfId="36" priority="66" stopIfTrue="1" operator="greaterThan">
      <formula>0</formula>
    </cfRule>
  </conditionalFormatting>
  <conditionalFormatting sqref="P72">
    <cfRule type="cellIs" dxfId="35" priority="67" stopIfTrue="1" operator="equal">
      <formula>0</formula>
    </cfRule>
  </conditionalFormatting>
  <conditionalFormatting sqref="P72">
    <cfRule type="cellIs" dxfId="34" priority="68" stopIfTrue="1" operator="lessThan">
      <formula>0</formula>
    </cfRule>
  </conditionalFormatting>
  <conditionalFormatting sqref="P72">
    <cfRule type="cellIs" dxfId="33" priority="69" stopIfTrue="1" operator="greaterThan">
      <formula>0</formula>
    </cfRule>
  </conditionalFormatting>
  <conditionalFormatting sqref="P74">
    <cfRule type="cellIs" dxfId="32" priority="70" stopIfTrue="1" operator="equal">
      <formula>0</formula>
    </cfRule>
  </conditionalFormatting>
  <conditionalFormatting sqref="P74">
    <cfRule type="cellIs" dxfId="31" priority="71" stopIfTrue="1" operator="lessThan">
      <formula>0</formula>
    </cfRule>
  </conditionalFormatting>
  <conditionalFormatting sqref="P74">
    <cfRule type="cellIs" dxfId="30" priority="72" stopIfTrue="1" operator="greaterThan">
      <formula>0</formula>
    </cfRule>
  </conditionalFormatting>
  <conditionalFormatting sqref="P78">
    <cfRule type="cellIs" dxfId="29" priority="73" stopIfTrue="1" operator="equal">
      <formula>0</formula>
    </cfRule>
  </conditionalFormatting>
  <conditionalFormatting sqref="P78">
    <cfRule type="cellIs" dxfId="28" priority="74" stopIfTrue="1" operator="lessThan">
      <formula>0</formula>
    </cfRule>
  </conditionalFormatting>
  <conditionalFormatting sqref="P78">
    <cfRule type="cellIs" dxfId="27" priority="75" stopIfTrue="1" operator="greaterThan">
      <formula>0</formula>
    </cfRule>
  </conditionalFormatting>
  <conditionalFormatting sqref="P80">
    <cfRule type="cellIs" dxfId="26" priority="76" stopIfTrue="1" operator="equal">
      <formula>0</formula>
    </cfRule>
  </conditionalFormatting>
  <conditionalFormatting sqref="P80">
    <cfRule type="cellIs" dxfId="25" priority="77" stopIfTrue="1" operator="lessThan">
      <formula>0</formula>
    </cfRule>
  </conditionalFormatting>
  <conditionalFormatting sqref="P80">
    <cfRule type="cellIs" dxfId="24" priority="78" stopIfTrue="1" operator="greaterThan">
      <formula>0</formula>
    </cfRule>
  </conditionalFormatting>
  <conditionalFormatting sqref="P84">
    <cfRule type="cellIs" dxfId="23" priority="79" stopIfTrue="1" operator="equal">
      <formula>0</formula>
    </cfRule>
  </conditionalFormatting>
  <conditionalFormatting sqref="P84">
    <cfRule type="cellIs" dxfId="22" priority="80" stopIfTrue="1" operator="lessThan">
      <formula>0</formula>
    </cfRule>
  </conditionalFormatting>
  <conditionalFormatting sqref="P84">
    <cfRule type="cellIs" dxfId="21" priority="81" stopIfTrue="1" operator="greaterThan">
      <formula>0</formula>
    </cfRule>
  </conditionalFormatting>
  <conditionalFormatting sqref="P86">
    <cfRule type="cellIs" dxfId="20" priority="82" stopIfTrue="1" operator="equal">
      <formula>0</formula>
    </cfRule>
  </conditionalFormatting>
  <conditionalFormatting sqref="P86">
    <cfRule type="cellIs" dxfId="19" priority="83" stopIfTrue="1" operator="lessThan">
      <formula>0</formula>
    </cfRule>
  </conditionalFormatting>
  <conditionalFormatting sqref="P86">
    <cfRule type="cellIs" dxfId="18" priority="84" stopIfTrue="1" operator="greaterThan">
      <formula>0</formula>
    </cfRule>
  </conditionalFormatting>
  <conditionalFormatting sqref="P90">
    <cfRule type="cellIs" dxfId="17" priority="85" stopIfTrue="1" operator="equal">
      <formula>0</formula>
    </cfRule>
  </conditionalFormatting>
  <conditionalFormatting sqref="P90">
    <cfRule type="cellIs" dxfId="16" priority="86" stopIfTrue="1" operator="lessThan">
      <formula>0</formula>
    </cfRule>
  </conditionalFormatting>
  <conditionalFormatting sqref="P90">
    <cfRule type="cellIs" dxfId="15" priority="87" stopIfTrue="1" operator="greaterThan">
      <formula>0</formula>
    </cfRule>
  </conditionalFormatting>
  <conditionalFormatting sqref="P92">
    <cfRule type="cellIs" dxfId="14" priority="88" stopIfTrue="1" operator="equal">
      <formula>0</formula>
    </cfRule>
  </conditionalFormatting>
  <conditionalFormatting sqref="P92">
    <cfRule type="cellIs" dxfId="13" priority="89" stopIfTrue="1" operator="lessThan">
      <formula>0</formula>
    </cfRule>
  </conditionalFormatting>
  <conditionalFormatting sqref="P92">
    <cfRule type="cellIs" dxfId="12" priority="90" stopIfTrue="1" operator="greaterThan">
      <formula>0</formula>
    </cfRule>
  </conditionalFormatting>
  <conditionalFormatting sqref="P96">
    <cfRule type="cellIs" dxfId="11" priority="91" stopIfTrue="1" operator="equal">
      <formula>0</formula>
    </cfRule>
  </conditionalFormatting>
  <conditionalFormatting sqref="P96">
    <cfRule type="cellIs" dxfId="10" priority="92" stopIfTrue="1" operator="lessThan">
      <formula>0</formula>
    </cfRule>
  </conditionalFormatting>
  <conditionalFormatting sqref="P96">
    <cfRule type="cellIs" dxfId="9" priority="93" stopIfTrue="1" operator="greaterThan">
      <formula>0</formula>
    </cfRule>
  </conditionalFormatting>
  <conditionalFormatting sqref="P98">
    <cfRule type="cellIs" dxfId="8" priority="94" stopIfTrue="1" operator="equal">
      <formula>0</formula>
    </cfRule>
  </conditionalFormatting>
  <conditionalFormatting sqref="P98">
    <cfRule type="cellIs" dxfId="7" priority="95" stopIfTrue="1" operator="lessThan">
      <formula>0</formula>
    </cfRule>
  </conditionalFormatting>
  <conditionalFormatting sqref="P98">
    <cfRule type="cellIs" dxfId="6" priority="96" stopIfTrue="1" operator="greaterThan">
      <formula>0</formula>
    </cfRule>
  </conditionalFormatting>
  <conditionalFormatting sqref="P102">
    <cfRule type="cellIs" dxfId="5" priority="97" stopIfTrue="1" operator="equal">
      <formula>0</formula>
    </cfRule>
  </conditionalFormatting>
  <conditionalFormatting sqref="P102">
    <cfRule type="cellIs" dxfId="4" priority="98" stopIfTrue="1" operator="lessThan">
      <formula>0</formula>
    </cfRule>
  </conditionalFormatting>
  <conditionalFormatting sqref="P102">
    <cfRule type="cellIs" dxfId="3" priority="99" stopIfTrue="1" operator="greaterThan">
      <formula>0</formula>
    </cfRule>
  </conditionalFormatting>
  <conditionalFormatting sqref="P104">
    <cfRule type="cellIs" dxfId="2" priority="100" stopIfTrue="1" operator="equal">
      <formula>0</formula>
    </cfRule>
  </conditionalFormatting>
  <conditionalFormatting sqref="P104">
    <cfRule type="cellIs" dxfId="1" priority="101" stopIfTrue="1" operator="lessThan">
      <formula>0</formula>
    </cfRule>
  </conditionalFormatting>
  <conditionalFormatting sqref="P104">
    <cfRule type="cellIs" dxfId="0" priority="102" stopIfTrue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F3579-61A4-40BC-899C-86045FA9C86C}">
  <sheetPr codeName="Sheet3">
    <pageSetUpPr fitToPage="1"/>
  </sheetPr>
  <dimension ref="A1:Y20"/>
  <sheetViews>
    <sheetView zoomScale="85" zoomScaleNormal="85" workbookViewId="0"/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25.3320312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6" width="8.77734375" bestFit="1" customWidth="1"/>
    <col min="27" max="27" width="8.109375" bestFit="1" customWidth="1"/>
  </cols>
  <sheetData>
    <row r="1" spans="1:25" ht="47.4" thickBot="1" x14ac:dyDescent="0.35">
      <c r="A1" s="166" t="s">
        <v>365</v>
      </c>
      <c r="B1" s="167" t="s">
        <v>374</v>
      </c>
      <c r="C1" s="168" t="s">
        <v>375</v>
      </c>
      <c r="D1" s="168" t="s">
        <v>376</v>
      </c>
      <c r="E1" s="168" t="s">
        <v>377</v>
      </c>
      <c r="F1" s="168" t="s">
        <v>378</v>
      </c>
      <c r="G1" s="168" t="s">
        <v>379</v>
      </c>
      <c r="H1" s="168" t="s">
        <v>360</v>
      </c>
      <c r="I1" s="168" t="s">
        <v>380</v>
      </c>
      <c r="J1" s="169" t="s">
        <v>381</v>
      </c>
      <c r="K1" s="169" t="s">
        <v>382</v>
      </c>
      <c r="L1" s="169" t="s">
        <v>477</v>
      </c>
      <c r="M1" s="168" t="s">
        <v>384</v>
      </c>
      <c r="N1" s="170" t="s">
        <v>385</v>
      </c>
      <c r="O1" s="170" t="s">
        <v>386</v>
      </c>
      <c r="P1" s="169" t="s">
        <v>387</v>
      </c>
      <c r="Q1" s="171" t="s">
        <v>504</v>
      </c>
      <c r="R1" s="171" t="s">
        <v>505</v>
      </c>
      <c r="S1" s="171" t="s">
        <v>506</v>
      </c>
      <c r="T1" s="171" t="s">
        <v>507</v>
      </c>
      <c r="U1" s="171">
        <v>64</v>
      </c>
      <c r="V1" s="172">
        <v>72</v>
      </c>
      <c r="W1" s="172">
        <v>88</v>
      </c>
      <c r="X1" s="172">
        <v>105</v>
      </c>
      <c r="Y1" s="171" t="s">
        <v>418</v>
      </c>
    </row>
    <row r="2" spans="1:25" x14ac:dyDescent="0.3">
      <c r="A2" s="153" t="s">
        <v>449</v>
      </c>
      <c r="B2" s="153" t="s">
        <v>485</v>
      </c>
      <c r="C2" s="153" t="s">
        <v>478</v>
      </c>
      <c r="D2" s="153" t="s">
        <v>508</v>
      </c>
      <c r="E2" s="153" t="s">
        <v>450</v>
      </c>
      <c r="F2" s="153">
        <v>1</v>
      </c>
      <c r="G2" s="153" t="s">
        <v>394</v>
      </c>
      <c r="H2" s="153" t="s">
        <v>391</v>
      </c>
      <c r="I2" s="153" t="s">
        <v>495</v>
      </c>
      <c r="J2" s="153" t="s">
        <v>439</v>
      </c>
      <c r="K2" s="153" t="s">
        <v>450</v>
      </c>
      <c r="L2" s="153" t="s">
        <v>484</v>
      </c>
      <c r="M2" s="153" t="s">
        <v>393</v>
      </c>
      <c r="N2" s="153">
        <v>3</v>
      </c>
      <c r="O2" s="153"/>
      <c r="P2" s="173" t="s">
        <v>509</v>
      </c>
      <c r="Q2" s="154"/>
      <c r="R2" s="154"/>
      <c r="S2" s="154"/>
      <c r="T2" s="154"/>
      <c r="U2" s="154"/>
      <c r="V2" s="154">
        <v>2</v>
      </c>
      <c r="W2" s="154"/>
      <c r="X2" s="154"/>
      <c r="Y2" s="174">
        <v>1</v>
      </c>
    </row>
    <row r="3" spans="1:25" x14ac:dyDescent="0.3">
      <c r="A3" s="153" t="s">
        <v>492</v>
      </c>
      <c r="B3" s="153" t="s">
        <v>485</v>
      </c>
      <c r="C3" s="153" t="s">
        <v>478</v>
      </c>
      <c r="D3" s="153" t="s">
        <v>508</v>
      </c>
      <c r="E3" s="153" t="s">
        <v>493</v>
      </c>
      <c r="F3" s="153">
        <v>1</v>
      </c>
      <c r="G3" s="153" t="s">
        <v>394</v>
      </c>
      <c r="H3" s="153" t="s">
        <v>391</v>
      </c>
      <c r="I3" s="153" t="s">
        <v>512</v>
      </c>
      <c r="J3" s="153" t="s">
        <v>488</v>
      </c>
      <c r="K3" s="153" t="s">
        <v>493</v>
      </c>
      <c r="L3" s="153" t="s">
        <v>392</v>
      </c>
      <c r="M3" s="153" t="s">
        <v>393</v>
      </c>
      <c r="N3" s="153">
        <v>4</v>
      </c>
      <c r="O3" s="153"/>
      <c r="P3" s="173" t="s">
        <v>509</v>
      </c>
      <c r="Q3" s="154"/>
      <c r="R3" s="154"/>
      <c r="S3" s="154"/>
      <c r="T3" s="154"/>
      <c r="U3" s="154"/>
      <c r="V3" s="154">
        <v>2</v>
      </c>
      <c r="W3" s="154">
        <v>2</v>
      </c>
      <c r="X3" s="154"/>
      <c r="Y3" s="111">
        <v>0</v>
      </c>
    </row>
    <row r="4" spans="1:25" x14ac:dyDescent="0.3">
      <c r="A4" s="153"/>
      <c r="B4" s="153"/>
      <c r="C4" s="153" t="s">
        <v>478</v>
      </c>
      <c r="D4" s="153" t="s">
        <v>508</v>
      </c>
      <c r="E4" s="153" t="s">
        <v>493</v>
      </c>
      <c r="F4" s="153">
        <v>1</v>
      </c>
      <c r="G4" s="153" t="s">
        <v>394</v>
      </c>
      <c r="H4" s="153" t="s">
        <v>391</v>
      </c>
      <c r="I4" s="153" t="s">
        <v>514</v>
      </c>
      <c r="J4" s="153" t="s">
        <v>488</v>
      </c>
      <c r="K4" s="153" t="s">
        <v>493</v>
      </c>
      <c r="L4" s="153" t="s">
        <v>392</v>
      </c>
      <c r="M4" s="153" t="s">
        <v>393</v>
      </c>
      <c r="N4" s="153">
        <v>8</v>
      </c>
      <c r="O4" s="153"/>
      <c r="P4" s="173" t="s">
        <v>509</v>
      </c>
      <c r="Q4" s="154"/>
      <c r="R4" s="154"/>
      <c r="S4" s="154"/>
      <c r="T4" s="154"/>
      <c r="U4" s="154"/>
      <c r="V4" s="154">
        <v>6</v>
      </c>
      <c r="W4" s="154">
        <v>2</v>
      </c>
      <c r="X4" s="154"/>
      <c r="Y4" s="111">
        <v>0</v>
      </c>
    </row>
    <row r="5" spans="1:25" x14ac:dyDescent="0.3">
      <c r="A5" s="153" t="s">
        <v>542</v>
      </c>
      <c r="B5" s="153" t="s">
        <v>485</v>
      </c>
      <c r="C5" s="153" t="s">
        <v>478</v>
      </c>
      <c r="D5" s="153" t="s">
        <v>508</v>
      </c>
      <c r="E5" s="153" t="s">
        <v>543</v>
      </c>
      <c r="F5" s="153">
        <v>1</v>
      </c>
      <c r="G5" s="153" t="s">
        <v>394</v>
      </c>
      <c r="H5" s="153" t="s">
        <v>391</v>
      </c>
      <c r="I5" s="153"/>
      <c r="J5" s="153" t="s">
        <v>488</v>
      </c>
      <c r="K5" s="153" t="s">
        <v>543</v>
      </c>
      <c r="L5" s="153" t="s">
        <v>392</v>
      </c>
      <c r="M5" s="153" t="s">
        <v>393</v>
      </c>
      <c r="N5" s="153">
        <v>20</v>
      </c>
      <c r="O5" s="153"/>
      <c r="P5" s="173" t="s">
        <v>544</v>
      </c>
      <c r="Q5" s="154"/>
      <c r="R5" s="154"/>
      <c r="S5" s="154"/>
      <c r="T5" s="154"/>
      <c r="U5" s="154"/>
      <c r="V5" s="154"/>
      <c r="W5" s="154">
        <v>1</v>
      </c>
      <c r="X5" s="154">
        <v>2</v>
      </c>
      <c r="Y5" s="174">
        <v>17</v>
      </c>
    </row>
    <row r="6" spans="1:25" x14ac:dyDescent="0.3">
      <c r="A6" s="153" t="s">
        <v>546</v>
      </c>
      <c r="B6" s="153" t="s">
        <v>485</v>
      </c>
      <c r="C6" s="153" t="s">
        <v>478</v>
      </c>
      <c r="D6" s="153" t="s">
        <v>508</v>
      </c>
      <c r="E6" s="153" t="s">
        <v>547</v>
      </c>
      <c r="F6" s="153">
        <v>1</v>
      </c>
      <c r="G6" s="153" t="s">
        <v>394</v>
      </c>
      <c r="H6" s="153" t="s">
        <v>391</v>
      </c>
      <c r="I6" s="153" t="s">
        <v>548</v>
      </c>
      <c r="J6" s="153" t="s">
        <v>488</v>
      </c>
      <c r="K6" s="153" t="s">
        <v>547</v>
      </c>
      <c r="L6" s="153" t="s">
        <v>392</v>
      </c>
      <c r="M6" s="153" t="s">
        <v>393</v>
      </c>
      <c r="N6" s="153">
        <v>20</v>
      </c>
      <c r="O6" s="153"/>
      <c r="P6" s="173" t="s">
        <v>544</v>
      </c>
      <c r="Q6" s="154"/>
      <c r="R6" s="154"/>
      <c r="S6" s="154"/>
      <c r="T6" s="154"/>
      <c r="U6" s="154">
        <v>4</v>
      </c>
      <c r="V6" s="154">
        <v>4</v>
      </c>
      <c r="W6" s="154"/>
      <c r="X6" s="154"/>
      <c r="Y6" s="174">
        <v>12</v>
      </c>
    </row>
    <row r="7" spans="1:25" x14ac:dyDescent="0.3">
      <c r="A7" s="153" t="s">
        <v>449</v>
      </c>
      <c r="B7" s="153" t="s">
        <v>485</v>
      </c>
      <c r="C7" s="153" t="s">
        <v>478</v>
      </c>
      <c r="D7" s="153" t="s">
        <v>508</v>
      </c>
      <c r="E7" s="153" t="s">
        <v>450</v>
      </c>
      <c r="F7" s="153">
        <v>1</v>
      </c>
      <c r="G7" s="153" t="s">
        <v>394</v>
      </c>
      <c r="H7" s="153" t="s">
        <v>391</v>
      </c>
      <c r="I7" s="153" t="s">
        <v>495</v>
      </c>
      <c r="J7" s="153" t="s">
        <v>439</v>
      </c>
      <c r="K7" s="153" t="s">
        <v>450</v>
      </c>
      <c r="L7" s="153" t="s">
        <v>392</v>
      </c>
      <c r="M7" s="153" t="s">
        <v>393</v>
      </c>
      <c r="N7" s="153">
        <v>20</v>
      </c>
      <c r="O7" s="153"/>
      <c r="P7" s="173" t="s">
        <v>544</v>
      </c>
      <c r="Q7" s="154"/>
      <c r="R7" s="154"/>
      <c r="S7" s="154"/>
      <c r="T7" s="154"/>
      <c r="U7" s="154"/>
      <c r="V7" s="154"/>
      <c r="W7" s="154"/>
      <c r="X7" s="154"/>
      <c r="Y7" s="174">
        <v>20</v>
      </c>
    </row>
    <row r="8" spans="1:25" x14ac:dyDescent="0.3">
      <c r="A8" s="153" t="s">
        <v>492</v>
      </c>
      <c r="B8" s="153" t="s">
        <v>485</v>
      </c>
      <c r="C8" s="153" t="s">
        <v>478</v>
      </c>
      <c r="D8" s="153" t="s">
        <v>508</v>
      </c>
      <c r="E8" s="153" t="s">
        <v>493</v>
      </c>
      <c r="F8" s="153">
        <v>1</v>
      </c>
      <c r="G8" s="153" t="s">
        <v>394</v>
      </c>
      <c r="H8" s="153" t="s">
        <v>391</v>
      </c>
      <c r="I8" s="153" t="s">
        <v>551</v>
      </c>
      <c r="J8" s="153" t="s">
        <v>488</v>
      </c>
      <c r="K8" s="153" t="s">
        <v>493</v>
      </c>
      <c r="L8" s="153" t="s">
        <v>392</v>
      </c>
      <c r="M8" s="153" t="s">
        <v>393</v>
      </c>
      <c r="N8" s="153">
        <v>20</v>
      </c>
      <c r="O8" s="153"/>
      <c r="P8" s="173" t="s">
        <v>544</v>
      </c>
      <c r="Q8" s="154"/>
      <c r="R8" s="154"/>
      <c r="S8" s="154"/>
      <c r="T8" s="154"/>
      <c r="U8" s="154"/>
      <c r="V8" s="154"/>
      <c r="W8" s="154"/>
      <c r="X8" s="154"/>
      <c r="Y8" s="174">
        <v>20</v>
      </c>
    </row>
    <row r="9" spans="1:25" x14ac:dyDescent="0.3">
      <c r="A9" s="153"/>
      <c r="B9" s="153"/>
      <c r="C9" s="153" t="s">
        <v>478</v>
      </c>
      <c r="D9" s="153" t="s">
        <v>508</v>
      </c>
      <c r="E9" s="153" t="s">
        <v>493</v>
      </c>
      <c r="F9" s="153">
        <v>1</v>
      </c>
      <c r="G9" s="153" t="s">
        <v>394</v>
      </c>
      <c r="H9" s="153" t="s">
        <v>391</v>
      </c>
      <c r="I9" s="153" t="s">
        <v>552</v>
      </c>
      <c r="J9" s="153" t="s">
        <v>488</v>
      </c>
      <c r="K9" s="153" t="s">
        <v>493</v>
      </c>
      <c r="L9" s="153" t="s">
        <v>392</v>
      </c>
      <c r="M9" s="153" t="s">
        <v>393</v>
      </c>
      <c r="N9" s="153">
        <v>20</v>
      </c>
      <c r="O9" s="153"/>
      <c r="P9" s="173" t="s">
        <v>544</v>
      </c>
      <c r="Q9" s="154"/>
      <c r="R9" s="154"/>
      <c r="S9" s="154"/>
      <c r="T9" s="154"/>
      <c r="U9" s="154"/>
      <c r="V9" s="154"/>
      <c r="W9" s="154"/>
      <c r="X9" s="154"/>
      <c r="Y9" s="174">
        <v>20</v>
      </c>
    </row>
    <row r="10" spans="1:25" x14ac:dyDescent="0.3">
      <c r="A10" s="153" t="s">
        <v>486</v>
      </c>
      <c r="B10" s="153" t="s">
        <v>485</v>
      </c>
      <c r="C10" s="153" t="s">
        <v>478</v>
      </c>
      <c r="D10" s="153" t="s">
        <v>508</v>
      </c>
      <c r="E10" s="153" t="s">
        <v>487</v>
      </c>
      <c r="F10" s="153">
        <v>1</v>
      </c>
      <c r="G10" s="153" t="s">
        <v>394</v>
      </c>
      <c r="H10" s="153" t="s">
        <v>391</v>
      </c>
      <c r="I10" s="153"/>
      <c r="J10" s="153" t="s">
        <v>488</v>
      </c>
      <c r="K10" s="153" t="s">
        <v>487</v>
      </c>
      <c r="L10" s="153" t="s">
        <v>481</v>
      </c>
      <c r="M10" s="153" t="s">
        <v>393</v>
      </c>
      <c r="N10" s="153">
        <v>50</v>
      </c>
      <c r="O10" s="153"/>
      <c r="P10" s="173" t="s">
        <v>553</v>
      </c>
      <c r="Q10" s="154"/>
      <c r="R10" s="154"/>
      <c r="S10" s="154"/>
      <c r="T10" s="154"/>
      <c r="U10" s="154">
        <v>9</v>
      </c>
      <c r="V10" s="154">
        <v>28</v>
      </c>
      <c r="W10" s="154">
        <v>13</v>
      </c>
      <c r="X10" s="154"/>
      <c r="Y10" s="111">
        <v>0</v>
      </c>
    </row>
    <row r="11" spans="1:25" x14ac:dyDescent="0.3">
      <c r="A11" s="153"/>
      <c r="B11" s="153" t="s">
        <v>389</v>
      </c>
      <c r="C11" s="153" t="s">
        <v>396</v>
      </c>
      <c r="D11" s="153" t="s">
        <v>508</v>
      </c>
      <c r="E11" s="153" t="s">
        <v>487</v>
      </c>
      <c r="F11" s="153">
        <v>1</v>
      </c>
      <c r="G11" s="153" t="s">
        <v>390</v>
      </c>
      <c r="H11" s="153" t="s">
        <v>391</v>
      </c>
      <c r="I11" s="153"/>
      <c r="J11" s="153" t="s">
        <v>488</v>
      </c>
      <c r="K11" s="153" t="s">
        <v>487</v>
      </c>
      <c r="L11" s="153" t="s">
        <v>481</v>
      </c>
      <c r="M11" s="153" t="s">
        <v>393</v>
      </c>
      <c r="N11" s="153">
        <v>30</v>
      </c>
      <c r="O11" s="153"/>
      <c r="P11" s="173" t="s">
        <v>536</v>
      </c>
      <c r="Q11" s="154"/>
      <c r="R11" s="154"/>
      <c r="S11" s="154"/>
      <c r="T11" s="154"/>
      <c r="U11" s="154"/>
      <c r="V11" s="154"/>
      <c r="W11" s="154"/>
      <c r="X11" s="154">
        <v>16</v>
      </c>
      <c r="Y11" s="174">
        <v>14</v>
      </c>
    </row>
    <row r="12" spans="1:25" x14ac:dyDescent="0.3">
      <c r="A12" s="153"/>
      <c r="B12" s="153" t="s">
        <v>485</v>
      </c>
      <c r="C12" s="153" t="s">
        <v>478</v>
      </c>
      <c r="D12" s="153" t="s">
        <v>508</v>
      </c>
      <c r="E12" s="153" t="s">
        <v>487</v>
      </c>
      <c r="F12" s="153">
        <v>1</v>
      </c>
      <c r="G12" s="153" t="s">
        <v>411</v>
      </c>
      <c r="H12" s="153" t="s">
        <v>391</v>
      </c>
      <c r="I12" s="153"/>
      <c r="J12" s="153" t="s">
        <v>488</v>
      </c>
      <c r="K12" s="153" t="s">
        <v>487</v>
      </c>
      <c r="L12" s="153" t="s">
        <v>481</v>
      </c>
      <c r="M12" s="153" t="s">
        <v>393</v>
      </c>
      <c r="N12" s="153">
        <v>30</v>
      </c>
      <c r="O12" s="153"/>
      <c r="P12" s="173" t="s">
        <v>544</v>
      </c>
      <c r="Q12" s="154"/>
      <c r="R12" s="154"/>
      <c r="S12" s="154"/>
      <c r="T12" s="154"/>
      <c r="U12" s="154"/>
      <c r="V12" s="154"/>
      <c r="W12" s="154"/>
      <c r="X12" s="154"/>
      <c r="Y12" s="174">
        <v>30</v>
      </c>
    </row>
    <row r="13" spans="1:25" x14ac:dyDescent="0.3">
      <c r="A13" s="153" t="s">
        <v>486</v>
      </c>
      <c r="B13" s="153" t="s">
        <v>485</v>
      </c>
      <c r="C13" s="153" t="s">
        <v>478</v>
      </c>
      <c r="D13" s="153" t="s">
        <v>508</v>
      </c>
      <c r="E13" s="153" t="s">
        <v>487</v>
      </c>
      <c r="F13" s="153">
        <v>1</v>
      </c>
      <c r="G13" s="153" t="s">
        <v>394</v>
      </c>
      <c r="H13" s="153" t="s">
        <v>391</v>
      </c>
      <c r="I13" s="153"/>
      <c r="J13" s="153" t="s">
        <v>488</v>
      </c>
      <c r="K13" s="153" t="s">
        <v>487</v>
      </c>
      <c r="L13" s="153" t="s">
        <v>481</v>
      </c>
      <c r="M13" s="153" t="s">
        <v>393</v>
      </c>
      <c r="N13" s="153">
        <v>50</v>
      </c>
      <c r="O13" s="153"/>
      <c r="P13" s="173" t="s">
        <v>553</v>
      </c>
      <c r="Q13" s="154"/>
      <c r="R13" s="154"/>
      <c r="S13" s="154"/>
      <c r="T13" s="154"/>
      <c r="U13" s="154">
        <v>8</v>
      </c>
      <c r="V13" s="154">
        <v>8</v>
      </c>
      <c r="W13" s="154">
        <v>7</v>
      </c>
      <c r="X13" s="154"/>
      <c r="Y13" s="174">
        <v>27</v>
      </c>
    </row>
    <row r="14" spans="1:25" x14ac:dyDescent="0.3">
      <c r="A14" s="153"/>
      <c r="B14" s="153" t="s">
        <v>389</v>
      </c>
      <c r="C14" s="153" t="s">
        <v>396</v>
      </c>
      <c r="D14" s="153" t="s">
        <v>508</v>
      </c>
      <c r="E14" s="153" t="s">
        <v>487</v>
      </c>
      <c r="F14" s="153">
        <v>1</v>
      </c>
      <c r="G14" s="153" t="s">
        <v>390</v>
      </c>
      <c r="H14" s="153" t="s">
        <v>391</v>
      </c>
      <c r="I14" s="153"/>
      <c r="J14" s="153" t="s">
        <v>488</v>
      </c>
      <c r="K14" s="153" t="s">
        <v>487</v>
      </c>
      <c r="L14" s="153" t="s">
        <v>481</v>
      </c>
      <c r="M14" s="153" t="s">
        <v>393</v>
      </c>
      <c r="N14" s="153">
        <v>30</v>
      </c>
      <c r="O14" s="153"/>
      <c r="P14" s="173" t="s">
        <v>536</v>
      </c>
      <c r="Q14" s="154"/>
      <c r="R14" s="154"/>
      <c r="S14" s="154"/>
      <c r="T14" s="154"/>
      <c r="U14" s="154"/>
      <c r="V14" s="154"/>
      <c r="W14" s="154"/>
      <c r="X14" s="154"/>
      <c r="Y14" s="174">
        <v>30</v>
      </c>
    </row>
    <row r="15" spans="1:25" x14ac:dyDescent="0.3">
      <c r="A15" s="153"/>
      <c r="B15" s="153" t="s">
        <v>485</v>
      </c>
      <c r="C15" s="153" t="s">
        <v>478</v>
      </c>
      <c r="D15" s="153" t="s">
        <v>508</v>
      </c>
      <c r="E15" s="153" t="s">
        <v>487</v>
      </c>
      <c r="F15" s="153">
        <v>1</v>
      </c>
      <c r="G15" s="153" t="s">
        <v>411</v>
      </c>
      <c r="H15" s="153" t="s">
        <v>391</v>
      </c>
      <c r="I15" s="153"/>
      <c r="J15" s="153" t="s">
        <v>488</v>
      </c>
      <c r="K15" s="153" t="s">
        <v>487</v>
      </c>
      <c r="L15" s="153" t="s">
        <v>481</v>
      </c>
      <c r="M15" s="153" t="s">
        <v>393</v>
      </c>
      <c r="N15" s="153">
        <v>30</v>
      </c>
      <c r="O15" s="153"/>
      <c r="P15" s="173" t="s">
        <v>544</v>
      </c>
      <c r="Q15" s="154"/>
      <c r="R15" s="154"/>
      <c r="S15" s="154"/>
      <c r="T15" s="154"/>
      <c r="U15" s="154"/>
      <c r="V15" s="154"/>
      <c r="W15" s="154"/>
      <c r="X15" s="154"/>
      <c r="Y15" s="174">
        <v>30</v>
      </c>
    </row>
    <row r="16" spans="1:25" x14ac:dyDescent="0.3">
      <c r="A16" s="153" t="s">
        <v>395</v>
      </c>
      <c r="B16" s="153" t="s">
        <v>389</v>
      </c>
      <c r="C16" s="153" t="s">
        <v>396</v>
      </c>
      <c r="D16" s="153" t="s">
        <v>508</v>
      </c>
      <c r="E16" s="153" t="s">
        <v>397</v>
      </c>
      <c r="F16" s="153">
        <v>1</v>
      </c>
      <c r="G16" s="153" t="s">
        <v>390</v>
      </c>
      <c r="H16" s="153" t="s">
        <v>391</v>
      </c>
      <c r="I16" s="153" t="s">
        <v>535</v>
      </c>
      <c r="J16" s="153" t="s">
        <v>398</v>
      </c>
      <c r="K16" s="153" t="s">
        <v>397</v>
      </c>
      <c r="L16" s="153" t="s">
        <v>392</v>
      </c>
      <c r="M16" s="153" t="s">
        <v>399</v>
      </c>
      <c r="N16" s="153"/>
      <c r="O16" s="153">
        <v>74</v>
      </c>
      <c r="P16" s="173" t="s">
        <v>536</v>
      </c>
      <c r="Q16" s="154"/>
      <c r="R16" s="154"/>
      <c r="S16" s="154">
        <v>10</v>
      </c>
      <c r="T16" s="154">
        <v>22</v>
      </c>
      <c r="U16" s="154">
        <v>1</v>
      </c>
      <c r="V16" s="154"/>
      <c r="W16" s="154"/>
      <c r="X16" s="154"/>
      <c r="Y16" s="174">
        <v>41</v>
      </c>
    </row>
    <row r="17" spans="1:25" x14ac:dyDescent="0.3">
      <c r="A17" s="153"/>
      <c r="B17" s="153"/>
      <c r="C17" s="153" t="s">
        <v>396</v>
      </c>
      <c r="D17" s="153" t="s">
        <v>508</v>
      </c>
      <c r="E17" s="153" t="s">
        <v>397</v>
      </c>
      <c r="F17" s="153">
        <v>1</v>
      </c>
      <c r="G17" s="153" t="s">
        <v>558</v>
      </c>
      <c r="H17" s="153" t="s">
        <v>419</v>
      </c>
      <c r="I17" s="153" t="s">
        <v>430</v>
      </c>
      <c r="J17" s="153" t="s">
        <v>398</v>
      </c>
      <c r="K17" s="153" t="s">
        <v>397</v>
      </c>
      <c r="L17" s="153" t="s">
        <v>392</v>
      </c>
      <c r="M17" s="153" t="s">
        <v>399</v>
      </c>
      <c r="N17" s="153"/>
      <c r="O17" s="153">
        <v>30</v>
      </c>
      <c r="P17" s="173" t="s">
        <v>536</v>
      </c>
      <c r="Q17" s="154">
        <v>1</v>
      </c>
      <c r="R17" s="154">
        <v>2</v>
      </c>
      <c r="S17" s="154"/>
      <c r="T17" s="154"/>
      <c r="U17" s="154"/>
      <c r="V17" s="154"/>
      <c r="W17" s="154"/>
      <c r="X17" s="154"/>
      <c r="Y17" s="174">
        <v>27</v>
      </c>
    </row>
    <row r="18" spans="1:25" ht="15" thickBot="1" x14ac:dyDescent="0.35">
      <c r="A18" s="153"/>
      <c r="B18" s="153"/>
      <c r="C18" s="153" t="s">
        <v>396</v>
      </c>
      <c r="D18" s="153" t="s">
        <v>508</v>
      </c>
      <c r="E18" s="153" t="s">
        <v>397</v>
      </c>
      <c r="F18" s="153">
        <v>1</v>
      </c>
      <c r="G18" s="153" t="s">
        <v>390</v>
      </c>
      <c r="H18" s="153" t="s">
        <v>391</v>
      </c>
      <c r="I18" s="153" t="s">
        <v>430</v>
      </c>
      <c r="J18" s="153" t="s">
        <v>398</v>
      </c>
      <c r="K18" s="153" t="s">
        <v>397</v>
      </c>
      <c r="L18" s="153" t="s">
        <v>392</v>
      </c>
      <c r="M18" s="153" t="s">
        <v>399</v>
      </c>
      <c r="N18" s="153"/>
      <c r="O18" s="153">
        <v>30</v>
      </c>
      <c r="P18" s="173" t="s">
        <v>536</v>
      </c>
      <c r="Q18" s="154"/>
      <c r="R18" s="154"/>
      <c r="S18" s="154"/>
      <c r="T18" s="154"/>
      <c r="U18" s="154"/>
      <c r="V18" s="154"/>
      <c r="W18" s="154"/>
      <c r="X18" s="154"/>
      <c r="Y18" s="174">
        <v>30</v>
      </c>
    </row>
    <row r="19" spans="1:25" ht="15" thickBot="1" x14ac:dyDescent="0.35">
      <c r="A19" s="175" t="s">
        <v>407</v>
      </c>
      <c r="B19" s="17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>
        <v>335</v>
      </c>
      <c r="O19" s="175">
        <v>134</v>
      </c>
      <c r="P19" s="176"/>
      <c r="Q19" s="177">
        <v>1</v>
      </c>
      <c r="R19" s="177">
        <v>2</v>
      </c>
      <c r="S19" s="177">
        <v>10</v>
      </c>
      <c r="T19" s="177">
        <v>22</v>
      </c>
      <c r="U19" s="177">
        <v>22</v>
      </c>
      <c r="V19" s="177">
        <v>50</v>
      </c>
      <c r="W19" s="177">
        <v>25</v>
      </c>
      <c r="X19" s="177">
        <v>18</v>
      </c>
      <c r="Y19" s="178">
        <v>319</v>
      </c>
    </row>
    <row r="20" spans="1:25" x14ac:dyDescent="0.3">
      <c r="A20" s="179"/>
      <c r="B20" s="179"/>
      <c r="C20" s="179"/>
      <c r="D20" s="179"/>
      <c r="E20" s="179"/>
      <c r="F20" s="179"/>
      <c r="G20" s="179"/>
      <c r="H20" s="179"/>
      <c r="I20" s="179"/>
      <c r="J20" s="179"/>
      <c r="K20" s="179"/>
      <c r="L20" s="179"/>
      <c r="M20" s="179"/>
      <c r="N20" s="179"/>
      <c r="O20" s="179"/>
      <c r="P20" s="179"/>
      <c r="Q20" s="179"/>
      <c r="R20" s="179"/>
      <c r="S20" s="179"/>
      <c r="T20" s="179"/>
      <c r="U20" s="179"/>
      <c r="V20" s="179"/>
      <c r="W20" s="179"/>
      <c r="X20" s="179"/>
      <c r="Y20" s="179"/>
    </row>
  </sheetData>
  <pageMargins left="0.7" right="0.7" top="0.75" bottom="0.75" header="0.3" footer="0.3"/>
  <pageSetup paperSize="9" scale="68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E436C-9D2B-4584-A088-C5A68CD7F889}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customUI/customUI14.xml><?xml version="1.0" encoding="utf-8"?>
<customUI xmlns="http://schemas.microsoft.com/office/2009/07/customui" onLoad="RibbonOnLoad">
  <ribbon>
    <tabs>
      <tab id="customTab" label="📊 Pakplan Vordering Tools" insertAfterMso="TabHome">
        <group id="grpDevTools" label="Developer Tools">
          <control idMso="VisualBasic" size="large"/>
          <button id="btnCalcAuto" label="Auto Calculate" onAction="SetCalcAuto" imageMso="CalculateNow" screentip="Auto Calculate" supertip="Switches Excel back to automatic calculation mode. The Main Actions below switch to manual calculation while they run, for speed."/>
          <control idMso="FormatPainter"/>
          <control idMso="CellFillColorPicker"/>
        </group>
        <group id="grpActions" label="Main Actions">
          <button id="btnSetup" label="Setup" onAction="Setup_Stuff_R" imageMso="HeaderSourceEdit" size="large" screentip="Setup" supertip="Builds the Vordering progress sheet from scratch using the Pakplan sheet. Run this once per new Pakplan Vordering file."/>
          <button id="btnUpdate" label="Update Data" onAction="Update_Stuff_R" imageMso="RefreshAll" size="large" screentip="Update Data" supertip="Refreshes pallet intake and dispatch data from the SQL database and recalculates all values in Vordering."/>
          <button id="btnInput" label="Refresh Values" onAction="Input_Stuff_R" imageMso="AdpDiagramRecalculatePageBreaks" size="large" screentip="Refresh Values" supertip="Rewrites the COUNTIFS formulas in Vordering without pulling new data from SQL. Use this if values look wrong but the data itself hasn't changed."/>
          <button id="btnSummary" label="Update Summary" onAction="Short_Stuff_R" imageMso="GroupMoveData" size="large" screentip="Update Summary" supertip="Builds or refreshes the Opsomming summary sheet from the current Vordering data."/>
          <button id="btnCharts" label="Update Charts" onAction="Chart_Stuff_R" imageMso="Chart3DPieChart" size="large" screentip="Update Charts" supertip="Builds or refreshes the pie charts on the Grafieke sheet."/>
          <button id="btnSend" label="Save/Send" onAction="Export_Stuff_R" imageMso="SendDefault" size="large" screentip="Save/Send" supertip="Saves a clean copy of the workbook and opens an email to send it."/>
        </group>
        <group id="grpFarmFilter" label="Farm Filter">
          <labelControl id="lblFarm" label="Select Farm Scope:"/>
          <dropDown id="ddFarmFilter" getSelectedItemID="GetDefaultFarmFilter" onAction="SetFarmFilter" screentip="Farm Scope" supertip="Choose which farms' pallets to include when Update Data pulls from SQL: Pure Mahela (own farms only), Non Mahela (other farms only), or All Farms.">
            <item id="Mahela" label="Pure Mahela"/>
            <item id="NonMahela" label="Non Mahela"/>
            <item id="All" label="All Farms"/>
          </dropDown>
        </group>
        <group id="grpToggle" label="Toggle Options">
          <toggleButton id="btnValenciaGroup" label="Group Valencias" getPressed="GetValenciaGroupingState" onAction="ToggleValenciaGrouping" imageMso="OutlineGroupMenu" size="large" screentip="Group Valencias" supertip="When on, groups the DEL/APV/MKN/GSV varieties together as VAL. When off, keeps each variety separate."/>
          <toggleButton id="btnWeekGroup" label="Current Week" getPressed="GetWeekGroupingState" onAction="ToggleWeekGrouping" imageMso="DateAndTimeInsert" size="large" screentip="Current Week" supertip="When on, automatically uses today's Pick Reference. Turn off to manually enter a Pick Reference range in the boxes to the right."/>
        </group>
        <group id="grpPickRefs" label="Pick References">
          <editBox id="ebPickRef1" label="Pick Ref 1" onChange="SetPickRef1" getText="GetPickRef1" screentip="Pick Ref 1" supertip="Manual start Pick Reference for the data pull. Only used when Current Week is off."/>
          <editBox id="ebPickRef2" label="Pick Ref 2" onChange="SetPickRef2" getText="GetPickRef2" screentip="Pick Ref 2" supertip="Manual end Pick Reference for the data pull. Only used when Current Week is off."/>
          <labelControl id="lblPickRef" label="(Deselect Current Week to use)"/>
        </group>
        <group id="grpStatus" label="Status">
          <labelControl id="lblLastUpdated" getLabel="GetLastUpdatedLabel"/>
          <labelControl id="lblLastSent" getLabel="GetLastSentLabel"/>
        </group>
        <group id="grpVersion" label="Version">
          <button id="btnUpdateVersion" label="Check for Updates" onAction="Git_Update_R" imageMso="DatabaseLinedTableManager" size="large" screentip="Check for Updates" supertip="Checks GitHub for a newer version of the main code module and installs it if found."/>
          <labelControl id="lblVersion" getLabel="GetVersionLabel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4569C0-F3E6-4D51-9661-64E3BA13A8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Pakplan</vt:lpstr>
      <vt:lpstr>Data</vt:lpstr>
      <vt:lpstr>Agreement Codes</vt:lpstr>
      <vt:lpstr>Vordering</vt:lpstr>
      <vt:lpstr>Opsomming</vt:lpstr>
      <vt:lpstr>Grafieke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Smutsfield Packhouse Ohrigstad</dc:creator>
  <cp:lastModifiedBy>Logistiek Ohrigstad</cp:lastModifiedBy>
  <cp:lastPrinted>2026-09-18T14:09:23Z</cp:lastPrinted>
  <dcterms:created xsi:type="dcterms:W3CDTF">2024-02-27T12:12:19Z</dcterms:created>
  <dcterms:modified xsi:type="dcterms:W3CDTF">2026-09-22T14:08:33Z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armFilter">
    <vt:lpwstr>All</vt:lpwstr>
  </property>
  <property fmtid="{D5CDD505-2E9C-101B-9397-08002B2CF9AE}" pid="3" name="ValenciaGrouping">
    <vt:lpwstr>ON</vt:lpwstr>
  </property>
  <property fmtid="{D5CDD505-2E9C-101B-9397-08002B2CF9AE}" pid="4" name="WeekAutoMode">
    <vt:lpwstr>ON</vt:lpwstr>
  </property>
  <property fmtid="{D5CDD505-2E9C-101B-9397-08002B2CF9AE}" pid="5" name="PickRef2">
    <vt:lpwstr>9203</vt:lpwstr>
  </property>
  <property fmtid="{D5CDD505-2E9C-101B-9397-08002B2CF9AE}" pid="6" name="PickRef1">
    <vt:lpwstr>9103</vt:lpwstr>
  </property>
  <property fmtid="{D5CDD505-2E9C-101B-9397-08002B2CF9AE}" pid="7" name="LastUpdated">
    <vt:lpwstr>Last Updated: 22/09/2026 13:22:05</vt:lpwstr>
  </property>
</Properties>
</file>