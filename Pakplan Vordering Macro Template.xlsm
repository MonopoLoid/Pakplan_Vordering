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56183D19-4FB4-409B-B5FE-66E4D8CB1527}" xr6:coauthVersionLast="47" xr6:coauthVersionMax="47" xr10:uidLastSave="{00000000-0000-0000-0000-000000000000}"/>
  <bookViews>
    <workbookView xWindow="-108" yWindow="-108" windowWidth="23256" windowHeight="12456" activeTab="3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Data!$A$1:$R$264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05" i="29" l="1"/>
  <c r="W105" i="29"/>
  <c r="V105" i="29"/>
  <c r="U105" i="29"/>
  <c r="U103" i="29" s="1"/>
  <c r="U102" i="29" s="1"/>
  <c r="T105" i="29"/>
  <c r="T103" i="29" s="1"/>
  <c r="S105" i="29"/>
  <c r="S103" i="29" s="1"/>
  <c r="R105" i="29"/>
  <c r="R103" i="29" s="1"/>
  <c r="Q105" i="29"/>
  <c r="X103" i="29"/>
  <c r="W103" i="29"/>
  <c r="V103" i="29"/>
  <c r="Q103" i="29"/>
  <c r="X99" i="29"/>
  <c r="X97" i="29" s="1"/>
  <c r="W99" i="29"/>
  <c r="W97" i="29" s="1"/>
  <c r="V99" i="29"/>
  <c r="V97" i="29" s="1"/>
  <c r="V96" i="29" s="1"/>
  <c r="U99" i="29"/>
  <c r="T99" i="29"/>
  <c r="S99" i="29"/>
  <c r="S97" i="29" s="1"/>
  <c r="R99" i="29"/>
  <c r="R97" i="29" s="1"/>
  <c r="Q99" i="29"/>
  <c r="Q97" i="29" s="1"/>
  <c r="U97" i="29"/>
  <c r="T97" i="29"/>
  <c r="X93" i="29"/>
  <c r="W93" i="29"/>
  <c r="W91" i="29" s="1"/>
  <c r="V93" i="29"/>
  <c r="V91" i="29" s="1"/>
  <c r="U93" i="29"/>
  <c r="U91" i="29" s="1"/>
  <c r="T93" i="29"/>
  <c r="S93" i="29"/>
  <c r="R93" i="29"/>
  <c r="Q93" i="29"/>
  <c r="X91" i="29"/>
  <c r="T91" i="29"/>
  <c r="S91" i="29"/>
  <c r="R91" i="29"/>
  <c r="Q91" i="29"/>
  <c r="X87" i="29"/>
  <c r="U87" i="29"/>
  <c r="T87" i="29"/>
  <c r="T85" i="29" s="1"/>
  <c r="S87" i="29"/>
  <c r="S85" i="29" s="1"/>
  <c r="R87" i="29"/>
  <c r="R85" i="29" s="1"/>
  <c r="Q87" i="29"/>
  <c r="X85" i="29"/>
  <c r="U85" i="29"/>
  <c r="U84" i="29" s="1"/>
  <c r="Q85" i="29"/>
  <c r="U81" i="29"/>
  <c r="T81" i="29"/>
  <c r="S81" i="29"/>
  <c r="S79" i="29" s="1"/>
  <c r="R81" i="29"/>
  <c r="R79" i="29" s="1"/>
  <c r="Q81" i="29"/>
  <c r="Q79" i="29" s="1"/>
  <c r="U79" i="29"/>
  <c r="T79" i="29"/>
  <c r="T78" i="29" s="1"/>
  <c r="X75" i="29"/>
  <c r="T75" i="29"/>
  <c r="S75" i="29"/>
  <c r="R75" i="29"/>
  <c r="Q75" i="29"/>
  <c r="X73" i="29"/>
  <c r="T73" i="29"/>
  <c r="S73" i="29"/>
  <c r="S72" i="29" s="1"/>
  <c r="R73" i="29"/>
  <c r="Q73" i="29"/>
  <c r="Q72" i="29" s="1"/>
  <c r="X69" i="29"/>
  <c r="W69" i="29"/>
  <c r="W87" i="29" s="1"/>
  <c r="W85" i="29" s="1"/>
  <c r="V69" i="29"/>
  <c r="V87" i="29" s="1"/>
  <c r="V85" i="29" s="1"/>
  <c r="U69" i="29"/>
  <c r="T69" i="29"/>
  <c r="T67" i="29" s="1"/>
  <c r="S69" i="29"/>
  <c r="S67" i="29" s="1"/>
  <c r="R69" i="29"/>
  <c r="R67" i="29" s="1"/>
  <c r="Q69" i="29"/>
  <c r="X67" i="29"/>
  <c r="W67" i="29"/>
  <c r="V67" i="29"/>
  <c r="U67" i="29"/>
  <c r="Q67" i="29"/>
  <c r="X63" i="29"/>
  <c r="W63" i="29"/>
  <c r="V63" i="29"/>
  <c r="U63" i="29"/>
  <c r="T63" i="29"/>
  <c r="S63" i="29"/>
  <c r="S61" i="29" s="1"/>
  <c r="S60" i="29" s="1"/>
  <c r="R63" i="29"/>
  <c r="R61" i="29" s="1"/>
  <c r="Q63" i="29"/>
  <c r="Q61" i="29" s="1"/>
  <c r="U61" i="29"/>
  <c r="T61" i="29"/>
  <c r="X57" i="29"/>
  <c r="W57" i="29"/>
  <c r="V57" i="29"/>
  <c r="V75" i="29" s="1"/>
  <c r="U57" i="29"/>
  <c r="U75" i="29" s="1"/>
  <c r="T57" i="29"/>
  <c r="S57" i="29"/>
  <c r="R57" i="29"/>
  <c r="Q57" i="29"/>
  <c r="X55" i="29"/>
  <c r="T55" i="29"/>
  <c r="S55" i="29"/>
  <c r="R55" i="29"/>
  <c r="Q55" i="29"/>
  <c r="Q54" i="29" s="1"/>
  <c r="X51" i="29"/>
  <c r="X49" i="29" s="1"/>
  <c r="W51" i="29"/>
  <c r="V51" i="29"/>
  <c r="U51" i="29"/>
  <c r="T51" i="29"/>
  <c r="T49" i="29" s="1"/>
  <c r="S51" i="29"/>
  <c r="S49" i="29" s="1"/>
  <c r="R51" i="29"/>
  <c r="R49" i="29" s="1"/>
  <c r="Q51" i="29"/>
  <c r="W49" i="29"/>
  <c r="V49" i="29"/>
  <c r="U49" i="29"/>
  <c r="Q49" i="29"/>
  <c r="X45" i="29"/>
  <c r="X43" i="29" s="1"/>
  <c r="W45" i="29"/>
  <c r="W43" i="29" s="1"/>
  <c r="V45" i="29"/>
  <c r="V43" i="29" s="1"/>
  <c r="U45" i="29"/>
  <c r="T45" i="29"/>
  <c r="S45" i="29"/>
  <c r="S43" i="29" s="1"/>
  <c r="R45" i="29"/>
  <c r="R43" i="29" s="1"/>
  <c r="Q45" i="29"/>
  <c r="Q43" i="29" s="1"/>
  <c r="Q42" i="29" s="1"/>
  <c r="Q44" i="29" s="1"/>
  <c r="U43" i="29"/>
  <c r="T43" i="29"/>
  <c r="X39" i="29"/>
  <c r="W39" i="29"/>
  <c r="W37" i="29" s="1"/>
  <c r="V39" i="29"/>
  <c r="V37" i="29" s="1"/>
  <c r="U39" i="29"/>
  <c r="U37" i="29" s="1"/>
  <c r="T39" i="29"/>
  <c r="T37" i="29" s="1"/>
  <c r="T36" i="29" s="1"/>
  <c r="T38" i="29" s="1"/>
  <c r="S39" i="29"/>
  <c r="R39" i="29"/>
  <c r="Q39" i="29"/>
  <c r="X37" i="29"/>
  <c r="X36" i="29" s="1"/>
  <c r="X38" i="29" s="1"/>
  <c r="S37" i="29"/>
  <c r="R37" i="29"/>
  <c r="Q37" i="29"/>
  <c r="X33" i="29"/>
  <c r="X31" i="29" s="1"/>
  <c r="W33" i="29"/>
  <c r="V33" i="29"/>
  <c r="U33" i="29"/>
  <c r="T33" i="29"/>
  <c r="T31" i="29" s="1"/>
  <c r="S33" i="29"/>
  <c r="S31" i="29" s="1"/>
  <c r="S30" i="29" s="1"/>
  <c r="S32" i="29" s="1"/>
  <c r="R33" i="29"/>
  <c r="R31" i="29" s="1"/>
  <c r="Q33" i="29"/>
  <c r="W31" i="29"/>
  <c r="W30" i="29" s="1"/>
  <c r="W32" i="29" s="1"/>
  <c r="V31" i="29"/>
  <c r="U31" i="29"/>
  <c r="Q31" i="29"/>
  <c r="X27" i="29"/>
  <c r="X25" i="29" s="1"/>
  <c r="W27" i="29"/>
  <c r="W25" i="29" s="1"/>
  <c r="V27" i="29"/>
  <c r="V25" i="29" s="1"/>
  <c r="U27" i="29"/>
  <c r="T27" i="29"/>
  <c r="S27" i="29"/>
  <c r="S25" i="29" s="1"/>
  <c r="R27" i="29"/>
  <c r="R25" i="29" s="1"/>
  <c r="R24" i="29" s="1"/>
  <c r="R26" i="29" s="1"/>
  <c r="Q27" i="29"/>
  <c r="Q25" i="29" s="1"/>
  <c r="U25" i="29"/>
  <c r="T25" i="29"/>
  <c r="X21" i="29"/>
  <c r="X19" i="29" s="1"/>
  <c r="W21" i="29"/>
  <c r="W19" i="29" s="1"/>
  <c r="V21" i="29"/>
  <c r="V19" i="29" s="1"/>
  <c r="U21" i="29"/>
  <c r="U19" i="29" s="1"/>
  <c r="T21" i="29"/>
  <c r="T19" i="29" s="1"/>
  <c r="S21" i="29"/>
  <c r="R21" i="29"/>
  <c r="Q21" i="29"/>
  <c r="S19" i="29"/>
  <c r="S18" i="29" s="1"/>
  <c r="R19" i="29"/>
  <c r="Q19" i="29"/>
  <c r="X15" i="29"/>
  <c r="X13" i="29" s="1"/>
  <c r="W15" i="29"/>
  <c r="V15" i="29"/>
  <c r="U15" i="29"/>
  <c r="T15" i="29"/>
  <c r="T13" i="29" s="1"/>
  <c r="S15" i="29"/>
  <c r="S13" i="29" s="1"/>
  <c r="S12" i="29" s="1"/>
  <c r="R15" i="29"/>
  <c r="R13" i="29" s="1"/>
  <c r="Q15" i="29"/>
  <c r="W13" i="29"/>
  <c r="W12" i="29" s="1"/>
  <c r="V13" i="29"/>
  <c r="U13" i="29"/>
  <c r="Q13" i="29"/>
  <c r="X9" i="29"/>
  <c r="X7" i="29" s="1"/>
  <c r="W9" i="29"/>
  <c r="W7" i="29" s="1"/>
  <c r="V9" i="29"/>
  <c r="V7" i="29" s="1"/>
  <c r="U9" i="29"/>
  <c r="T9" i="29"/>
  <c r="S9" i="29"/>
  <c r="S7" i="29" s="1"/>
  <c r="R9" i="29"/>
  <c r="R7" i="29" s="1"/>
  <c r="Q9" i="29"/>
  <c r="Q7" i="29" s="1"/>
  <c r="U7" i="29"/>
  <c r="T7" i="29"/>
  <c r="W102" i="29"/>
  <c r="T96" i="29"/>
  <c r="Q90" i="29"/>
  <c r="Q18" i="29"/>
  <c r="X101" i="29"/>
  <c r="W101" i="29"/>
  <c r="V101" i="29"/>
  <c r="U101" i="29"/>
  <c r="T101" i="29"/>
  <c r="S101" i="29"/>
  <c r="R101" i="29"/>
  <c r="Q101" i="29"/>
  <c r="P101" i="29" s="1"/>
  <c r="U100" i="29"/>
  <c r="T100" i="29"/>
  <c r="Y100" i="29" s="1"/>
  <c r="O100" i="29" s="1"/>
  <c r="X95" i="29"/>
  <c r="W95" i="29"/>
  <c r="V95" i="29"/>
  <c r="U95" i="29"/>
  <c r="T95" i="29"/>
  <c r="Q95" i="29"/>
  <c r="S94" i="29"/>
  <c r="S95" i="29" s="1"/>
  <c r="R94" i="29"/>
  <c r="R95" i="29" s="1"/>
  <c r="Q94" i="29"/>
  <c r="X89" i="29"/>
  <c r="W89" i="29"/>
  <c r="V89" i="29"/>
  <c r="T89" i="29"/>
  <c r="R89" i="29"/>
  <c r="Q89" i="29"/>
  <c r="U88" i="29"/>
  <c r="U89" i="29" s="1"/>
  <c r="T88" i="29"/>
  <c r="S88" i="29"/>
  <c r="S89" i="29" s="1"/>
  <c r="X83" i="29"/>
  <c r="W83" i="29"/>
  <c r="V83" i="29"/>
  <c r="U83" i="29"/>
  <c r="T83" i="29"/>
  <c r="S83" i="29"/>
  <c r="R83" i="29"/>
  <c r="Q83" i="29"/>
  <c r="Y82" i="29"/>
  <c r="N82" i="29" s="1"/>
  <c r="W82" i="29"/>
  <c r="V82" i="29"/>
  <c r="V77" i="29"/>
  <c r="U77" i="29"/>
  <c r="T77" i="29"/>
  <c r="S77" i="29"/>
  <c r="R77" i="29"/>
  <c r="Q77" i="29"/>
  <c r="P77" i="29" s="1"/>
  <c r="X76" i="29"/>
  <c r="X77" i="29" s="1"/>
  <c r="W76" i="29"/>
  <c r="W77" i="29" s="1"/>
  <c r="V76" i="29"/>
  <c r="Y76" i="29" s="1"/>
  <c r="N76" i="29" s="1"/>
  <c r="X71" i="29"/>
  <c r="V71" i="29"/>
  <c r="T71" i="29"/>
  <c r="S71" i="29"/>
  <c r="R71" i="29"/>
  <c r="Q71" i="29"/>
  <c r="W70" i="29"/>
  <c r="W71" i="29" s="1"/>
  <c r="V70" i="29"/>
  <c r="U70" i="29"/>
  <c r="Y70" i="29" s="1"/>
  <c r="N70" i="29" s="1"/>
  <c r="X65" i="29"/>
  <c r="W65" i="29"/>
  <c r="U65" i="29"/>
  <c r="T65" i="29"/>
  <c r="S65" i="29"/>
  <c r="R65" i="29"/>
  <c r="Q65" i="29"/>
  <c r="Y64" i="29"/>
  <c r="N64" i="29" s="1"/>
  <c r="W64" i="29"/>
  <c r="V64" i="29"/>
  <c r="V65" i="29" s="1"/>
  <c r="X59" i="29"/>
  <c r="V59" i="29"/>
  <c r="U59" i="29"/>
  <c r="T59" i="29"/>
  <c r="S59" i="29"/>
  <c r="R59" i="29"/>
  <c r="P59" i="29" s="1"/>
  <c r="Q59" i="29"/>
  <c r="X58" i="29"/>
  <c r="W58" i="29"/>
  <c r="W59" i="29" s="1"/>
  <c r="V58" i="29"/>
  <c r="Y58" i="29" s="1"/>
  <c r="N58" i="29" s="1"/>
  <c r="X53" i="29"/>
  <c r="W53" i="29"/>
  <c r="V53" i="29"/>
  <c r="T53" i="29"/>
  <c r="S53" i="29"/>
  <c r="P53" i="29" s="1"/>
  <c r="R53" i="29"/>
  <c r="Q53" i="29"/>
  <c r="Y52" i="29"/>
  <c r="N52" i="29" s="1"/>
  <c r="W52" i="29"/>
  <c r="V52" i="29"/>
  <c r="U52" i="29"/>
  <c r="U53" i="29" s="1"/>
  <c r="U47" i="29"/>
  <c r="T47" i="29"/>
  <c r="S47" i="29"/>
  <c r="R47" i="29"/>
  <c r="Q47" i="29"/>
  <c r="P47" i="29" s="1"/>
  <c r="X46" i="29"/>
  <c r="X47" i="29" s="1"/>
  <c r="W46" i="29"/>
  <c r="W47" i="29" s="1"/>
  <c r="V46" i="29"/>
  <c r="V47" i="29" s="1"/>
  <c r="X41" i="29"/>
  <c r="V41" i="29"/>
  <c r="U41" i="29"/>
  <c r="T41" i="29"/>
  <c r="S41" i="29"/>
  <c r="R41" i="29"/>
  <c r="Q41" i="29"/>
  <c r="W40" i="29"/>
  <c r="W41" i="29" s="1"/>
  <c r="V40" i="29"/>
  <c r="Y40" i="29" s="1"/>
  <c r="N40" i="29" s="1"/>
  <c r="X35" i="29"/>
  <c r="W35" i="29"/>
  <c r="V35" i="29"/>
  <c r="U35" i="29"/>
  <c r="T35" i="29"/>
  <c r="S35" i="29"/>
  <c r="R35" i="29"/>
  <c r="Q35" i="29"/>
  <c r="Y34" i="29"/>
  <c r="N34" i="29" s="1"/>
  <c r="W34" i="29"/>
  <c r="V34" i="29"/>
  <c r="X29" i="29"/>
  <c r="W29" i="29"/>
  <c r="V29" i="29"/>
  <c r="T29" i="29"/>
  <c r="S29" i="29"/>
  <c r="R29" i="29"/>
  <c r="P29" i="29" s="1"/>
  <c r="Q29" i="29"/>
  <c r="V28" i="29"/>
  <c r="U28" i="29"/>
  <c r="U29" i="29" s="1"/>
  <c r="W23" i="29"/>
  <c r="V23" i="29"/>
  <c r="U23" i="29"/>
  <c r="T23" i="29"/>
  <c r="S23" i="29"/>
  <c r="R23" i="29"/>
  <c r="Q23" i="29"/>
  <c r="X22" i="29"/>
  <c r="Y22" i="29" s="1"/>
  <c r="N22" i="29" s="1"/>
  <c r="W22" i="29"/>
  <c r="X17" i="29"/>
  <c r="U17" i="29"/>
  <c r="T17" i="29"/>
  <c r="S17" i="29"/>
  <c r="R17" i="29"/>
  <c r="Q17" i="29"/>
  <c r="X16" i="29"/>
  <c r="W16" i="29"/>
  <c r="W17" i="29" s="1"/>
  <c r="V16" i="29"/>
  <c r="Y16" i="29" s="1"/>
  <c r="N16" i="29" s="1"/>
  <c r="X11" i="29"/>
  <c r="W11" i="29"/>
  <c r="V11" i="29"/>
  <c r="U11" i="29"/>
  <c r="T11" i="29"/>
  <c r="S11" i="29"/>
  <c r="R11" i="29"/>
  <c r="Q11" i="29"/>
  <c r="Y10" i="29"/>
  <c r="W10" i="29"/>
  <c r="V10" i="29"/>
  <c r="N10" i="29"/>
  <c r="X5" i="29"/>
  <c r="W5" i="29"/>
  <c r="U5" i="29"/>
  <c r="T5" i="29"/>
  <c r="T107" i="29" s="1"/>
  <c r="S5" i="29"/>
  <c r="S107" i="29" s="1"/>
  <c r="R5" i="29"/>
  <c r="R107" i="29" s="1"/>
  <c r="Q5" i="29"/>
  <c r="X4" i="29"/>
  <c r="V4" i="29"/>
  <c r="V5" i="29" s="1"/>
  <c r="U49" i="13"/>
  <c r="T49" i="13"/>
  <c r="S48" i="13"/>
  <c r="R48" i="13"/>
  <c r="R53" i="13" s="1"/>
  <c r="Q48" i="13"/>
  <c r="U45" i="13"/>
  <c r="T45" i="13"/>
  <c r="S45" i="13"/>
  <c r="S53" i="13" s="1"/>
  <c r="W42" i="13"/>
  <c r="V42" i="13"/>
  <c r="Y42" i="13" s="1"/>
  <c r="N42" i="13" s="1"/>
  <c r="Y39" i="13"/>
  <c r="N39" i="13" s="1"/>
  <c r="X39" i="13"/>
  <c r="W39" i="13"/>
  <c r="V39" i="13"/>
  <c r="W36" i="13"/>
  <c r="V36" i="13"/>
  <c r="U36" i="13"/>
  <c r="Y36" i="13" s="1"/>
  <c r="N36" i="13" s="1"/>
  <c r="W33" i="13"/>
  <c r="V33" i="13"/>
  <c r="Y33" i="13" s="1"/>
  <c r="N33" i="13" s="1"/>
  <c r="X30" i="13"/>
  <c r="W30" i="13"/>
  <c r="Y30" i="13" s="1"/>
  <c r="N30" i="13" s="1"/>
  <c r="V30" i="13"/>
  <c r="Y27" i="13"/>
  <c r="N27" i="13" s="1"/>
  <c r="W27" i="13"/>
  <c r="V27" i="13"/>
  <c r="U27" i="13"/>
  <c r="Y25" i="13"/>
  <c r="N25" i="13" s="1"/>
  <c r="X25" i="13"/>
  <c r="W25" i="13"/>
  <c r="V25" i="13"/>
  <c r="W23" i="13"/>
  <c r="V23" i="13"/>
  <c r="Y23" i="13" s="1"/>
  <c r="N23" i="13" s="1"/>
  <c r="Y19" i="13"/>
  <c r="W19" i="13"/>
  <c r="V19" i="13"/>
  <c r="N19" i="13"/>
  <c r="Y15" i="13"/>
  <c r="N15" i="13" s="1"/>
  <c r="V15" i="13"/>
  <c r="U15" i="13"/>
  <c r="X12" i="13"/>
  <c r="W12" i="13"/>
  <c r="Y12" i="13" s="1"/>
  <c r="N12" i="13" s="1"/>
  <c r="X10" i="13"/>
  <c r="W10" i="13"/>
  <c r="V10" i="13"/>
  <c r="Y10" i="13" s="1"/>
  <c r="N10" i="13" s="1"/>
  <c r="W8" i="13"/>
  <c r="W53" i="13" s="1"/>
  <c r="V8" i="13"/>
  <c r="Y8" i="13" s="1"/>
  <c r="N8" i="13" s="1"/>
  <c r="X4" i="13"/>
  <c r="X53" i="13" s="1"/>
  <c r="V4" i="13"/>
  <c r="V53" i="13" s="1"/>
  <c r="U73" i="29" l="1"/>
  <c r="W75" i="29"/>
  <c r="W73" i="29" s="1"/>
  <c r="W72" i="29" s="1"/>
  <c r="V73" i="29"/>
  <c r="V72" i="29" s="1"/>
  <c r="V81" i="29"/>
  <c r="V79" i="29" s="1"/>
  <c r="V78" i="29" s="1"/>
  <c r="W81" i="29"/>
  <c r="W79" i="29" s="1"/>
  <c r="W78" i="29" s="1"/>
  <c r="X81" i="29"/>
  <c r="X79" i="29" s="1"/>
  <c r="R102" i="29"/>
  <c r="W84" i="29"/>
  <c r="U36" i="29"/>
  <c r="U38" i="29" s="1"/>
  <c r="T102" i="29"/>
  <c r="S102" i="29"/>
  <c r="R111" i="29"/>
  <c r="X96" i="29"/>
  <c r="W96" i="29"/>
  <c r="U96" i="29"/>
  <c r="X90" i="29"/>
  <c r="T90" i="29"/>
  <c r="X84" i="29"/>
  <c r="X86" i="29" s="1"/>
  <c r="T84" i="29"/>
  <c r="U78" i="29"/>
  <c r="X72" i="29"/>
  <c r="T72" i="29"/>
  <c r="X66" i="29"/>
  <c r="X68" i="29" s="1"/>
  <c r="P69" i="29"/>
  <c r="W66" i="29"/>
  <c r="V66" i="29"/>
  <c r="P67" i="29"/>
  <c r="R68" i="29" s="1"/>
  <c r="V60" i="29"/>
  <c r="T54" i="29"/>
  <c r="X54" i="29"/>
  <c r="S111" i="29"/>
  <c r="X48" i="29"/>
  <c r="X50" i="29" s="1"/>
  <c r="V48" i="29"/>
  <c r="V50" i="29" s="1"/>
  <c r="S42" i="29"/>
  <c r="S44" i="29" s="1"/>
  <c r="U42" i="29"/>
  <c r="U44" i="29" s="1"/>
  <c r="T42" i="29"/>
  <c r="T44" i="29" s="1"/>
  <c r="W36" i="29"/>
  <c r="W38" i="29" s="1"/>
  <c r="S24" i="29"/>
  <c r="S26" i="29" s="1"/>
  <c r="W24" i="29"/>
  <c r="W26" i="29" s="1"/>
  <c r="V24" i="29"/>
  <c r="V26" i="29" s="1"/>
  <c r="P25" i="29"/>
  <c r="P21" i="29"/>
  <c r="T18" i="29"/>
  <c r="R18" i="29"/>
  <c r="U12" i="29"/>
  <c r="T12" i="29"/>
  <c r="U6" i="29"/>
  <c r="R6" i="29"/>
  <c r="P31" i="29"/>
  <c r="P37" i="29"/>
  <c r="P61" i="29"/>
  <c r="Q62" i="29" s="1"/>
  <c r="P43" i="29"/>
  <c r="P99" i="29"/>
  <c r="P97" i="29"/>
  <c r="P105" i="29"/>
  <c r="P33" i="29"/>
  <c r="U30" i="29"/>
  <c r="U32" i="29" s="1"/>
  <c r="W60" i="29"/>
  <c r="R109" i="29"/>
  <c r="P15" i="29"/>
  <c r="P57" i="29"/>
  <c r="V90" i="29"/>
  <c r="S109" i="29"/>
  <c r="Q84" i="29"/>
  <c r="X60" i="29"/>
  <c r="X30" i="29"/>
  <c r="X32" i="29" s="1"/>
  <c r="P9" i="29"/>
  <c r="P13" i="29"/>
  <c r="P39" i="29"/>
  <c r="W48" i="29"/>
  <c r="W50" i="29" s="1"/>
  <c r="P63" i="29"/>
  <c r="Q111" i="29"/>
  <c r="T109" i="29"/>
  <c r="T111" i="29"/>
  <c r="P27" i="29"/>
  <c r="Q30" i="29"/>
  <c r="Q32" i="29" s="1"/>
  <c r="P45" i="29"/>
  <c r="Q60" i="29"/>
  <c r="P51" i="29"/>
  <c r="U111" i="29"/>
  <c r="U18" i="29"/>
  <c r="P93" i="29"/>
  <c r="U90" i="29"/>
  <c r="V12" i="29"/>
  <c r="V36" i="29"/>
  <c r="V38" i="29" s="1"/>
  <c r="R42" i="29"/>
  <c r="R44" i="29" s="1"/>
  <c r="W90" i="29"/>
  <c r="X12" i="29"/>
  <c r="T24" i="29"/>
  <c r="T26" i="29" s="1"/>
  <c r="R54" i="29"/>
  <c r="Q66" i="29"/>
  <c r="R96" i="29"/>
  <c r="Q6" i="29"/>
  <c r="U24" i="29"/>
  <c r="U26" i="29" s="1"/>
  <c r="S48" i="29"/>
  <c r="S50" i="29" s="1"/>
  <c r="R66" i="29"/>
  <c r="S96" i="29"/>
  <c r="V102" i="29"/>
  <c r="S90" i="29"/>
  <c r="W18" i="29"/>
  <c r="X18" i="29"/>
  <c r="Q36" i="29"/>
  <c r="Q38" i="29" s="1"/>
  <c r="T48" i="29"/>
  <c r="T50" i="29" s="1"/>
  <c r="S66" i="29"/>
  <c r="R72" i="29"/>
  <c r="R78" i="29"/>
  <c r="Q12" i="29"/>
  <c r="T30" i="29"/>
  <c r="T32" i="29" s="1"/>
  <c r="R36" i="29"/>
  <c r="R38" i="29" s="1"/>
  <c r="W42" i="29"/>
  <c r="W44" i="29" s="1"/>
  <c r="V42" i="29"/>
  <c r="V44" i="29" s="1"/>
  <c r="U48" i="29"/>
  <c r="U50" i="29" s="1"/>
  <c r="T60" i="29"/>
  <c r="T66" i="29"/>
  <c r="S78" i="29"/>
  <c r="R84" i="29"/>
  <c r="R12" i="29"/>
  <c r="V30" i="29"/>
  <c r="V32" i="29" s="1"/>
  <c r="S36" i="29"/>
  <c r="S38" i="29" s="1"/>
  <c r="X42" i="29"/>
  <c r="X44" i="29" s="1"/>
  <c r="W54" i="29"/>
  <c r="U60" i="29"/>
  <c r="U66" i="29"/>
  <c r="S84" i="29"/>
  <c r="X102" i="29"/>
  <c r="P89" i="29"/>
  <c r="P41" i="29"/>
  <c r="W107" i="29"/>
  <c r="P23" i="29"/>
  <c r="X107" i="29"/>
  <c r="Q24" i="29"/>
  <c r="P35" i="29"/>
  <c r="R60" i="29"/>
  <c r="Y94" i="29"/>
  <c r="O94" i="29" s="1"/>
  <c r="Q48" i="29"/>
  <c r="P5" i="29"/>
  <c r="S6" i="29"/>
  <c r="W6" i="29"/>
  <c r="Y28" i="29"/>
  <c r="N28" i="29" s="1"/>
  <c r="Y88" i="29"/>
  <c r="O88" i="29" s="1"/>
  <c r="P11" i="29"/>
  <c r="R30" i="29"/>
  <c r="R32" i="29" s="1"/>
  <c r="P65" i="29"/>
  <c r="R90" i="29"/>
  <c r="Y4" i="29"/>
  <c r="P95" i="29"/>
  <c r="U71" i="29"/>
  <c r="Q107" i="29"/>
  <c r="U107" i="29"/>
  <c r="X6" i="29"/>
  <c r="V17" i="29"/>
  <c r="V18" i="29" s="1"/>
  <c r="P83" i="29"/>
  <c r="Y46" i="29"/>
  <c r="N46" i="29" s="1"/>
  <c r="T6" i="29"/>
  <c r="S54" i="29"/>
  <c r="X23" i="29"/>
  <c r="X24" i="29" s="1"/>
  <c r="X26" i="29" s="1"/>
  <c r="P17" i="29"/>
  <c r="Y49" i="13"/>
  <c r="O49" i="13" s="1"/>
  <c r="U53" i="13"/>
  <c r="T53" i="13"/>
  <c r="Y48" i="13"/>
  <c r="O48" i="13" s="1"/>
  <c r="Y4" i="13"/>
  <c r="Y45" i="13"/>
  <c r="O45" i="13" s="1"/>
  <c r="Q53" i="13"/>
  <c r="V54" i="29" l="1"/>
  <c r="P44" i="29"/>
  <c r="P87" i="29"/>
  <c r="P38" i="29"/>
  <c r="W68" i="29"/>
  <c r="V111" i="29"/>
  <c r="Q68" i="29"/>
  <c r="T68" i="29"/>
  <c r="P85" i="29"/>
  <c r="V86" i="29" s="1"/>
  <c r="V84" i="29"/>
  <c r="P84" i="29" s="1"/>
  <c r="V68" i="29"/>
  <c r="S68" i="29"/>
  <c r="P66" i="29"/>
  <c r="V62" i="29"/>
  <c r="P60" i="29"/>
  <c r="P62" i="29" s="1"/>
  <c r="P18" i="29"/>
  <c r="P20" i="29" s="1"/>
  <c r="P12" i="29"/>
  <c r="P14" i="29" s="1"/>
  <c r="R62" i="29"/>
  <c r="S62" i="29"/>
  <c r="W62" i="29"/>
  <c r="V109" i="29"/>
  <c r="P73" i="29"/>
  <c r="Q96" i="29"/>
  <c r="P96" i="29" s="1"/>
  <c r="P98" i="29" s="1"/>
  <c r="X62" i="29"/>
  <c r="P32" i="29"/>
  <c r="U54" i="29"/>
  <c r="U56" i="29" s="1"/>
  <c r="P103" i="29"/>
  <c r="Q102" i="29"/>
  <c r="P102" i="29" s="1"/>
  <c r="P104" i="29" s="1"/>
  <c r="P42" i="29"/>
  <c r="U62" i="29"/>
  <c r="P30" i="29"/>
  <c r="P90" i="29"/>
  <c r="P92" i="29" s="1"/>
  <c r="T62" i="29"/>
  <c r="V6" i="29"/>
  <c r="V108" i="29" s="1"/>
  <c r="T108" i="29"/>
  <c r="U72" i="29"/>
  <c r="U74" i="29" s="1"/>
  <c r="P36" i="29"/>
  <c r="R48" i="29"/>
  <c r="R50" i="29" s="1"/>
  <c r="P49" i="29"/>
  <c r="W109" i="29"/>
  <c r="P79" i="29"/>
  <c r="X111" i="29"/>
  <c r="P81" i="29"/>
  <c r="P55" i="29"/>
  <c r="Q78" i="29"/>
  <c r="U109" i="29"/>
  <c r="P91" i="29"/>
  <c r="S92" i="29" s="1"/>
  <c r="W108" i="29"/>
  <c r="P7" i="29"/>
  <c r="U8" i="29" s="1"/>
  <c r="Q109" i="29"/>
  <c r="P19" i="29"/>
  <c r="Q20" i="29" s="1"/>
  <c r="W111" i="29"/>
  <c r="P75" i="29"/>
  <c r="R98" i="29"/>
  <c r="V98" i="29"/>
  <c r="R108" i="29"/>
  <c r="P71" i="29"/>
  <c r="W98" i="29"/>
  <c r="S98" i="29"/>
  <c r="N4" i="29"/>
  <c r="Y106" i="29"/>
  <c r="N106" i="29"/>
  <c r="W106" i="29"/>
  <c r="U106" i="29"/>
  <c r="S106" i="29"/>
  <c r="Q106" i="29"/>
  <c r="O106" i="29"/>
  <c r="X106" i="29"/>
  <c r="V106" i="29"/>
  <c r="T106" i="29"/>
  <c r="R106" i="29"/>
  <c r="Q14" i="29"/>
  <c r="U14" i="29"/>
  <c r="S14" i="29"/>
  <c r="W14" i="29"/>
  <c r="X20" i="29"/>
  <c r="V14" i="29"/>
  <c r="U68" i="29"/>
  <c r="Q86" i="29"/>
  <c r="U86" i="29"/>
  <c r="X14" i="29"/>
  <c r="V107" i="29"/>
  <c r="P107" i="29" s="1"/>
  <c r="R14" i="29"/>
  <c r="X98" i="29"/>
  <c r="P48" i="29"/>
  <c r="Q50" i="29"/>
  <c r="P50" i="29" s="1"/>
  <c r="U98" i="29"/>
  <c r="Q98" i="29"/>
  <c r="T98" i="29"/>
  <c r="T14" i="29"/>
  <c r="S108" i="29"/>
  <c r="P24" i="29"/>
  <c r="Q26" i="29"/>
  <c r="P26" i="29" s="1"/>
  <c r="O53" i="13"/>
  <c r="Y53" i="13"/>
  <c r="N4" i="13"/>
  <c r="N53" i="13" s="1"/>
  <c r="R20" i="29" l="1"/>
  <c r="U20" i="29"/>
  <c r="W20" i="29"/>
  <c r="W86" i="29"/>
  <c r="S86" i="29"/>
  <c r="Q108" i="29"/>
  <c r="X92" i="29"/>
  <c r="U92" i="29"/>
  <c r="W92" i="29"/>
  <c r="R86" i="29"/>
  <c r="T86" i="29"/>
  <c r="P68" i="29"/>
  <c r="U108" i="29"/>
  <c r="T20" i="29"/>
  <c r="S20" i="29"/>
  <c r="T8" i="29"/>
  <c r="V8" i="29"/>
  <c r="P6" i="29"/>
  <c r="P8" i="29" s="1"/>
  <c r="W8" i="29"/>
  <c r="Q8" i="29"/>
  <c r="R8" i="29"/>
  <c r="X8" i="29"/>
  <c r="S8" i="29"/>
  <c r="P111" i="29"/>
  <c r="P72" i="29"/>
  <c r="W80" i="29"/>
  <c r="X80" i="29"/>
  <c r="R80" i="29"/>
  <c r="V80" i="29"/>
  <c r="U80" i="29"/>
  <c r="S80" i="29"/>
  <c r="T80" i="29"/>
  <c r="Q80" i="29"/>
  <c r="V20" i="29"/>
  <c r="X56" i="29"/>
  <c r="T56" i="29"/>
  <c r="R56" i="29"/>
  <c r="V56" i="29"/>
  <c r="S56" i="29"/>
  <c r="Q56" i="29"/>
  <c r="W56" i="29"/>
  <c r="T92" i="29"/>
  <c r="V92" i="29"/>
  <c r="Q92" i="29"/>
  <c r="R92" i="29"/>
  <c r="V104" i="29"/>
  <c r="W104" i="29"/>
  <c r="S104" i="29"/>
  <c r="X104" i="29"/>
  <c r="Q104" i="29"/>
  <c r="T104" i="29"/>
  <c r="U104" i="29"/>
  <c r="R104" i="29"/>
  <c r="X109" i="29"/>
  <c r="P109" i="29" s="1"/>
  <c r="X78" i="29"/>
  <c r="X108" i="29" s="1"/>
  <c r="P54" i="29"/>
  <c r="Q74" i="29"/>
  <c r="S74" i="29"/>
  <c r="W74" i="29"/>
  <c r="X74" i="29"/>
  <c r="R74" i="29"/>
  <c r="T74" i="29"/>
  <c r="V74" i="29"/>
  <c r="AV31" i="25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  <c r="P86" i="29" l="1"/>
  <c r="U110" i="29"/>
  <c r="P108" i="29"/>
  <c r="Q110" i="29"/>
  <c r="X110" i="29"/>
  <c r="W110" i="29"/>
  <c r="R110" i="29"/>
  <c r="T110" i="29"/>
  <c r="S110" i="29"/>
  <c r="V110" i="29"/>
  <c r="P78" i="29"/>
  <c r="P80" i="29" s="1"/>
  <c r="P56" i="29"/>
  <c r="P74" i="29"/>
  <c r="P110" i="2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<sst xmlns="http://schemas.openxmlformats.org/spreadsheetml/2006/main" count="6215" uniqueCount="865">
  <si>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</si>
  <si>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</si>
  <si>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</si>
  <si>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</si>
  <si>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</si>
  <si>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</si>
  <si>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</si>
  <si>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</si>
  <si>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</si>
  <si>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</si>
  <si>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</si>
  <si>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</si>
  <si>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</si>
  <si>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</si>
  <si>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</si>
  <si>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</si>
  <si>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</si>
  <si>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</si>
  <si>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</si>
  <si>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</si>
  <si>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</si>
  <si>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</si>
  <si>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</si>
  <si>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</si>
  <si>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</si>
  <si>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</si>
  <si>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</si>
  <si>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</si>
  <si>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</si>
  <si>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</si>
  <si>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</si>
  <si>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</si>
  <si>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</si>
  <si>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</si>
  <si>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</si>
  <si>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</si>
  <si>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</si>
  <si>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</si>
  <si>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</si>
  <si>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</si>
  <si>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</si>
  <si>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</si>
  <si>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</si>
  <si>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</si>
  <si>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</si>
  <si>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</si>
  <si>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</si>
  <si>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</si>
  <si>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</si>
  <si>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</si>
  <si>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</si>
  <si>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</si>
  <si>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</si>
  <si>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</si>
  <si>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</si>
  <si>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</si>
  <si>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</si>
  <si>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</si>
  <si>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</si>
  <si>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</si>
  <si>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</si>
  <si>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</si>
  <si>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</si>
  <si>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</si>
  <si>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</si>
  <si>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</si>
  <si>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</si>
  <si>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</si>
  <si>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</si>
  <si>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</si>
  <si>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</si>
  <si>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</si>
  <si>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</si>
  <si>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</si>
  <si>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</si>
  <si>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</si>
  <si>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</si>
  <si>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</si>
  <si>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</si>
  <si>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</si>
  <si>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</si>
  <si>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</si>
  <si>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</si>
  <si>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</si>
  <si>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</si>
  <si>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</si>
  <si>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</si>
  <si>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</si>
  <si>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</si>
  <si>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</si>
  <si>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</si>
  <si>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</si>
  <si>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</si>
  <si>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</si>
  <si>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</si>
  <si>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</si>
  <si>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</si>
  <si>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</si>
  <si>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</si>
  <si>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</si>
  <si>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</si>
  <si>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</si>
  <si>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</si>
  <si>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</si>
  <si>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</si>
  <si>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</si>
  <si>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</si>
  <si>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</si>
  <si>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</si>
  <si>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</si>
  <si>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</si>
  <si>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</si>
  <si>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</si>
  <si>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</si>
  <si>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</si>
  <si>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</si>
  <si>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</si>
  <si>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</si>
  <si>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</si>
  <si>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</si>
  <si>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</si>
  <si>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</si>
  <si>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</si>
  <si>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</si>
  <si>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</si>
  <si>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</si>
  <si>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</si>
  <si>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</si>
  <si>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</si>
  <si>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</si>
  <si>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</si>
  <si>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</si>
  <si>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</si>
  <si>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</si>
  <si>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</si>
  <si>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</si>
  <si>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</si>
  <si>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</si>
  <si>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</si>
  <si>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</si>
  <si>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</si>
  <si>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</si>
  <si>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</si>
  <si>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</si>
  <si>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</si>
  <si>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</si>
  <si>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</si>
  <si>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</si>
  <si>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</si>
  <si>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</si>
  <si>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</si>
  <si>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</si>
  <si>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</si>
  <si>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</si>
  <si>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</si>
  <si>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</si>
  <si>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</si>
  <si>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</si>
  <si>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</si>
  <si>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</si>
  <si>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</si>
  <si>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</si>
  <si>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</si>
  <si>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</si>
  <si>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</si>
  <si>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</si>
  <si>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</si>
  <si>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</si>
  <si>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</si>
  <si>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</si>
  <si>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</si>
  <si>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</si>
  <si>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</si>
  <si>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</si>
  <si>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</si>
  <si>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</si>
  <si>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</si>
  <si>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</si>
  <si>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</si>
  <si>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</si>
  <si>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</si>
  <si>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</si>
  <si>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</si>
  <si>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</si>
  <si>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</si>
  <si>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</si>
  <si>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</si>
  <si>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</si>
  <si>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</si>
  <si>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</si>
  <si>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</si>
  <si>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</si>
  <si>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</si>
  <si>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</si>
  <si>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</si>
  <si>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</si>
  <si>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</si>
  <si>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</si>
  <si>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</si>
  <si>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</si>
  <si>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</si>
  <si>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</si>
  <si>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</si>
  <si>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</si>
  <si>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</si>
  <si>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</si>
  <si>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</si>
  <si>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</si>
  <si>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</si>
  <si>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</si>
  <si>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</si>
  <si>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</si>
  <si>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</si>
  <si>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</si>
  <si>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</si>
  <si>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</si>
  <si>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</si>
  <si>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</si>
  <si>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</si>
  <si>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</si>
  <si>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</si>
  <si>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</si>
  <si>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</si>
  <si>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</si>
  <si>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</si>
  <si>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</si>
  <si>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</si>
  <si>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</si>
  <si>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</si>
  <si>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</si>
  <si>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</si>
  <si>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</si>
  <si>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</si>
  <si>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</si>
  <si>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</si>
  <si>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</si>
  <si>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</si>
  <si>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</si>
  <si>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</si>
  <si>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</si>
  <si>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</si>
  <si>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</si>
  <si>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</si>
  <si>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</si>
  <si>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</si>
  <si>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</si>
  <si>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</si>
  <si>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</si>
  <si>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</si>
  <si>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</si>
  <si>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</si>
  <si>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</si>
  <si>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</si>
  <si>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</si>
  <si>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</si>
  <si>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</si>
  <si>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</si>
  <si>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</si>
  <si>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</si>
  <si>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</si>
  <si>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</si>
  <si>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</si>
  <si>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</si>
  <si>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</si>
  <si>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</si>
  <si>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</si>
  <si>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</si>
  <si>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</si>
  <si>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</si>
  <si>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</si>
  <si>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</si>
  <si>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</si>
  <si>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</si>
  <si>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</si>
  <si>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</si>
  <si>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</si>
  <si>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</si>
  <si>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</si>
  <si>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</si>
  <si>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</si>
  <si>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</si>
  <si>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</si>
  <si>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</si>
  <si>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</si>
  <si>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</si>
  <si>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</si>
  <si>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</si>
  <si>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</si>
  <si>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</si>
  <si>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</si>
  <si>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</si>
  <si>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</si>
  <si>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</si>
  <si>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</si>
  <si>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</si>
  <si>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</si>
  <si>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</si>
  <si>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</si>
  <si>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</si>
  <si>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</si>
  <si>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</si>
  <si>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</si>
  <si>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</si>
  <si>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</si>
  <si>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</si>
  <si>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</si>
  <si>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</si>
  <si>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</si>
  <si>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</si>
  <si>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</si>
  <si>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</si>
  <si>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</si>
  <si>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</si>
  <si>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</si>
  <si>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</si>
  <si>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</si>
  <si>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</si>
  <si>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</si>
  <si>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</si>
  <si>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</si>
  <si>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</si>
  <si>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</si>
  <si>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</si>
  <si>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</si>
  <si>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</si>
  <si>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</si>
  <si>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</si>
  <si>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</si>
  <si>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</si>
  <si>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</si>
  <si>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</si>
  <si>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</si>
  <si>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</si>
  <si>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</si>
  <si>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</si>
  <si>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</si>
  <si>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</si>
  <si>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</si>
  <si>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</si>
  <si>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</si>
  <si>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</si>
  <si>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</si>
  <si>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</si>
  <si>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</si>
  <si>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</si>
  <si>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</si>
  <si>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</si>
  <si>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</si>
  <si>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</si>
  <si>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</si>
  <si>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</si>
  <si>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</si>
  <si>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</si>
  <si>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</si>
  <si>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</si>
  <si>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</si>
  <si>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</si>
  <si>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</si>
  <si>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</si>
  <si>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</si>
  <si>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</si>
  <si>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</si>
  <si>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</si>
  <si>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</si>
  <si>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</si>
  <si>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</si>
  <si>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</si>
  <si>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</si>
  <si>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</si>
  <si>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</si>
  <si>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</si>
  <si>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</si>
  <si>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</si>
  <si>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</si>
  <si>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</si>
  <si>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</si>
  <si>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</si>
  <si>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</si>
  <si>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</si>
  <si>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</si>
  <si>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</si>
  <si>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</si>
  <si>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</si>
  <si>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</si>
  <si>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</si>
  <si>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</si>
  <si>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</si>
  <si>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</si>
  <si>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</si>
  <si>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</si>
  <si>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</si>
  <si>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</si>
  <si>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</si>
  <si>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</si>
  <si>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</si>
  <si>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</si>
  <si>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</si>
  <si>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</si>
  <si>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</si>
  <si>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</si>
  <si>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</si>
  <si>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</si>
  <si>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</si>
  <si>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</si>
  <si>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</si>
  <si>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</si>
  <si>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</si>
  <si>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</si>
  <si>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</si>
  <si>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</si>
  <si>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</si>
  <si>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</si>
  <si>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</si>
  <si>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</si>
  <si>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</si>
  <si>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</si>
  <si>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</si>
  <si>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</si>
  <si>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</si>
  <si>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</si>
  <si>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</si>
  <si>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</si>
  <si>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</si>
  <si>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</si>
  <si>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</si>
  <si>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</si>
  <si>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</si>
  <si>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</si>
  <si>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</si>
  <si>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</si>
  <si>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</si>
  <si>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</si>
  <si>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</si>
  <si>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</si>
  <si>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</si>
  <si>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</si>
  <si>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</si>
  <si>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</si>
  <si>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</si>
  <si>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</si>
  <si>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</si>
  <si>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</si>
  <si>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</si>
  <si>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</si>
  <si>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</si>
  <si>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</si>
  <si>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</si>
  <si>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</si>
  <si>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</si>
  <si>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</si>
  <si>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</si>
  <si>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</si>
  <si>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</si>
  <si>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</si>
  <si>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</si>
  <si>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</si>
  <si>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</si>
  <si>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</si>
  <si>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</si>
  <si>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</si>
  <si>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</si>
  <si>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</si>
  <si>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</si>
  <si>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</si>
  <si>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</si>
  <si>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</si>
  <si>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</si>
  <si>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</si>
  <si>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</si>
  <si>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</si>
  <si>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</si>
  <si>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</si>
  <si>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</si>
  <si>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</si>
  <si>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</si>
  <si>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</si>
  <si>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</si>
  <si>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</si>
  <si>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</si>
  <si>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</si>
  <si>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</si>
  <si>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</si>
  <si>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</si>
  <si>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</si>
  <si>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</si>
  <si>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</si>
  <si>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</si>
  <si>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</si>
  <si>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</si>
  <si>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</si>
  <si>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</si>
  <si>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</si>
  <si>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</si>
  <si>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</si>
  <si>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</si>
  <si>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</si>
  <si>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</si>
  <si>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</si>
  <si>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</si>
  <si>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</si>
  <si>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</si>
  <si>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</si>
  <si>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</si>
  <si>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</si>
  <si>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</si>
  <si>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</si>
  <si>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</si>
  <si>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</si>
  <si>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</si>
  <si>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</si>
  <si>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</si>
  <si>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</si>
  <si>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</si>
  <si>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</si>
  <si>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</si>
  <si>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</si>
  <si>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</si>
  <si>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</si>
  <si>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RUN, 105 AS ORDERED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</si>
  <si>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</si>
  <si>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</si>
  <si>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</si>
  <si>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</si>
  <si>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</si>
  <si>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 PACK 72-88 ORCHARD RUN, 105 AS ORDERED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</si>
  <si>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</si>
  <si>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</si>
  <si>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</si>
  <si>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</si>
  <si>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</si>
  <si>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</si>
  <si>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</si>
  <si>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</si>
  <si>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</si>
  <si>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</si>
  <si>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</si>
  <si>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</si>
  <si>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</si>
  <si>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</si>
  <si>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</si>
  <si>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</si>
  <si>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</si>
  <si>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</si>
  <si>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</si>
  <si>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</si>
  <si>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</si>
  <si>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</si>
  <si>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</si>
  <si>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</si>
  <si>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</si>
  <si>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</si>
  <si>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AR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</si>
  <si>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</si>
  <si>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</si>
  <si>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</si>
  <si>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</si>
  <si>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</si>
  <si>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</si>
  <si>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</si>
  <si>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</si>
  <si>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</si>
  <si>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</si>
  <si>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</si>
  <si>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</si>
  <si>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</si>
  <si>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</si>
  <si>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</si>
  <si>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</si>
  <si>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</si>
  <si>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</si>
  <si>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</si>
  <si>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</si>
  <si>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</si>
  <si>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</si>
  <si>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</si>
  <si>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</si>
  <si>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</si>
  <si>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</si>
  <si>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</si>
  <si>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</si>
  <si>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</si>
  <si>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</si>
  <si>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</si>
  <si>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</si>
  <si>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</si>
  <si>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</si>
  <si>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</si>
  <si>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</si>
  <si>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</si>
  <si>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</si>
  <si>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</si>
  <si>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</si>
  <si>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</si>
  <si>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</si>
  <si>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</si>
  <si>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</si>
  <si>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</si>
  <si>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</si>
  <si>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</si>
  <si>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</si>
  <si>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</si>
  <si>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</si>
  <si>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</si>
  <si>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</si>
  <si>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</si>
  <si>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</si>
  <si>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</si>
  <si>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</si>
  <si>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</si>
  <si>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</si>
  <si>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</si>
  <si>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</si>
  <si>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</si>
  <si>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</si>
  <si>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</si>
  <si>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</si>
  <si>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</si>
  <si>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</si>
  <si>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</si>
  <si>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</si>
  <si>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</si>
  <si>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</si>
  <si>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</si>
  <si>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</si>
  <si>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</si>
  <si>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</si>
  <si>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</si>
  <si>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</si>
  <si>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</si>
  <si>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</si>
  <si>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</si>
  <si>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</si>
  <si>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</si>
  <si>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</si>
  <si>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</si>
  <si>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</si>
  <si>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</si>
  <si>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</si>
  <si>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</si>
  <si>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</si>
  <si>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</si>
  <si>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</si>
  <si>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</si>
  <si>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</si>
  <si>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</si>
  <si>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</si>
  <si>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</si>
  <si>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</si>
  <si>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</si>
  <si>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</si>
  <si>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</si>
  <si>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</si>
  <si>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</si>
  <si>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</si>
  <si>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</si>
  <si>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</si>
  <si>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</si>
  <si>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</si>
  <si>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</si>
  <si>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</si>
  <si>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</si>
  <si>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</si>
  <si>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</si>
  <si>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</si>
  <si>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</si>
  <si>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</si>
  <si>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</si>
  <si>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</si>
  <si>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</si>
  <si>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</si>
  <si>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</si>
  <si>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</si>
  <si>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</si>
  <si>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</si>
  <si>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</si>
  <si>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</si>
  <si>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</si>
  <si>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</si>
  <si>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</si>
  <si>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</si>
  <si>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</si>
  <si>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</si>
  <si>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</si>
  <si>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</si>
  <si>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</si>
  <si>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</si>
  <si>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</si>
  <si>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</si>
  <si>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</si>
  <si>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</si>
  <si>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</si>
  <si>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</si>
  <si>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</si>
  <si>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</si>
  <si>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</si>
  <si>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</si>
  <si>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</si>
  <si>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</si>
  <si>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</si>
  <si>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</si>
  <si>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060099004626841069</t>
  </si>
  <si>
    <t>060099004626841076</t>
  </si>
  <si>
    <t>060099004626841083</t>
  </si>
  <si>
    <t>060099004626841090</t>
  </si>
  <si>
    <t>060099004626841106</t>
  </si>
  <si>
    <t>060099004626841113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</si>
  <si>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</si>
  <si>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</si>
  <si>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</si>
  <si>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</si>
  <si>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</si>
  <si>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</si>
  <si>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</si>
  <si>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</si>
  <si>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</si>
  <si>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</si>
  <si>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</si>
  <si>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</si>
  <si>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</si>
  <si>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</si>
  <si>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</si>
  <si>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</si>
  <si>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</si>
  <si>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</si>
  <si>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</si>
  <si>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</si>
  <si>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</si>
  <si>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</si>
  <si>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</si>
  <si>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</si>
  <si>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</si>
  <si>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</si>
  <si>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</si>
  <si>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</si>
  <si>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</si>
  <si>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</si>
  <si>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</si>
  <si>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</si>
  <si>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</si>
  <si>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</si>
  <si>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</si>
  <si>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</si>
  <si>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</si>
  <si>
    <t>060099004626842073</t>
  </si>
  <si>
    <t>060099004626842080</t>
  </si>
  <si>
    <t>060099004626842097</t>
  </si>
  <si>
    <t>060099004626842103</t>
  </si>
  <si>
    <t>060099004626842110</t>
  </si>
  <si>
    <t>060099004626842127</t>
  </si>
  <si>
    <t>060099004626842134</t>
  </si>
  <si>
    <t>060099004626842141</t>
  </si>
  <si>
    <t>060099004626842158</t>
  </si>
  <si>
    <t>060099004626842172</t>
  </si>
  <si>
    <t>060099004626842189</t>
  </si>
  <si>
    <t>060099004626842196</t>
  </si>
  <si>
    <t>060099004626842202</t>
  </si>
  <si>
    <t>060099004626842264</t>
  </si>
  <si>
    <t>060099004626842271</t>
  </si>
  <si>
    <t>060099004626842288</t>
  </si>
  <si>
    <t>060099004626842295</t>
  </si>
  <si>
    <t>060099004626842301</t>
  </si>
  <si>
    <t>060099004626842318</t>
  </si>
  <si>
    <t>060099004626842325</t>
  </si>
  <si>
    <t>060099004626842356</t>
  </si>
  <si>
    <t>060099004626842363</t>
  </si>
  <si>
    <t>060099004626842370</t>
  </si>
  <si>
    <t>060099004626842387</t>
  </si>
  <si>
    <t>060099004626842394</t>
  </si>
  <si>
    <t>060099004626842400</t>
  </si>
  <si>
    <t>060099004626842417</t>
  </si>
  <si>
    <t>060099004626842424</t>
  </si>
  <si>
    <t>060099004626842431</t>
  </si>
  <si>
    <t>060099004626842448</t>
  </si>
  <si>
    <t>060099004626842455</t>
  </si>
  <si>
    <t>060099004626842462</t>
  </si>
  <si>
    <t>060099004626842479</t>
  </si>
  <si>
    <t>060099004626842486</t>
  </si>
  <si>
    <t>060099004626842493</t>
  </si>
  <si>
    <t>060099004626842509</t>
  </si>
  <si>
    <t>060099004626842516</t>
  </si>
  <si>
    <t>060099004626842523</t>
  </si>
  <si>
    <t>060099004626842530</t>
  </si>
  <si>
    <t>060099004626842547</t>
  </si>
  <si>
    <t>060099004626842554</t>
  </si>
  <si>
    <t>060099004626842561</t>
  </si>
  <si>
    <t>060099004626842578</t>
  </si>
  <si>
    <t>060099004626842585</t>
  </si>
  <si>
    <t>060099004626842592</t>
  </si>
  <si>
    <t>060099004626842608</t>
  </si>
  <si>
    <t>060099004626842615</t>
  </si>
  <si>
    <t>060099004626842622</t>
  </si>
  <si>
    <t>060099004626842639</t>
  </si>
  <si>
    <t>060099004626842646</t>
  </si>
  <si>
    <t>060099004626842653</t>
  </si>
  <si>
    <t>060099004626842660</t>
  </si>
  <si>
    <t>060099004626842677</t>
  </si>
  <si>
    <t>060099004626842684</t>
  </si>
  <si>
    <t>060099004626842691</t>
  </si>
  <si>
    <t>060099004626842707</t>
  </si>
  <si>
    <t>060099004626842714</t>
  </si>
  <si>
    <t>060099004626842721</t>
  </si>
  <si>
    <t>060099004626842738</t>
  </si>
  <si>
    <t>060099004626842745</t>
  </si>
  <si>
    <t>060099004626842752</t>
  </si>
  <si>
    <t>060099004626842769</t>
  </si>
  <si>
    <t>060099004626842776</t>
  </si>
  <si>
    <t>060099004626842783</t>
  </si>
  <si>
    <t>060099004626842790</t>
  </si>
  <si>
    <t>060099004626842806</t>
  </si>
  <si>
    <t>060099004626842813</t>
  </si>
  <si>
    <t>060099004626842820</t>
  </si>
  <si>
    <t>R211</t>
  </si>
  <si>
    <t>IC63601374</t>
  </si>
  <si>
    <t>060099004626842240</t>
  </si>
  <si>
    <t>060099004626842257</t>
  </si>
  <si>
    <t>IC63601375</t>
  </si>
  <si>
    <t>060099004626842165</t>
  </si>
  <si>
    <t>IC63601373</t>
  </si>
  <si>
    <t>IC63601371</t>
  </si>
  <si>
    <t>IC63601372</t>
  </si>
  <si>
    <t>IC63601376</t>
  </si>
  <si>
    <t>IC63601377</t>
  </si>
  <si>
    <t>IC63601378</t>
  </si>
  <si>
    <t>060099004626842844</t>
  </si>
  <si>
    <t>9303</t>
  </si>
  <si>
    <t>060099004626842875</t>
  </si>
  <si>
    <t>060099004626842943</t>
  </si>
  <si>
    <t>060099004626842950</t>
  </si>
  <si>
    <t>060099004626842967</t>
  </si>
  <si>
    <t>060099004626842899</t>
  </si>
  <si>
    <t>IC63601379</t>
  </si>
  <si>
    <t>IC63601381</t>
  </si>
  <si>
    <t>IC63601380</t>
  </si>
  <si>
    <t>060099004626842851</t>
  </si>
  <si>
    <t>060099004626842868</t>
  </si>
  <si>
    <t>060099004626842882</t>
  </si>
  <si>
    <t>060099004626842905</t>
  </si>
  <si>
    <t>060099004626842912</t>
  </si>
  <si>
    <t>060099004626842929</t>
  </si>
  <si>
    <t>060099004626842936</t>
  </si>
  <si>
    <t>060099004626842998</t>
  </si>
  <si>
    <t>060099004626843018</t>
  </si>
  <si>
    <t>060099004626843025</t>
  </si>
  <si>
    <t>060099004626842974</t>
  </si>
  <si>
    <t>060099004626842981</t>
  </si>
  <si>
    <t>060099004626843001</t>
  </si>
  <si>
    <t>060099004626843032</t>
  </si>
  <si>
    <t>060099004626843049</t>
  </si>
  <si>
    <t>060099004626843056</t>
  </si>
  <si>
    <t>060099004626843063</t>
  </si>
  <si>
    <t>060099004626843070</t>
  </si>
  <si>
    <t>060099004626843087</t>
  </si>
  <si>
    <t>IC63601383</t>
  </si>
  <si>
    <t>IC63601384</t>
  </si>
  <si>
    <t>060099004626843094</t>
  </si>
  <si>
    <t>060099004626843162</t>
  </si>
  <si>
    <t>060099004626843186</t>
  </si>
  <si>
    <t>IC63601382</t>
  </si>
  <si>
    <t>060099004626843100</t>
  </si>
  <si>
    <t>060099004626843179</t>
  </si>
  <si>
    <t>060099004626843117</t>
  </si>
  <si>
    <t>060099004626843124</t>
  </si>
  <si>
    <t>060099004626843131</t>
  </si>
  <si>
    <t>060099004626843148</t>
  </si>
  <si>
    <t>060099004626843155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</si>
</sst>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0" fillId="0" borderId="17" xfId="0" applyBorder="1"/>
    <xf numFmtId="0" fontId="11" fillId="6" borderId="3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11" fillId="10" borderId="6" xfId="0" applyFon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164" fontId="0" fillId="4" borderId="7" xfId="0" applyNumberFormat="1" applyFill="1" applyBorder="1" applyAlignment="1">
      <alignment horizontal="left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02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B76-47DB-9E42-E8772754971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B76-47DB-9E42-E8772754971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B76-47DB-9E42-E8772754971F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76-47DB-9E42-E877275497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B76-47DB-9E42-E87727549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289-462D-BADB-402F72200E4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289-462D-BADB-402F72200E4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289-462D-BADB-402F72200E4A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89-462D-BADB-402F72200E4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89-462D-BADB-402F72200E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289-462D-BADB-402F72200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76C-4F1A-95F7-0E1164823E9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76C-4F1A-95F7-0E1164823E9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76C-4F1A-95F7-0E1164823E9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6C-4F1A-95F7-0E1164823E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6C-4F1A-95F7-0E1164823E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76C-4F1A-95F7-0E1164823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83C-4D28-B6F9-415B7E827CE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83C-4D28-B6F9-415B7E827CE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83C-4D28-B6F9-415B7E827CE9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83C-4D28-B6F9-415B7E827C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</c:v>
              </c:pt>
              <c:pt idx="1">
                <c:v>13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83C-4D28-B6F9-415B7E827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A32-41F7-AE91-5EC4E9BC20E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A32-41F7-AE91-5EC4E9BC20E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A32-41F7-AE91-5EC4E9BC20EE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32-41F7-AE91-5EC4E9BC20E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32-41F7-AE91-5EC4E9BC20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A32-41F7-AE91-5EC4E9BC2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E91-4500-B24A-C4C62D69226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E91-4500-B24A-C4C62D69226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E91-4500-B24A-C4C62D69226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E91-4500-B24A-C4C62D69226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91-4500-B24A-C4C62D6922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E91-4500-B24A-C4C62D692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B35-463E-A9CC-10CCA106419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B35-463E-A9CC-10CCA106419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B35-463E-A9CC-10CCA1064193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B35-463E-A9CC-10CCA106419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35-463E-A9CC-10CCA10641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B35-463E-A9CC-10CCA1064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6F8-4BED-A5EF-AC3AA210635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6F8-4BED-A5EF-AC3AA210635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6F8-4BED-A5EF-AC3AA210635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6F8-4BED-A5EF-AC3AA210635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6F8-4BED-A5EF-AC3AA21063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6F8-4BED-A5EF-AC3AA2106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315B-4FD6-BED4-EE64C6DDCC1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315B-4FD6-BED4-EE64C6DDCC1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315B-4FD6-BED4-EE64C6DDCC1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5B-4FD6-BED4-EE64C6DDCC1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5B-4FD6-BED4-EE64C6DDCC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315B-4FD6-BED4-EE64C6DDC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24B-4C21-8DCE-914F4FC72B9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24B-4C21-8DCE-914F4FC72B9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24B-4C21-8DCE-914F4FC72B98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24B-4C21-8DCE-914F4FC72B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4B-4C21-8DCE-914F4FC72B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24B-4C21-8DCE-914F4FC72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B48-4FE2-8AE3-AEDBC89158A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B48-4FE2-8AE3-AEDBC89158A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B48-4FE2-8AE3-AEDBC89158A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B48-4FE2-8AE3-AEDBC891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27</c:v>
              </c:pt>
              <c:pt idx="1">
                <c:v>3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B48-4FE2-8AE3-AEDBC8915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430-4E79-90CD-2257ADC809F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430-4E79-90CD-2257ADC809F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430-4E79-90CD-2257ADC809F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0-4E79-90CD-2257ADC809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32</c:v>
              </c:pt>
              <c:pt idx="1">
                <c:v>18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430-4E79-90CD-2257ADC80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4F6-4520-9730-8020FE28DE3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4F6-4520-9730-8020FE28DE3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4F6-4520-9730-8020FE28DE3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F6-4520-9730-8020FE28DE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</c:v>
              </c:pt>
              <c:pt idx="1">
                <c:v>23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4F6-4520-9730-8020FE28D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716-43F1-A16D-A88C8CFBC27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716-43F1-A16D-A88C8CFBC27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716-43F1-A16D-A88C8CFBC27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716-43F1-A16D-A88C8CFBC27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16-43F1-A16D-A88C8CFBC2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716-43F1-A16D-A88C8CFBC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E17-4AD9-90B8-6FB129DDBD7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E17-4AD9-90B8-6FB129DDBD7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E17-4AD9-90B8-6FB129DDBD76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17-4AD9-90B8-6FB129DDBD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62</c:v>
              </c:pt>
              <c:pt idx="1">
                <c:v>12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E17-4AD9-90B8-6FB129DDB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4F0-49EF-9230-72BAD3D2DD4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4F0-49EF-9230-72BAD3D2DD4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4F0-49EF-9230-72BAD3D2DD4C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F0-49EF-9230-72BAD3D2DD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</c:v>
              </c:pt>
              <c:pt idx="1">
                <c:v>10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4F0-49EF-9230-72BAD3D2D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38E6-4C2F-8271-E1BB53D6C5D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38E6-4C2F-8271-E1BB53D6C5D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38E6-4C2F-8271-E1BB53D6C5D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8E6-4C2F-8271-E1BB53D6C5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E6-4C2F-8271-E1BB53D6C5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15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38E6-4C2F-8271-E1BB53D6C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9AEB4E-ECE3-5E47-443F-2C910F3868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E2E77A-8C53-916A-FAA0-B8FF914AD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5E614D-59DB-04B2-7257-23EA60A7DC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F6F049C-BA04-0016-4710-4061FF5232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CA3AE4A-2249-0A66-FFCF-5D356F6522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3CCD905-1CBE-ECC6-B5BB-F295B0E9AC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D164D04-A779-C453-3C53-E5BCC07258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B1D2F3E-380B-2A34-8E38-96CD476C08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E9CCB34-D0B4-0746-ED31-D22652E763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C1F8932-7FB2-A3A3-A970-B2F43C2F20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DF9E579-082F-BFAD-DDAD-2A999727CD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DA072F1-659E-9E90-D18E-26CF127F85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7C365FE6-808D-D200-C62B-CC8F4F1A42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273BDA6-8AAE-2840-EC51-A4329838C4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B12E870A-B613-6176-C527-43CE5208F4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2EB9D44-2ABF-2A10-6DE8-43FF771621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C2BB711-A8AB-F71F-8951-FFECBE9484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264" tableType="queryTable" totalsRowShown="0">
  <autoFilter ref="A1:R264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67"/>
  <sheetViews>
    <sheetView zoomScale="55" zoomScaleNormal="55" workbookViewId="0">
      <selection activeCell="Z36" sqref="Z36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539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4" t="s">
        <v>449</v>
      </c>
      <c r="B4" s="114" t="s">
        <v>485</v>
      </c>
      <c r="C4" s="112" t="s">
        <v>478</v>
      </c>
      <c r="D4" s="112" t="s">
        <v>508</v>
      </c>
      <c r="E4" s="112" t="s">
        <v>450</v>
      </c>
      <c r="F4" s="112">
        <v>1</v>
      </c>
      <c r="G4" s="112" t="s">
        <v>394</v>
      </c>
      <c r="H4" s="112" t="s">
        <v>391</v>
      </c>
      <c r="I4" s="115" t="s">
        <v>495</v>
      </c>
      <c r="J4" s="112" t="s">
        <v>439</v>
      </c>
      <c r="K4" s="112" t="s">
        <v>450</v>
      </c>
      <c r="L4" s="112" t="s">
        <v>484</v>
      </c>
      <c r="M4" s="112" t="s">
        <v>393</v>
      </c>
      <c r="N4" s="112">
        <f>+Y4/80</f>
        <v>3</v>
      </c>
      <c r="O4" s="112"/>
      <c r="P4" s="112" t="s">
        <v>509</v>
      </c>
      <c r="Q4" s="116"/>
      <c r="R4" s="116"/>
      <c r="S4" s="116"/>
      <c r="T4" s="116"/>
      <c r="U4" s="117"/>
      <c r="V4" s="116">
        <f>2*80</f>
        <v>160</v>
      </c>
      <c r="W4" s="116"/>
      <c r="X4" s="116">
        <f>1*80</f>
        <v>80</v>
      </c>
      <c r="Y4" s="116">
        <f>SUM(Q4:X4)</f>
        <v>240</v>
      </c>
      <c r="Z4" s="114" t="s">
        <v>510</v>
      </c>
      <c r="AA4" s="112" t="s">
        <v>482</v>
      </c>
    </row>
    <row r="5" spans="1:31" ht="15.6" x14ac:dyDescent="0.3">
      <c r="A5" s="118"/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9"/>
      <c r="V5" s="118"/>
      <c r="W5" s="118"/>
      <c r="X5" s="118"/>
      <c r="Y5" s="118"/>
      <c r="Z5" s="120" t="s">
        <v>540</v>
      </c>
      <c r="AA5" s="59"/>
    </row>
    <row r="6" spans="1:31" ht="15.6" x14ac:dyDescent="0.3">
      <c r="A6" s="118"/>
      <c r="B6" s="118"/>
      <c r="C6" s="59"/>
      <c r="D6" s="59"/>
      <c r="E6" s="59"/>
      <c r="F6" s="59"/>
      <c r="G6" s="118"/>
      <c r="H6" s="59"/>
      <c r="I6" s="59"/>
      <c r="J6" s="59"/>
      <c r="K6" s="59"/>
      <c r="L6" s="59"/>
      <c r="M6" s="59"/>
      <c r="N6" s="121"/>
      <c r="O6" s="59"/>
      <c r="P6" s="59"/>
      <c r="Q6" s="122"/>
      <c r="R6" s="122"/>
      <c r="S6" s="122"/>
      <c r="T6" s="122"/>
      <c r="U6" s="119"/>
      <c r="V6" s="122"/>
      <c r="W6" s="122"/>
      <c r="X6" s="122"/>
      <c r="Y6" s="122"/>
      <c r="Z6" s="123" t="s">
        <v>511</v>
      </c>
      <c r="AA6" s="59"/>
    </row>
    <row r="7" spans="1:31" ht="15.6" x14ac:dyDescent="0.3">
      <c r="A7" s="118"/>
      <c r="B7" s="118"/>
      <c r="C7" s="59"/>
      <c r="D7" s="59"/>
      <c r="E7" s="59"/>
      <c r="F7" s="59"/>
      <c r="G7" s="118"/>
      <c r="H7" s="59"/>
      <c r="I7" s="59"/>
      <c r="J7" s="59"/>
      <c r="K7" s="59"/>
      <c r="L7" s="59"/>
      <c r="M7" s="59"/>
      <c r="N7" s="121"/>
      <c r="O7" s="59"/>
      <c r="P7" s="59"/>
      <c r="Q7" s="122"/>
      <c r="R7" s="122"/>
      <c r="S7" s="122"/>
      <c r="T7" s="122"/>
      <c r="U7" s="119"/>
      <c r="V7" s="122"/>
      <c r="W7" s="122"/>
      <c r="X7" s="122"/>
      <c r="Y7" s="122"/>
      <c r="Z7" s="123"/>
      <c r="AA7" s="59"/>
    </row>
    <row r="8" spans="1:31" ht="15.6" x14ac:dyDescent="0.3">
      <c r="A8" s="114" t="s">
        <v>492</v>
      </c>
      <c r="B8" s="114" t="s">
        <v>485</v>
      </c>
      <c r="C8" s="112" t="s">
        <v>478</v>
      </c>
      <c r="D8" s="112" t="s">
        <v>508</v>
      </c>
      <c r="E8" s="112" t="s">
        <v>493</v>
      </c>
      <c r="F8" s="112">
        <v>1</v>
      </c>
      <c r="G8" s="112" t="s">
        <v>394</v>
      </c>
      <c r="H8" s="112" t="s">
        <v>391</v>
      </c>
      <c r="I8" s="115" t="s">
        <v>512</v>
      </c>
      <c r="J8" s="112" t="s">
        <v>488</v>
      </c>
      <c r="K8" s="112" t="s">
        <v>493</v>
      </c>
      <c r="L8" s="112" t="s">
        <v>392</v>
      </c>
      <c r="M8" s="112" t="s">
        <v>393</v>
      </c>
      <c r="N8" s="112">
        <f>+Y8/80</f>
        <v>4</v>
      </c>
      <c r="O8" s="112"/>
      <c r="P8" s="112" t="s">
        <v>509</v>
      </c>
      <c r="Q8" s="116"/>
      <c r="R8" s="116"/>
      <c r="S8" s="116"/>
      <c r="T8" s="116"/>
      <c r="U8" s="116"/>
      <c r="V8" s="116">
        <f>2*80</f>
        <v>160</v>
      </c>
      <c r="W8" s="116">
        <f>2*80</f>
        <v>160</v>
      </c>
      <c r="X8" s="112"/>
      <c r="Y8" s="116">
        <f>SUM(Q8:X8)</f>
        <v>320</v>
      </c>
      <c r="Z8" s="114" t="s">
        <v>510</v>
      </c>
      <c r="AA8" s="112" t="s">
        <v>482</v>
      </c>
    </row>
    <row r="9" spans="1:31" ht="15.6" x14ac:dyDescent="0.3">
      <c r="A9" s="118"/>
      <c r="B9" s="118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18" t="s">
        <v>541</v>
      </c>
      <c r="AA9" s="118"/>
    </row>
    <row r="10" spans="1:31" ht="15.6" x14ac:dyDescent="0.3">
      <c r="A10" s="118"/>
      <c r="B10" s="118"/>
      <c r="C10" s="125" t="s">
        <v>478</v>
      </c>
      <c r="D10" s="125" t="s">
        <v>508</v>
      </c>
      <c r="E10" s="125" t="s">
        <v>493</v>
      </c>
      <c r="F10" s="125">
        <v>1</v>
      </c>
      <c r="G10" s="125" t="s">
        <v>394</v>
      </c>
      <c r="H10" s="125" t="s">
        <v>391</v>
      </c>
      <c r="I10" s="126" t="s">
        <v>514</v>
      </c>
      <c r="J10" s="125" t="s">
        <v>488</v>
      </c>
      <c r="K10" s="125" t="s">
        <v>493</v>
      </c>
      <c r="L10" s="125" t="s">
        <v>392</v>
      </c>
      <c r="M10" s="125" t="s">
        <v>393</v>
      </c>
      <c r="N10" s="125">
        <f>+Y10/80</f>
        <v>8</v>
      </c>
      <c r="O10" s="125"/>
      <c r="P10" s="125" t="s">
        <v>509</v>
      </c>
      <c r="Q10" s="127"/>
      <c r="R10" s="127"/>
      <c r="S10" s="127"/>
      <c r="T10" s="127"/>
      <c r="U10" s="127"/>
      <c r="V10" s="127">
        <f>3*80</f>
        <v>240</v>
      </c>
      <c r="W10" s="128">
        <f>1*80</f>
        <v>80</v>
      </c>
      <c r="X10" s="125">
        <f>4*80</f>
        <v>320</v>
      </c>
      <c r="Y10" s="127">
        <f>SUM(Q10:X10)</f>
        <v>640</v>
      </c>
      <c r="Z10" s="123" t="s">
        <v>515</v>
      </c>
      <c r="AA10" s="59"/>
      <c r="AE10" s="84"/>
    </row>
    <row r="11" spans="1:31" ht="15.6" x14ac:dyDescent="0.3">
      <c r="A11" s="118"/>
      <c r="B11" s="118"/>
      <c r="C11" s="59"/>
      <c r="D11" s="59"/>
      <c r="E11" s="59"/>
      <c r="F11" s="59"/>
      <c r="G11" s="118"/>
      <c r="H11" s="59"/>
      <c r="I11" s="59"/>
      <c r="J11" s="59"/>
      <c r="K11" s="59"/>
      <c r="L11" s="59"/>
      <c r="M11" s="59"/>
      <c r="N11" s="121"/>
      <c r="O11" s="59"/>
      <c r="P11" s="59"/>
      <c r="Q11" s="122"/>
      <c r="R11" s="122"/>
      <c r="S11" s="122"/>
      <c r="T11" s="122"/>
      <c r="U11" s="119"/>
      <c r="V11" s="122"/>
      <c r="W11" s="122"/>
      <c r="X11" s="122"/>
      <c r="Y11" s="122"/>
      <c r="Z11" s="129"/>
      <c r="AA11" s="59"/>
    </row>
    <row r="12" spans="1:31" ht="15.6" x14ac:dyDescent="0.3">
      <c r="A12" s="34" t="s">
        <v>542</v>
      </c>
      <c r="B12" s="43" t="s">
        <v>485</v>
      </c>
      <c r="C12" s="44" t="s">
        <v>478</v>
      </c>
      <c r="D12" s="44" t="s">
        <v>508</v>
      </c>
      <c r="E12" s="44" t="s">
        <v>543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543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544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545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30" t="s">
        <v>546</v>
      </c>
      <c r="B15" s="130" t="s">
        <v>485</v>
      </c>
      <c r="C15" s="131" t="s">
        <v>478</v>
      </c>
      <c r="D15" s="131" t="s">
        <v>508</v>
      </c>
      <c r="E15" s="131" t="s">
        <v>547</v>
      </c>
      <c r="F15" s="131">
        <v>1</v>
      </c>
      <c r="G15" s="131" t="s">
        <v>394</v>
      </c>
      <c r="H15" s="131" t="s">
        <v>391</v>
      </c>
      <c r="I15" s="132" t="s">
        <v>548</v>
      </c>
      <c r="J15" s="131" t="s">
        <v>488</v>
      </c>
      <c r="K15" s="131" t="s">
        <v>547</v>
      </c>
      <c r="L15" s="131" t="s">
        <v>392</v>
      </c>
      <c r="M15" s="131" t="s">
        <v>393</v>
      </c>
      <c r="N15" s="131">
        <f>+Y15/80</f>
        <v>20</v>
      </c>
      <c r="O15" s="131"/>
      <c r="P15" s="131" t="s">
        <v>544</v>
      </c>
      <c r="Q15" s="133"/>
      <c r="R15" s="133"/>
      <c r="S15" s="133"/>
      <c r="T15" s="133"/>
      <c r="U15" s="133">
        <f>8*80</f>
        <v>640</v>
      </c>
      <c r="V15" s="133">
        <f>12*80</f>
        <v>960</v>
      </c>
      <c r="W15" s="133"/>
      <c r="X15" s="133"/>
      <c r="Y15" s="133">
        <f>SUM(Q15:X15)</f>
        <v>1600</v>
      </c>
      <c r="Z15" s="130" t="s">
        <v>510</v>
      </c>
      <c r="AA15" s="131" t="s">
        <v>482</v>
      </c>
    </row>
    <row r="16" spans="1:31" ht="15.6" x14ac:dyDescent="0.3">
      <c r="A16" s="134"/>
      <c r="B16" s="134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6"/>
      <c r="R16" s="136"/>
      <c r="S16" s="136"/>
      <c r="T16" s="136"/>
      <c r="U16" s="137"/>
      <c r="V16" s="136"/>
      <c r="W16" s="136"/>
      <c r="X16" s="136"/>
      <c r="Y16" s="136"/>
      <c r="Z16" s="138" t="s">
        <v>545</v>
      </c>
      <c r="AA16" s="135"/>
    </row>
    <row r="17" spans="1:31" ht="15.6" x14ac:dyDescent="0.3">
      <c r="A17" s="139" t="s">
        <v>549</v>
      </c>
      <c r="B17" s="134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6"/>
      <c r="R17" s="136"/>
      <c r="S17" s="136"/>
      <c r="T17" s="136"/>
      <c r="U17" s="137"/>
      <c r="V17" s="136"/>
      <c r="W17" s="136"/>
      <c r="X17" s="136"/>
      <c r="Y17" s="136"/>
      <c r="Z17" s="140" t="s">
        <v>550</v>
      </c>
      <c r="AA17" s="135"/>
    </row>
    <row r="18" spans="1:31" ht="15.6" x14ac:dyDescent="0.3">
      <c r="A18" s="134"/>
      <c r="B18" s="134"/>
      <c r="C18" s="135"/>
      <c r="D18" s="135"/>
      <c r="E18" s="135"/>
      <c r="F18" s="135"/>
      <c r="G18" s="134"/>
      <c r="H18" s="135"/>
      <c r="I18" s="135"/>
      <c r="J18" s="135"/>
      <c r="K18" s="135"/>
      <c r="L18" s="135"/>
      <c r="M18" s="135"/>
      <c r="N18" s="141"/>
      <c r="O18" s="135"/>
      <c r="P18" s="135"/>
      <c r="Q18" s="136"/>
      <c r="R18" s="136"/>
      <c r="S18" s="136"/>
      <c r="T18" s="136"/>
      <c r="U18" s="137"/>
      <c r="V18" s="136"/>
      <c r="W18" s="136"/>
      <c r="X18" s="136"/>
      <c r="Y18" s="136"/>
      <c r="Z18" s="139"/>
      <c r="AA18" s="135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544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545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39"/>
      <c r="D22" s="40"/>
      <c r="E22" s="40"/>
      <c r="F22" s="40"/>
      <c r="G22" s="42"/>
      <c r="H22" s="40"/>
      <c r="I22" s="40"/>
      <c r="J22" s="40"/>
      <c r="K22" s="40"/>
      <c r="L22" s="40"/>
      <c r="M22" s="40"/>
      <c r="N22" s="80"/>
      <c r="O22" s="40"/>
      <c r="P22" s="40"/>
      <c r="Q22" s="41"/>
      <c r="R22" s="41"/>
      <c r="S22" s="41"/>
      <c r="T22" s="41"/>
      <c r="U22" s="53"/>
      <c r="V22" s="41"/>
      <c r="W22" s="41"/>
      <c r="X22" s="41"/>
      <c r="Y22" s="41"/>
      <c r="Z22" s="48"/>
      <c r="AA22" s="40"/>
    </row>
    <row r="23" spans="1:31" ht="15.6" x14ac:dyDescent="0.3">
      <c r="A23" s="34" t="s">
        <v>492</v>
      </c>
      <c r="B23" s="43" t="s">
        <v>485</v>
      </c>
      <c r="C23" s="44" t="s">
        <v>478</v>
      </c>
      <c r="D23" s="45" t="s">
        <v>508</v>
      </c>
      <c r="E23" s="45" t="s">
        <v>493</v>
      </c>
      <c r="F23" s="45">
        <v>1</v>
      </c>
      <c r="G23" s="45" t="s">
        <v>394</v>
      </c>
      <c r="H23" s="45" t="s">
        <v>391</v>
      </c>
      <c r="I23" s="55" t="s">
        <v>551</v>
      </c>
      <c r="J23" s="44" t="s">
        <v>488</v>
      </c>
      <c r="K23" s="44" t="s">
        <v>493</v>
      </c>
      <c r="L23" s="44" t="s">
        <v>392</v>
      </c>
      <c r="M23" s="44" t="s">
        <v>393</v>
      </c>
      <c r="N23" s="45">
        <f>+Y23/80</f>
        <v>20</v>
      </c>
      <c r="O23" s="45"/>
      <c r="P23" s="45" t="s">
        <v>544</v>
      </c>
      <c r="Q23" s="46"/>
      <c r="R23" s="46"/>
      <c r="S23" s="46"/>
      <c r="T23" s="46"/>
      <c r="U23" s="46"/>
      <c r="V23" s="46">
        <f>10*80</f>
        <v>800</v>
      </c>
      <c r="W23" s="46">
        <f>10*80</f>
        <v>800</v>
      </c>
      <c r="X23" s="45"/>
      <c r="Y23" s="46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42" t="s">
        <v>513</v>
      </c>
      <c r="AA24" s="42"/>
    </row>
    <row r="25" spans="1:31" ht="15.6" x14ac:dyDescent="0.3">
      <c r="A25" s="42"/>
      <c r="B25" s="79"/>
      <c r="C25" s="82" t="s">
        <v>478</v>
      </c>
      <c r="D25" s="35" t="s">
        <v>508</v>
      </c>
      <c r="E25" s="35" t="s">
        <v>493</v>
      </c>
      <c r="F25" s="35">
        <v>1</v>
      </c>
      <c r="G25" s="35" t="s">
        <v>394</v>
      </c>
      <c r="H25" s="35" t="s">
        <v>391</v>
      </c>
      <c r="I25" s="83" t="s">
        <v>552</v>
      </c>
      <c r="J25" s="82" t="s">
        <v>488</v>
      </c>
      <c r="K25" s="82" t="s">
        <v>493</v>
      </c>
      <c r="L25" s="82" t="s">
        <v>392</v>
      </c>
      <c r="M25" s="82" t="s">
        <v>393</v>
      </c>
      <c r="N25" s="35">
        <f>+Y25/80</f>
        <v>20</v>
      </c>
      <c r="O25" s="35"/>
      <c r="P25" s="35" t="s">
        <v>544</v>
      </c>
      <c r="Q25" s="36"/>
      <c r="R25" s="36"/>
      <c r="S25" s="36"/>
      <c r="T25" s="36"/>
      <c r="U25" s="36"/>
      <c r="V25" s="36">
        <f>8*80</f>
        <v>640</v>
      </c>
      <c r="W25" s="36">
        <f>7*80</f>
        <v>560</v>
      </c>
      <c r="X25" s="35">
        <f>5*80</f>
        <v>400</v>
      </c>
      <c r="Y25" s="36">
        <f>SUM(Q25:X25)</f>
        <v>1600</v>
      </c>
      <c r="Z25" s="48" t="s">
        <v>515</v>
      </c>
      <c r="AA25" s="40"/>
      <c r="AE25" s="84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553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6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7" t="s">
        <v>554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6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7"/>
      <c r="AA29" s="39"/>
    </row>
    <row r="30" spans="1:31" ht="15.6" x14ac:dyDescent="0.3">
      <c r="A30" s="42"/>
      <c r="B30" s="88" t="s">
        <v>389</v>
      </c>
      <c r="C30" s="82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536</v>
      </c>
      <c r="Q30" s="47"/>
      <c r="R30" s="47"/>
      <c r="S30" s="47"/>
      <c r="T30" s="36"/>
      <c r="U30" s="89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8" t="s">
        <v>516</v>
      </c>
      <c r="AA30" s="82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7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6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7"/>
      <c r="AA32" s="39"/>
    </row>
    <row r="33" spans="1:27" ht="15.6" x14ac:dyDescent="0.3">
      <c r="A33" s="42"/>
      <c r="B33" s="88" t="s">
        <v>485</v>
      </c>
      <c r="C33" s="82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544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8" t="s">
        <v>510</v>
      </c>
      <c r="AA33" s="82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6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7" t="s">
        <v>518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6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7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553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6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7" t="s">
        <v>554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6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7"/>
      <c r="AA38" s="39"/>
    </row>
    <row r="39" spans="1:27" ht="15.6" x14ac:dyDescent="0.3">
      <c r="A39" s="42"/>
      <c r="B39" s="88" t="s">
        <v>389</v>
      </c>
      <c r="C39" s="82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536</v>
      </c>
      <c r="Q39" s="47"/>
      <c r="R39" s="47"/>
      <c r="S39" s="47"/>
      <c r="T39" s="36"/>
      <c r="U39" s="89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8" t="s">
        <v>516</v>
      </c>
      <c r="AA39" s="82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7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6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7"/>
      <c r="AA41" s="39"/>
    </row>
    <row r="42" spans="1:27" ht="15.6" x14ac:dyDescent="0.3">
      <c r="A42" s="42"/>
      <c r="B42" s="88" t="s">
        <v>485</v>
      </c>
      <c r="C42" s="82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544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8" t="s">
        <v>510</v>
      </c>
      <c r="AA42" s="82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6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7" t="s">
        <v>518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6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7"/>
      <c r="AA44" s="39"/>
    </row>
    <row r="45" spans="1:27" ht="15.6" x14ac:dyDescent="0.3">
      <c r="A45" s="114" t="s">
        <v>395</v>
      </c>
      <c r="B45" s="114" t="s">
        <v>389</v>
      </c>
      <c r="C45" s="112" t="s">
        <v>396</v>
      </c>
      <c r="D45" s="112" t="s">
        <v>508</v>
      </c>
      <c r="E45" s="112" t="s">
        <v>397</v>
      </c>
      <c r="F45" s="112">
        <v>1</v>
      </c>
      <c r="G45" s="112" t="s">
        <v>390</v>
      </c>
      <c r="H45" s="112" t="s">
        <v>391</v>
      </c>
      <c r="I45" s="115" t="s">
        <v>535</v>
      </c>
      <c r="J45" s="112" t="s">
        <v>398</v>
      </c>
      <c r="K45" s="112" t="s">
        <v>397</v>
      </c>
      <c r="L45" s="112" t="s">
        <v>392</v>
      </c>
      <c r="M45" s="112" t="s">
        <v>399</v>
      </c>
      <c r="N45" s="112"/>
      <c r="O45" s="112">
        <f>+Y45/70</f>
        <v>74</v>
      </c>
      <c r="P45" s="112" t="s">
        <v>536</v>
      </c>
      <c r="Q45" s="117"/>
      <c r="R45" s="116"/>
      <c r="S45" s="116">
        <f>20*70</f>
        <v>1400</v>
      </c>
      <c r="T45" s="116">
        <f>27*70</f>
        <v>1890</v>
      </c>
      <c r="U45" s="116">
        <f>27*70</f>
        <v>1890</v>
      </c>
      <c r="V45" s="116"/>
      <c r="W45" s="116"/>
      <c r="X45" s="116"/>
      <c r="Y45" s="116">
        <f>SUM(Q45:X45)</f>
        <v>5180</v>
      </c>
      <c r="Z45" s="142" t="s">
        <v>555</v>
      </c>
      <c r="AA45" s="112" t="s">
        <v>406</v>
      </c>
    </row>
    <row r="46" spans="1:27" ht="15.6" x14ac:dyDescent="0.3">
      <c r="A46" s="118"/>
      <c r="B46" s="118"/>
      <c r="C46" s="118"/>
      <c r="D46" s="59"/>
      <c r="E46" s="59"/>
      <c r="F46" s="59"/>
      <c r="G46" s="59"/>
      <c r="H46" s="59"/>
      <c r="I46" s="143"/>
      <c r="J46" s="59"/>
      <c r="K46" s="59"/>
      <c r="L46" s="59"/>
      <c r="M46" s="59"/>
      <c r="N46" s="59"/>
      <c r="O46" s="144"/>
      <c r="P46" s="144" t="s">
        <v>556</v>
      </c>
      <c r="Q46" s="119"/>
      <c r="R46" s="122"/>
      <c r="S46" s="122"/>
      <c r="T46" s="122"/>
      <c r="U46" s="122"/>
      <c r="V46" s="122"/>
      <c r="W46" s="122"/>
      <c r="X46" s="122"/>
      <c r="Y46" s="118"/>
      <c r="Z46" s="118" t="s">
        <v>557</v>
      </c>
      <c r="AA46" s="59"/>
    </row>
    <row r="47" spans="1:27" ht="15.6" x14ac:dyDescent="0.3">
      <c r="A47" s="118"/>
      <c r="B47" s="118"/>
      <c r="C47" s="59"/>
      <c r="D47" s="118"/>
      <c r="E47" s="118"/>
      <c r="F47" s="118"/>
      <c r="G47" s="118"/>
      <c r="H47" s="118"/>
      <c r="I47" s="118"/>
      <c r="J47" s="118"/>
      <c r="K47" s="119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9"/>
      <c r="W47" s="145"/>
      <c r="X47" s="118"/>
      <c r="Y47" s="118"/>
      <c r="Z47" s="146"/>
      <c r="AA47" s="147"/>
    </row>
    <row r="48" spans="1:27" ht="15.6" x14ac:dyDescent="0.3">
      <c r="A48" s="53"/>
      <c r="B48" s="53"/>
      <c r="C48" s="82" t="s">
        <v>396</v>
      </c>
      <c r="D48" s="35" t="s">
        <v>508</v>
      </c>
      <c r="E48" s="35" t="s">
        <v>397</v>
      </c>
      <c r="F48" s="35">
        <v>1</v>
      </c>
      <c r="G48" s="35" t="s">
        <v>558</v>
      </c>
      <c r="H48" s="148" t="s">
        <v>419</v>
      </c>
      <c r="I48" s="148" t="s">
        <v>430</v>
      </c>
      <c r="J48" s="35" t="s">
        <v>398</v>
      </c>
      <c r="K48" s="35" t="s">
        <v>397</v>
      </c>
      <c r="L48" s="35" t="s">
        <v>392</v>
      </c>
      <c r="M48" s="35" t="s">
        <v>399</v>
      </c>
      <c r="N48" s="35"/>
      <c r="O48" s="35">
        <f>+Y48/55</f>
        <v>15</v>
      </c>
      <c r="P48" s="35" t="s">
        <v>536</v>
      </c>
      <c r="Q48" s="36">
        <f>2*55</f>
        <v>110</v>
      </c>
      <c r="R48" s="36">
        <f>5*55</f>
        <v>275</v>
      </c>
      <c r="S48" s="36">
        <f>8*55</f>
        <v>440</v>
      </c>
      <c r="T48" s="36"/>
      <c r="U48" s="36"/>
      <c r="V48" s="36"/>
      <c r="W48" s="36"/>
      <c r="X48" s="36"/>
      <c r="Y48" s="36">
        <f>SUM(Q48:X48)</f>
        <v>825</v>
      </c>
      <c r="Z48" s="47" t="s">
        <v>516</v>
      </c>
      <c r="AA48" s="40" t="s">
        <v>406</v>
      </c>
    </row>
    <row r="49" spans="1:28" ht="15.6" x14ac:dyDescent="0.3">
      <c r="A49" s="42"/>
      <c r="B49" s="79"/>
      <c r="C49" s="40" t="s">
        <v>396</v>
      </c>
      <c r="D49" s="40" t="s">
        <v>508</v>
      </c>
      <c r="E49" s="40" t="s">
        <v>397</v>
      </c>
      <c r="F49" s="40">
        <v>1</v>
      </c>
      <c r="G49" s="40" t="s">
        <v>390</v>
      </c>
      <c r="H49" s="40" t="s">
        <v>391</v>
      </c>
      <c r="I49" s="85" t="s">
        <v>430</v>
      </c>
      <c r="J49" s="40" t="s">
        <v>398</v>
      </c>
      <c r="K49" s="40" t="s">
        <v>397</v>
      </c>
      <c r="L49" s="40" t="s">
        <v>392</v>
      </c>
      <c r="M49" s="40" t="s">
        <v>399</v>
      </c>
      <c r="N49" s="40"/>
      <c r="O49" s="40">
        <f>+Y49/70</f>
        <v>15</v>
      </c>
      <c r="P49" s="40" t="s">
        <v>536</v>
      </c>
      <c r="Q49" s="53"/>
      <c r="R49" s="41"/>
      <c r="S49" s="41"/>
      <c r="T49" s="41">
        <f>8*70</f>
        <v>560</v>
      </c>
      <c r="U49" s="41">
        <f>7*70</f>
        <v>490</v>
      </c>
      <c r="V49" s="41"/>
      <c r="W49" s="41"/>
      <c r="X49" s="41"/>
      <c r="Y49" s="41">
        <f>SUM(Q49:X49)</f>
        <v>1050</v>
      </c>
      <c r="Z49" s="37" t="s">
        <v>519</v>
      </c>
      <c r="AA49" s="40"/>
    </row>
    <row r="50" spans="1:28" ht="15.6" x14ac:dyDescent="0.3">
      <c r="A50" s="42"/>
      <c r="B50" s="79"/>
      <c r="C50" s="42"/>
      <c r="D50" s="40"/>
      <c r="E50" s="40"/>
      <c r="F50" s="40"/>
      <c r="G50" s="40"/>
      <c r="H50" s="40"/>
      <c r="I50" s="85"/>
      <c r="J50" s="40"/>
      <c r="K50" s="40"/>
      <c r="L50" s="40"/>
      <c r="M50" s="40"/>
      <c r="N50" s="40"/>
      <c r="O50" s="40"/>
      <c r="P50" s="40"/>
      <c r="Q50" s="53"/>
      <c r="R50" s="41"/>
      <c r="S50" s="41"/>
      <c r="T50" s="41"/>
      <c r="U50" s="41"/>
      <c r="V50" s="41"/>
      <c r="W50" s="41"/>
      <c r="X50" s="41"/>
      <c r="Y50" s="41"/>
      <c r="Z50" s="92" t="s">
        <v>520</v>
      </c>
      <c r="AA50" s="40"/>
    </row>
    <row r="51" spans="1:28" ht="15.6" x14ac:dyDescent="0.3">
      <c r="A51" s="42"/>
      <c r="B51" s="79"/>
      <c r="C51" s="39"/>
      <c r="D51" s="42"/>
      <c r="E51" s="42"/>
      <c r="F51" s="42"/>
      <c r="G51" s="42"/>
      <c r="H51" s="42"/>
      <c r="I51" s="42"/>
      <c r="J51" s="42"/>
      <c r="K51" s="5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53"/>
      <c r="W51" s="90"/>
      <c r="X51" s="90"/>
      <c r="Y51" s="42"/>
      <c r="Z51" s="91"/>
      <c r="AA51" s="40"/>
    </row>
    <row r="52" spans="1:28" ht="15.6" x14ac:dyDescent="0.3">
      <c r="A52" s="61"/>
      <c r="B52" s="6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50"/>
      <c r="R52" s="50"/>
      <c r="S52" s="50"/>
      <c r="T52" s="61"/>
      <c r="U52" s="61"/>
      <c r="V52" s="50"/>
      <c r="W52" s="50"/>
      <c r="X52" s="50"/>
      <c r="Y52" s="50"/>
      <c r="Z52" s="93"/>
      <c r="AA52" s="94"/>
    </row>
    <row r="53" spans="1:28" ht="15.6" x14ac:dyDescent="0.3">
      <c r="A53" s="33" t="s">
        <v>407</v>
      </c>
      <c r="B53" s="33"/>
      <c r="C53" s="52"/>
      <c r="D53" s="52"/>
      <c r="E53" s="33"/>
      <c r="F53" s="33"/>
      <c r="G53" s="52"/>
      <c r="H53" s="33"/>
      <c r="I53" s="52"/>
      <c r="J53" s="52"/>
      <c r="K53" s="52"/>
      <c r="L53" s="33"/>
      <c r="M53" s="33"/>
      <c r="N53" s="51">
        <f>SUM(N4:N52)</f>
        <v>335</v>
      </c>
      <c r="O53" s="51">
        <f>SUM(O4:O52)</f>
        <v>104</v>
      </c>
      <c r="P53" s="51"/>
      <c r="Q53" s="51">
        <f t="shared" ref="Q53:Y53" si="0">SUM(Q4:Q52)</f>
        <v>110</v>
      </c>
      <c r="R53" s="51">
        <f t="shared" si="0"/>
        <v>275</v>
      </c>
      <c r="S53" s="51">
        <f t="shared" si="0"/>
        <v>1840</v>
      </c>
      <c r="T53" s="51">
        <f t="shared" si="0"/>
        <v>2450</v>
      </c>
      <c r="U53" s="51">
        <f t="shared" si="0"/>
        <v>4620</v>
      </c>
      <c r="V53" s="51">
        <f t="shared" si="0"/>
        <v>12160</v>
      </c>
      <c r="W53" s="51">
        <f t="shared" si="0"/>
        <v>9360</v>
      </c>
      <c r="X53" s="51">
        <f t="shared" si="0"/>
        <v>3040</v>
      </c>
      <c r="Y53" s="51">
        <f t="shared" si="0"/>
        <v>33855</v>
      </c>
      <c r="Z53" s="51"/>
      <c r="AA53" s="51"/>
    </row>
    <row r="54" spans="1:28" ht="15.6" x14ac:dyDescent="0.3">
      <c r="A54" s="95" t="s">
        <v>496</v>
      </c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</row>
    <row r="55" spans="1:28" ht="15.6" x14ac:dyDescent="0.3">
      <c r="A55" s="98" t="s">
        <v>497</v>
      </c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6"/>
      <c r="AB55" s="97"/>
    </row>
    <row r="56" spans="1:28" ht="15.6" x14ac:dyDescent="0.3">
      <c r="A56" s="100" t="s">
        <v>498</v>
      </c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7"/>
    </row>
    <row r="57" spans="1:28" ht="15.6" x14ac:dyDescent="0.3">
      <c r="A57" s="101" t="s">
        <v>499</v>
      </c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96"/>
      <c r="W57" s="96"/>
      <c r="X57" s="96"/>
      <c r="Y57" s="96"/>
      <c r="Z57" s="96"/>
      <c r="AA57" s="96"/>
      <c r="AB57" s="97"/>
    </row>
    <row r="58" spans="1:28" ht="15.6" x14ac:dyDescent="0.3">
      <c r="A58" s="101" t="s">
        <v>500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7"/>
    </row>
    <row r="59" spans="1:28" ht="15.6" x14ac:dyDescent="0.3">
      <c r="A59" s="101" t="s">
        <v>501</v>
      </c>
      <c r="B59" s="96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7"/>
    </row>
    <row r="60" spans="1:28" ht="15.6" x14ac:dyDescent="0.3">
      <c r="A60" s="101" t="s">
        <v>502</v>
      </c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6"/>
      <c r="AB60" s="97"/>
    </row>
    <row r="61" spans="1:28" x14ac:dyDescent="0.3">
      <c r="AA61"/>
      <c r="AB61" s="1"/>
    </row>
    <row r="62" spans="1:28" x14ac:dyDescent="0.3">
      <c r="AA62"/>
      <c r="AB62" s="1"/>
    </row>
    <row r="63" spans="1:28" x14ac:dyDescent="0.3">
      <c r="AA63"/>
      <c r="AB63" s="1"/>
    </row>
    <row r="64" spans="1:28" x14ac:dyDescent="0.3">
      <c r="AA64"/>
      <c r="AB64" s="1"/>
    </row>
    <row r="65" spans="27:28" x14ac:dyDescent="0.3">
      <c r="AA65"/>
      <c r="AB65" s="1"/>
    </row>
    <row r="66" spans="27:28" x14ac:dyDescent="0.3">
      <c r="AA66"/>
      <c r="AB66" s="1"/>
    </row>
    <row r="67" spans="27:28" x14ac:dyDescent="0.3">
      <c r="AA67"/>
      <c r="AB67" s="1"/>
    </row>
  </sheetData>
  <phoneticPr fontId="7" type="noConversion"/>
  <pageMargins left="0.31496062992126" right="0.118110236220472" top="5.1181101999999999E-2" bottom="0.25" header="0.31496062992126" footer="0.31496062992126"/>
  <pageSetup paperSize="9"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264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526</v>
      </c>
      <c r="W1" t="s">
        <v>537</v>
      </c>
      <c r="X1" t="s">
        <v>538</v>
      </c>
      <c r="Y1" t="s">
        <v>526</v>
      </c>
      <c r="Z1">
        <v>9103</v>
      </c>
      <c r="AA1">
        <v>9203</v>
      </c>
    </row>
    <row r="2" spans="1:50" x14ac:dyDescent="0.3">
      <c r="A2" t="s">
        <v>562</v>
      </c>
      <c r="B2" t="s">
        <v>563</v>
      </c>
      <c r="C2" t="s">
        <v>478</v>
      </c>
      <c r="D2" t="s">
        <v>508</v>
      </c>
      <c r="E2" t="s">
        <v>487</v>
      </c>
      <c r="F2" t="s">
        <v>479</v>
      </c>
      <c r="G2" t="s">
        <v>394</v>
      </c>
      <c r="H2" t="s">
        <v>391</v>
      </c>
      <c r="I2" t="s">
        <v>480</v>
      </c>
      <c r="J2" t="s">
        <v>488</v>
      </c>
      <c r="K2" t="s">
        <v>487</v>
      </c>
      <c r="L2" t="s">
        <v>553</v>
      </c>
      <c r="M2" t="s">
        <v>530</v>
      </c>
      <c r="N2" t="s">
        <v>528</v>
      </c>
      <c r="O2" t="s">
        <v>565</v>
      </c>
      <c r="P2" t="s">
        <v>508</v>
      </c>
      <c r="Q2">
        <v>1</v>
      </c>
      <c r="R2" t="s">
        <v>480</v>
      </c>
    </row>
    <row r="3" spans="1:50" x14ac:dyDescent="0.3">
      <c r="A3" t="s">
        <v>562</v>
      </c>
      <c r="B3" t="s">
        <v>563</v>
      </c>
      <c r="C3" t="s">
        <v>478</v>
      </c>
      <c r="D3" t="s">
        <v>508</v>
      </c>
      <c r="E3" t="s">
        <v>487</v>
      </c>
      <c r="F3" t="s">
        <v>479</v>
      </c>
      <c r="G3" t="s">
        <v>394</v>
      </c>
      <c r="H3" t="s">
        <v>391</v>
      </c>
      <c r="I3" t="s">
        <v>480</v>
      </c>
      <c r="J3" t="s">
        <v>488</v>
      </c>
      <c r="K3" t="s">
        <v>487</v>
      </c>
      <c r="L3" t="s">
        <v>553</v>
      </c>
      <c r="M3" t="s">
        <v>530</v>
      </c>
      <c r="N3" t="s">
        <v>528</v>
      </c>
      <c r="O3" t="s">
        <v>566</v>
      </c>
      <c r="P3" t="s">
        <v>508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562</v>
      </c>
      <c r="B4" t="s">
        <v>567</v>
      </c>
      <c r="C4" t="s">
        <v>478</v>
      </c>
      <c r="D4" t="s">
        <v>508</v>
      </c>
      <c r="E4" t="s">
        <v>487</v>
      </c>
      <c r="F4" t="s">
        <v>479</v>
      </c>
      <c r="G4" t="s">
        <v>394</v>
      </c>
      <c r="H4" t="s">
        <v>391</v>
      </c>
      <c r="I4" t="s">
        <v>480</v>
      </c>
      <c r="J4" t="s">
        <v>488</v>
      </c>
      <c r="K4" t="s">
        <v>487</v>
      </c>
      <c r="L4" t="s">
        <v>553</v>
      </c>
      <c r="M4" t="s">
        <v>530</v>
      </c>
      <c r="N4" t="s">
        <v>528</v>
      </c>
      <c r="O4" t="s">
        <v>570</v>
      </c>
      <c r="P4" t="s">
        <v>508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562</v>
      </c>
      <c r="B5" t="s">
        <v>567</v>
      </c>
      <c r="C5" t="s">
        <v>478</v>
      </c>
      <c r="D5" t="s">
        <v>508</v>
      </c>
      <c r="E5" t="s">
        <v>487</v>
      </c>
      <c r="F5" t="s">
        <v>479</v>
      </c>
      <c r="G5" t="s">
        <v>394</v>
      </c>
      <c r="H5" t="s">
        <v>391</v>
      </c>
      <c r="I5" t="s">
        <v>480</v>
      </c>
      <c r="J5" t="s">
        <v>488</v>
      </c>
      <c r="K5" t="s">
        <v>487</v>
      </c>
      <c r="L5" t="s">
        <v>553</v>
      </c>
      <c r="M5" t="s">
        <v>530</v>
      </c>
      <c r="N5" t="s">
        <v>528</v>
      </c>
      <c r="O5" t="s">
        <v>572</v>
      </c>
      <c r="P5" t="s">
        <v>508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562</v>
      </c>
      <c r="B6" t="s">
        <v>574</v>
      </c>
      <c r="C6" t="s">
        <v>478</v>
      </c>
      <c r="D6" t="s">
        <v>508</v>
      </c>
      <c r="E6" t="s">
        <v>487</v>
      </c>
      <c r="F6" t="s">
        <v>479</v>
      </c>
      <c r="G6" t="s">
        <v>394</v>
      </c>
      <c r="H6" t="s">
        <v>391</v>
      </c>
      <c r="I6" t="s">
        <v>480</v>
      </c>
      <c r="J6" t="s">
        <v>488</v>
      </c>
      <c r="K6" t="s">
        <v>487</v>
      </c>
      <c r="L6" t="s">
        <v>553</v>
      </c>
      <c r="M6" t="s">
        <v>530</v>
      </c>
      <c r="N6" t="s">
        <v>528</v>
      </c>
      <c r="O6" t="s">
        <v>575</v>
      </c>
      <c r="P6" t="s">
        <v>508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562</v>
      </c>
      <c r="B7" t="s">
        <v>567</v>
      </c>
      <c r="C7" t="s">
        <v>478</v>
      </c>
      <c r="D7" t="s">
        <v>508</v>
      </c>
      <c r="E7" t="s">
        <v>487</v>
      </c>
      <c r="F7" t="s">
        <v>479</v>
      </c>
      <c r="G7" t="s">
        <v>394</v>
      </c>
      <c r="H7" t="s">
        <v>391</v>
      </c>
      <c r="I7" t="s">
        <v>480</v>
      </c>
      <c r="J7" t="s">
        <v>488</v>
      </c>
      <c r="K7" t="s">
        <v>487</v>
      </c>
      <c r="L7" t="s">
        <v>553</v>
      </c>
      <c r="M7" t="s">
        <v>530</v>
      </c>
      <c r="N7" t="s">
        <v>528</v>
      </c>
      <c r="O7" t="s">
        <v>576</v>
      </c>
      <c r="P7" t="s">
        <v>508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562</v>
      </c>
      <c r="B8" t="s">
        <v>574</v>
      </c>
      <c r="C8" t="s">
        <v>478</v>
      </c>
      <c r="D8" t="s">
        <v>508</v>
      </c>
      <c r="E8" t="s">
        <v>487</v>
      </c>
      <c r="F8" t="s">
        <v>479</v>
      </c>
      <c r="G8" t="s">
        <v>394</v>
      </c>
      <c r="H8" t="s">
        <v>391</v>
      </c>
      <c r="I8" t="s">
        <v>480</v>
      </c>
      <c r="J8" t="s">
        <v>488</v>
      </c>
      <c r="K8" t="s">
        <v>487</v>
      </c>
      <c r="L8" t="s">
        <v>553</v>
      </c>
      <c r="M8" t="s">
        <v>530</v>
      </c>
      <c r="N8" t="s">
        <v>528</v>
      </c>
      <c r="O8" t="s">
        <v>579</v>
      </c>
      <c r="P8" t="s">
        <v>508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562</v>
      </c>
      <c r="B9" t="s">
        <v>574</v>
      </c>
      <c r="C9" t="s">
        <v>478</v>
      </c>
      <c r="D9" t="s">
        <v>508</v>
      </c>
      <c r="E9" t="s">
        <v>487</v>
      </c>
      <c r="F9" t="s">
        <v>479</v>
      </c>
      <c r="G9" t="s">
        <v>394</v>
      </c>
      <c r="H9" t="s">
        <v>391</v>
      </c>
      <c r="I9" t="s">
        <v>480</v>
      </c>
      <c r="J9" t="s">
        <v>488</v>
      </c>
      <c r="K9" t="s">
        <v>487</v>
      </c>
      <c r="L9" t="s">
        <v>553</v>
      </c>
      <c r="M9" t="s">
        <v>530</v>
      </c>
      <c r="N9" t="s">
        <v>528</v>
      </c>
      <c r="O9" t="s">
        <v>580</v>
      </c>
      <c r="P9" t="s">
        <v>508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562</v>
      </c>
      <c r="B10" t="s">
        <v>567</v>
      </c>
      <c r="C10" t="s">
        <v>478</v>
      </c>
      <c r="D10" t="s">
        <v>508</v>
      </c>
      <c r="E10" t="s">
        <v>487</v>
      </c>
      <c r="F10" t="s">
        <v>479</v>
      </c>
      <c r="G10" t="s">
        <v>394</v>
      </c>
      <c r="H10" t="s">
        <v>391</v>
      </c>
      <c r="I10" t="s">
        <v>480</v>
      </c>
      <c r="J10" t="s">
        <v>488</v>
      </c>
      <c r="K10" t="s">
        <v>487</v>
      </c>
      <c r="L10" t="s">
        <v>553</v>
      </c>
      <c r="M10" t="s">
        <v>530</v>
      </c>
      <c r="N10" t="s">
        <v>528</v>
      </c>
      <c r="O10" t="s">
        <v>583</v>
      </c>
      <c r="P10" t="s">
        <v>508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562</v>
      </c>
      <c r="B11" t="s">
        <v>574</v>
      </c>
      <c r="C11" t="s">
        <v>478</v>
      </c>
      <c r="D11" t="s">
        <v>508</v>
      </c>
      <c r="E11" t="s">
        <v>487</v>
      </c>
      <c r="F11" t="s">
        <v>479</v>
      </c>
      <c r="G11" t="s">
        <v>394</v>
      </c>
      <c r="H11" t="s">
        <v>391</v>
      </c>
      <c r="I11" t="s">
        <v>480</v>
      </c>
      <c r="J11" t="s">
        <v>488</v>
      </c>
      <c r="K11" t="s">
        <v>487</v>
      </c>
      <c r="L11" t="s">
        <v>553</v>
      </c>
      <c r="M11" t="s">
        <v>530</v>
      </c>
      <c r="N11" t="s">
        <v>528</v>
      </c>
      <c r="O11" t="s">
        <v>585</v>
      </c>
      <c r="P11" t="s">
        <v>508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562</v>
      </c>
      <c r="B12" t="s">
        <v>574</v>
      </c>
      <c r="C12" t="s">
        <v>478</v>
      </c>
      <c r="D12" t="s">
        <v>508</v>
      </c>
      <c r="E12" t="s">
        <v>487</v>
      </c>
      <c r="F12" t="s">
        <v>479</v>
      </c>
      <c r="G12" t="s">
        <v>394</v>
      </c>
      <c r="H12" t="s">
        <v>391</v>
      </c>
      <c r="I12" t="s">
        <v>480</v>
      </c>
      <c r="J12" t="s">
        <v>488</v>
      </c>
      <c r="K12" t="s">
        <v>487</v>
      </c>
      <c r="L12" t="s">
        <v>553</v>
      </c>
      <c r="M12" t="s">
        <v>530</v>
      </c>
      <c r="N12" t="s">
        <v>589</v>
      </c>
      <c r="O12" t="s">
        <v>590</v>
      </c>
      <c r="P12" t="s">
        <v>508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562</v>
      </c>
      <c r="B13" t="s">
        <v>591</v>
      </c>
      <c r="C13" t="s">
        <v>478</v>
      </c>
      <c r="D13" t="s">
        <v>508</v>
      </c>
      <c r="E13" t="s">
        <v>487</v>
      </c>
      <c r="F13" t="s">
        <v>479</v>
      </c>
      <c r="G13" t="s">
        <v>394</v>
      </c>
      <c r="H13" t="s">
        <v>391</v>
      </c>
      <c r="I13" t="s">
        <v>480</v>
      </c>
      <c r="J13" t="s">
        <v>488</v>
      </c>
      <c r="K13" t="s">
        <v>487</v>
      </c>
      <c r="L13" t="s">
        <v>553</v>
      </c>
      <c r="M13" t="s">
        <v>530</v>
      </c>
      <c r="N13" t="s">
        <v>589</v>
      </c>
      <c r="O13" t="s">
        <v>592</v>
      </c>
      <c r="P13" t="s">
        <v>508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562</v>
      </c>
      <c r="B14" t="s">
        <v>591</v>
      </c>
      <c r="C14" t="s">
        <v>478</v>
      </c>
      <c r="D14" t="s">
        <v>508</v>
      </c>
      <c r="E14" t="s">
        <v>487</v>
      </c>
      <c r="F14" t="s">
        <v>479</v>
      </c>
      <c r="G14" t="s">
        <v>394</v>
      </c>
      <c r="H14" t="s">
        <v>391</v>
      </c>
      <c r="I14" t="s">
        <v>480</v>
      </c>
      <c r="J14" t="s">
        <v>488</v>
      </c>
      <c r="K14" t="s">
        <v>487</v>
      </c>
      <c r="L14" t="s">
        <v>553</v>
      </c>
      <c r="M14" t="s">
        <v>530</v>
      </c>
      <c r="N14" t="s">
        <v>589</v>
      </c>
      <c r="O14" t="s">
        <v>593</v>
      </c>
      <c r="P14" t="s">
        <v>508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562</v>
      </c>
      <c r="B15" t="s">
        <v>591</v>
      </c>
      <c r="C15" t="s">
        <v>478</v>
      </c>
      <c r="D15" t="s">
        <v>508</v>
      </c>
      <c r="E15" t="s">
        <v>487</v>
      </c>
      <c r="F15" t="s">
        <v>479</v>
      </c>
      <c r="G15" t="s">
        <v>394</v>
      </c>
      <c r="H15" t="s">
        <v>391</v>
      </c>
      <c r="I15" t="s">
        <v>480</v>
      </c>
      <c r="J15" t="s">
        <v>488</v>
      </c>
      <c r="K15" t="s">
        <v>487</v>
      </c>
      <c r="L15" t="s">
        <v>553</v>
      </c>
      <c r="M15" t="s">
        <v>530</v>
      </c>
      <c r="N15" t="s">
        <v>589</v>
      </c>
      <c r="O15" t="s">
        <v>595</v>
      </c>
      <c r="P15" t="s">
        <v>508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562</v>
      </c>
      <c r="B16" t="s">
        <v>591</v>
      </c>
      <c r="C16" t="s">
        <v>478</v>
      </c>
      <c r="D16" t="s">
        <v>508</v>
      </c>
      <c r="E16" t="s">
        <v>487</v>
      </c>
      <c r="F16" t="s">
        <v>479</v>
      </c>
      <c r="G16" t="s">
        <v>394</v>
      </c>
      <c r="H16" t="s">
        <v>391</v>
      </c>
      <c r="I16" t="s">
        <v>480</v>
      </c>
      <c r="J16" t="s">
        <v>488</v>
      </c>
      <c r="K16" t="s">
        <v>487</v>
      </c>
      <c r="L16" t="s">
        <v>553</v>
      </c>
      <c r="M16" t="s">
        <v>530</v>
      </c>
      <c r="N16" t="s">
        <v>589</v>
      </c>
      <c r="O16" t="s">
        <v>599</v>
      </c>
      <c r="P16" t="s">
        <v>508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562</v>
      </c>
      <c r="B17" t="s">
        <v>591</v>
      </c>
      <c r="C17" t="s">
        <v>478</v>
      </c>
      <c r="D17" t="s">
        <v>508</v>
      </c>
      <c r="E17" t="s">
        <v>487</v>
      </c>
      <c r="F17" t="s">
        <v>479</v>
      </c>
      <c r="G17" t="s">
        <v>394</v>
      </c>
      <c r="H17" t="s">
        <v>391</v>
      </c>
      <c r="I17" t="s">
        <v>480</v>
      </c>
      <c r="J17" t="s">
        <v>488</v>
      </c>
      <c r="K17" t="s">
        <v>487</v>
      </c>
      <c r="L17" t="s">
        <v>553</v>
      </c>
      <c r="M17" t="s">
        <v>530</v>
      </c>
      <c r="N17" t="s">
        <v>589</v>
      </c>
      <c r="O17" t="s">
        <v>601</v>
      </c>
      <c r="P17" t="s">
        <v>508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562</v>
      </c>
      <c r="B18" t="s">
        <v>591</v>
      </c>
      <c r="C18" t="s">
        <v>478</v>
      </c>
      <c r="D18" t="s">
        <v>508</v>
      </c>
      <c r="E18" t="s">
        <v>487</v>
      </c>
      <c r="F18" t="s">
        <v>479</v>
      </c>
      <c r="G18" t="s">
        <v>394</v>
      </c>
      <c r="H18" t="s">
        <v>391</v>
      </c>
      <c r="I18" t="s">
        <v>480</v>
      </c>
      <c r="J18" t="s">
        <v>488</v>
      </c>
      <c r="K18" t="s">
        <v>487</v>
      </c>
      <c r="L18" t="s">
        <v>553</v>
      </c>
      <c r="M18" t="s">
        <v>530</v>
      </c>
      <c r="N18" t="s">
        <v>589</v>
      </c>
      <c r="O18" t="s">
        <v>602</v>
      </c>
      <c r="P18" t="s">
        <v>508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562</v>
      </c>
      <c r="B19" t="s">
        <v>606</v>
      </c>
      <c r="C19" t="s">
        <v>478</v>
      </c>
      <c r="D19" t="s">
        <v>508</v>
      </c>
      <c r="E19" t="s">
        <v>487</v>
      </c>
      <c r="F19" t="s">
        <v>479</v>
      </c>
      <c r="G19" t="s">
        <v>394</v>
      </c>
      <c r="H19" t="s">
        <v>391</v>
      </c>
      <c r="I19" t="s">
        <v>480</v>
      </c>
      <c r="J19" t="s">
        <v>488</v>
      </c>
      <c r="K19" t="s">
        <v>487</v>
      </c>
      <c r="L19" t="s">
        <v>553</v>
      </c>
      <c r="M19" t="s">
        <v>530</v>
      </c>
      <c r="N19" t="s">
        <v>589</v>
      </c>
      <c r="O19" t="s">
        <v>609</v>
      </c>
      <c r="P19" t="s">
        <v>508</v>
      </c>
      <c r="Q19">
        <v>0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562</v>
      </c>
      <c r="B20" t="s">
        <v>606</v>
      </c>
      <c r="C20" t="s">
        <v>478</v>
      </c>
      <c r="D20" t="s">
        <v>508</v>
      </c>
      <c r="E20" t="s">
        <v>487</v>
      </c>
      <c r="F20" t="s">
        <v>479</v>
      </c>
      <c r="G20" t="s">
        <v>394</v>
      </c>
      <c r="H20" t="s">
        <v>391</v>
      </c>
      <c r="I20" t="s">
        <v>480</v>
      </c>
      <c r="J20" t="s">
        <v>488</v>
      </c>
      <c r="K20" t="s">
        <v>487</v>
      </c>
      <c r="L20" t="s">
        <v>553</v>
      </c>
      <c r="M20" t="s">
        <v>530</v>
      </c>
      <c r="N20" t="s">
        <v>589</v>
      </c>
      <c r="O20" t="s">
        <v>610</v>
      </c>
      <c r="P20" t="s">
        <v>508</v>
      </c>
      <c r="Q20">
        <v>0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562</v>
      </c>
      <c r="B21" t="s">
        <v>606</v>
      </c>
      <c r="C21" t="s">
        <v>478</v>
      </c>
      <c r="D21" t="s">
        <v>508</v>
      </c>
      <c r="E21" t="s">
        <v>487</v>
      </c>
      <c r="F21" t="s">
        <v>479</v>
      </c>
      <c r="G21" t="s">
        <v>394</v>
      </c>
      <c r="H21" t="s">
        <v>391</v>
      </c>
      <c r="I21" t="s">
        <v>480</v>
      </c>
      <c r="J21" t="s">
        <v>488</v>
      </c>
      <c r="K21" t="s">
        <v>487</v>
      </c>
      <c r="L21" t="s">
        <v>553</v>
      </c>
      <c r="M21" t="s">
        <v>530</v>
      </c>
      <c r="N21" t="s">
        <v>589</v>
      </c>
      <c r="O21" t="s">
        <v>611</v>
      </c>
      <c r="P21" t="s">
        <v>508</v>
      </c>
      <c r="Q21">
        <v>0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562</v>
      </c>
      <c r="B22" t="s">
        <v>606</v>
      </c>
      <c r="C22" t="s">
        <v>478</v>
      </c>
      <c r="D22" t="s">
        <v>508</v>
      </c>
      <c r="E22" t="s">
        <v>487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487</v>
      </c>
      <c r="L22" t="s">
        <v>553</v>
      </c>
      <c r="M22" t="s">
        <v>530</v>
      </c>
      <c r="N22" t="s">
        <v>589</v>
      </c>
      <c r="O22" t="s">
        <v>612</v>
      </c>
      <c r="P22" t="s">
        <v>508</v>
      </c>
      <c r="Q22">
        <v>0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562</v>
      </c>
      <c r="B23" t="s">
        <v>606</v>
      </c>
      <c r="C23" t="s">
        <v>478</v>
      </c>
      <c r="D23" t="s">
        <v>508</v>
      </c>
      <c r="E23" t="s">
        <v>487</v>
      </c>
      <c r="F23" t="s">
        <v>479</v>
      </c>
      <c r="G23" t="s">
        <v>394</v>
      </c>
      <c r="H23" t="s">
        <v>391</v>
      </c>
      <c r="I23" t="s">
        <v>480</v>
      </c>
      <c r="J23" t="s">
        <v>488</v>
      </c>
      <c r="K23" t="s">
        <v>487</v>
      </c>
      <c r="L23" t="s">
        <v>553</v>
      </c>
      <c r="M23" t="s">
        <v>530</v>
      </c>
      <c r="N23" t="s">
        <v>589</v>
      </c>
      <c r="O23" t="s">
        <v>613</v>
      </c>
      <c r="P23" t="s">
        <v>508</v>
      </c>
      <c r="Q23">
        <v>0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562</v>
      </c>
      <c r="B24" t="s">
        <v>606</v>
      </c>
      <c r="C24" t="s">
        <v>478</v>
      </c>
      <c r="D24" t="s">
        <v>508</v>
      </c>
      <c r="E24" t="s">
        <v>487</v>
      </c>
      <c r="F24" t="s">
        <v>479</v>
      </c>
      <c r="G24" t="s">
        <v>394</v>
      </c>
      <c r="H24" t="s">
        <v>391</v>
      </c>
      <c r="I24" t="s">
        <v>480</v>
      </c>
      <c r="J24" t="s">
        <v>488</v>
      </c>
      <c r="K24" t="s">
        <v>487</v>
      </c>
      <c r="L24" t="s">
        <v>553</v>
      </c>
      <c r="M24" t="s">
        <v>530</v>
      </c>
      <c r="N24" t="s">
        <v>589</v>
      </c>
      <c r="O24" t="s">
        <v>615</v>
      </c>
      <c r="P24" t="s">
        <v>508</v>
      </c>
      <c r="Q24">
        <v>0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562</v>
      </c>
      <c r="B25" t="s">
        <v>617</v>
      </c>
      <c r="C25" t="s">
        <v>478</v>
      </c>
      <c r="D25" t="s">
        <v>508</v>
      </c>
      <c r="E25" t="s">
        <v>487</v>
      </c>
      <c r="F25" t="s">
        <v>479</v>
      </c>
      <c r="G25" t="s">
        <v>394</v>
      </c>
      <c r="H25" t="s">
        <v>391</v>
      </c>
      <c r="I25" t="s">
        <v>480</v>
      </c>
      <c r="J25" t="s">
        <v>488</v>
      </c>
      <c r="K25" t="s">
        <v>487</v>
      </c>
      <c r="L25" t="s">
        <v>553</v>
      </c>
      <c r="M25" t="s">
        <v>530</v>
      </c>
      <c r="N25" t="s">
        <v>589</v>
      </c>
      <c r="O25" t="s">
        <v>619</v>
      </c>
      <c r="P25" t="s">
        <v>508</v>
      </c>
      <c r="Q25">
        <v>0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562</v>
      </c>
      <c r="B26" t="s">
        <v>617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553</v>
      </c>
      <c r="M26" t="s">
        <v>530</v>
      </c>
      <c r="N26" t="s">
        <v>589</v>
      </c>
      <c r="O26" t="s">
        <v>621</v>
      </c>
      <c r="P26" t="s">
        <v>508</v>
      </c>
      <c r="Q26">
        <v>0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562</v>
      </c>
      <c r="B27" t="s">
        <v>617</v>
      </c>
      <c r="C27" t="s">
        <v>478</v>
      </c>
      <c r="D27" t="s">
        <v>508</v>
      </c>
      <c r="E27" t="s">
        <v>487</v>
      </c>
      <c r="F27" t="s">
        <v>479</v>
      </c>
      <c r="G27" t="s">
        <v>394</v>
      </c>
      <c r="H27" t="s">
        <v>391</v>
      </c>
      <c r="I27" t="s">
        <v>480</v>
      </c>
      <c r="J27" t="s">
        <v>488</v>
      </c>
      <c r="K27" t="s">
        <v>487</v>
      </c>
      <c r="L27" t="s">
        <v>553</v>
      </c>
      <c r="M27" t="s">
        <v>530</v>
      </c>
      <c r="N27" t="s">
        <v>589</v>
      </c>
      <c r="O27" t="s">
        <v>623</v>
      </c>
      <c r="P27" t="s">
        <v>508</v>
      </c>
      <c r="Q27">
        <v>0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625</v>
      </c>
      <c r="B28" t="s">
        <v>617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553</v>
      </c>
      <c r="M28" t="s">
        <v>530</v>
      </c>
      <c r="N28" t="s">
        <v>589</v>
      </c>
      <c r="O28" t="s">
        <v>626</v>
      </c>
      <c r="P28" t="s">
        <v>508</v>
      </c>
      <c r="Q28">
        <v>0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625</v>
      </c>
      <c r="B29" t="s">
        <v>818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553</v>
      </c>
      <c r="M29" t="s">
        <v>530</v>
      </c>
      <c r="N29" t="s">
        <v>589</v>
      </c>
      <c r="O29" t="s">
        <v>630</v>
      </c>
      <c r="P29" t="s">
        <v>508</v>
      </c>
      <c r="Q29">
        <v>0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625</v>
      </c>
      <c r="B30" t="s">
        <v>818</v>
      </c>
      <c r="C30" t="s">
        <v>478</v>
      </c>
      <c r="D30" t="s">
        <v>508</v>
      </c>
      <c r="E30" t="s">
        <v>487</v>
      </c>
      <c r="F30" t="s">
        <v>479</v>
      </c>
      <c r="G30" t="s">
        <v>394</v>
      </c>
      <c r="H30" t="s">
        <v>391</v>
      </c>
      <c r="I30" t="s">
        <v>480</v>
      </c>
      <c r="J30" t="s">
        <v>488</v>
      </c>
      <c r="K30" t="s">
        <v>487</v>
      </c>
      <c r="L30" t="s">
        <v>553</v>
      </c>
      <c r="M30" t="s">
        <v>530</v>
      </c>
      <c r="N30" t="s">
        <v>589</v>
      </c>
      <c r="O30" t="s">
        <v>631</v>
      </c>
      <c r="P30" t="s">
        <v>508</v>
      </c>
      <c r="Q30">
        <v>0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625</v>
      </c>
      <c r="B31" t="s">
        <v>818</v>
      </c>
      <c r="C31" t="s">
        <v>478</v>
      </c>
      <c r="D31" t="s">
        <v>508</v>
      </c>
      <c r="E31" t="s">
        <v>487</v>
      </c>
      <c r="F31" t="s">
        <v>479</v>
      </c>
      <c r="G31" t="s">
        <v>394</v>
      </c>
      <c r="H31" t="s">
        <v>391</v>
      </c>
      <c r="I31" t="s">
        <v>480</v>
      </c>
      <c r="J31" t="s">
        <v>488</v>
      </c>
      <c r="K31" t="s">
        <v>487</v>
      </c>
      <c r="L31" t="s">
        <v>553</v>
      </c>
      <c r="M31" t="s">
        <v>530</v>
      </c>
      <c r="N31" t="s">
        <v>589</v>
      </c>
      <c r="O31" t="s">
        <v>632</v>
      </c>
      <c r="P31" t="s">
        <v>508</v>
      </c>
      <c r="Q31">
        <v>0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625</v>
      </c>
      <c r="B32" t="s">
        <v>818</v>
      </c>
      <c r="C32" t="s">
        <v>478</v>
      </c>
      <c r="D32" t="s">
        <v>508</v>
      </c>
      <c r="E32" t="s">
        <v>487</v>
      </c>
      <c r="F32" t="s">
        <v>479</v>
      </c>
      <c r="G32" t="s">
        <v>394</v>
      </c>
      <c r="H32" t="s">
        <v>391</v>
      </c>
      <c r="I32" t="s">
        <v>480</v>
      </c>
      <c r="J32" t="s">
        <v>488</v>
      </c>
      <c r="K32" t="s">
        <v>487</v>
      </c>
      <c r="L32" t="s">
        <v>553</v>
      </c>
      <c r="M32" t="s">
        <v>530</v>
      </c>
      <c r="N32" t="s">
        <v>589</v>
      </c>
      <c r="O32" t="s">
        <v>633</v>
      </c>
      <c r="P32" t="s">
        <v>508</v>
      </c>
      <c r="Q32">
        <v>0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625</v>
      </c>
      <c r="B33" t="s">
        <v>818</v>
      </c>
      <c r="C33" t="s">
        <v>478</v>
      </c>
      <c r="D33" t="s">
        <v>508</v>
      </c>
      <c r="E33" t="s">
        <v>487</v>
      </c>
      <c r="F33" t="s">
        <v>479</v>
      </c>
      <c r="G33" t="s">
        <v>394</v>
      </c>
      <c r="H33" t="s">
        <v>391</v>
      </c>
      <c r="I33" t="s">
        <v>480</v>
      </c>
      <c r="J33" t="s">
        <v>488</v>
      </c>
      <c r="K33" t="s">
        <v>487</v>
      </c>
      <c r="L33" t="s">
        <v>553</v>
      </c>
      <c r="M33" t="s">
        <v>530</v>
      </c>
      <c r="N33" t="s">
        <v>589</v>
      </c>
      <c r="O33" t="s">
        <v>635</v>
      </c>
      <c r="P33" t="s">
        <v>508</v>
      </c>
      <c r="Q33">
        <v>0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625</v>
      </c>
      <c r="B34" t="s">
        <v>818</v>
      </c>
      <c r="C34" t="s">
        <v>478</v>
      </c>
      <c r="D34" t="s">
        <v>508</v>
      </c>
      <c r="E34" t="s">
        <v>487</v>
      </c>
      <c r="F34" t="s">
        <v>479</v>
      </c>
      <c r="G34" t="s">
        <v>394</v>
      </c>
      <c r="H34" t="s">
        <v>391</v>
      </c>
      <c r="I34" t="s">
        <v>480</v>
      </c>
      <c r="J34" t="s">
        <v>488</v>
      </c>
      <c r="K34" t="s">
        <v>487</v>
      </c>
      <c r="L34" t="s">
        <v>553</v>
      </c>
      <c r="M34" t="s">
        <v>530</v>
      </c>
      <c r="N34" t="s">
        <v>589</v>
      </c>
      <c r="O34" t="s">
        <v>636</v>
      </c>
      <c r="P34" t="s">
        <v>508</v>
      </c>
      <c r="Q34">
        <v>0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625</v>
      </c>
      <c r="B35" t="s">
        <v>819</v>
      </c>
      <c r="C35" t="s">
        <v>478</v>
      </c>
      <c r="D35" t="s">
        <v>508</v>
      </c>
      <c r="E35" t="s">
        <v>487</v>
      </c>
      <c r="F35" t="s">
        <v>479</v>
      </c>
      <c r="G35" t="s">
        <v>394</v>
      </c>
      <c r="H35" t="s">
        <v>391</v>
      </c>
      <c r="I35" t="s">
        <v>480</v>
      </c>
      <c r="J35" t="s">
        <v>488</v>
      </c>
      <c r="K35" t="s">
        <v>487</v>
      </c>
      <c r="L35" t="s">
        <v>553</v>
      </c>
      <c r="M35" t="s">
        <v>530</v>
      </c>
      <c r="N35" t="s">
        <v>589</v>
      </c>
      <c r="O35" t="s">
        <v>638</v>
      </c>
      <c r="P35" t="s">
        <v>508</v>
      </c>
      <c r="Q35">
        <v>0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625</v>
      </c>
      <c r="B36" t="s">
        <v>819</v>
      </c>
      <c r="C36" t="s">
        <v>478</v>
      </c>
      <c r="D36" t="s">
        <v>508</v>
      </c>
      <c r="E36" t="s">
        <v>487</v>
      </c>
      <c r="F36" t="s">
        <v>479</v>
      </c>
      <c r="G36" t="s">
        <v>394</v>
      </c>
      <c r="H36" t="s">
        <v>391</v>
      </c>
      <c r="I36" t="s">
        <v>480</v>
      </c>
      <c r="J36" t="s">
        <v>488</v>
      </c>
      <c r="K36" t="s">
        <v>487</v>
      </c>
      <c r="L36" t="s">
        <v>553</v>
      </c>
      <c r="M36" t="s">
        <v>530</v>
      </c>
      <c r="N36" t="s">
        <v>589</v>
      </c>
      <c r="O36" t="s">
        <v>639</v>
      </c>
      <c r="P36" t="s">
        <v>508</v>
      </c>
      <c r="Q36">
        <v>0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625</v>
      </c>
      <c r="B37" t="s">
        <v>819</v>
      </c>
      <c r="C37" t="s">
        <v>478</v>
      </c>
      <c r="D37" t="s">
        <v>508</v>
      </c>
      <c r="E37" t="s">
        <v>487</v>
      </c>
      <c r="F37" t="s">
        <v>479</v>
      </c>
      <c r="G37" t="s">
        <v>394</v>
      </c>
      <c r="H37" t="s">
        <v>391</v>
      </c>
      <c r="I37" t="s">
        <v>480</v>
      </c>
      <c r="J37" t="s">
        <v>488</v>
      </c>
      <c r="K37" t="s">
        <v>487</v>
      </c>
      <c r="L37" t="s">
        <v>553</v>
      </c>
      <c r="M37" t="s">
        <v>530</v>
      </c>
      <c r="N37" t="s">
        <v>589</v>
      </c>
      <c r="O37" t="s">
        <v>644</v>
      </c>
      <c r="P37" t="s">
        <v>508</v>
      </c>
      <c r="Q37">
        <v>0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625</v>
      </c>
      <c r="B38" t="s">
        <v>820</v>
      </c>
      <c r="C38" t="s">
        <v>478</v>
      </c>
      <c r="D38" t="s">
        <v>508</v>
      </c>
      <c r="E38" t="s">
        <v>487</v>
      </c>
      <c r="F38" t="s">
        <v>479</v>
      </c>
      <c r="G38" t="s">
        <v>394</v>
      </c>
      <c r="H38" t="s">
        <v>391</v>
      </c>
      <c r="I38" t="s">
        <v>480</v>
      </c>
      <c r="J38" t="s">
        <v>488</v>
      </c>
      <c r="K38" t="s">
        <v>487</v>
      </c>
      <c r="L38" t="s">
        <v>553</v>
      </c>
      <c r="M38" t="s">
        <v>530</v>
      </c>
      <c r="N38" t="s">
        <v>589</v>
      </c>
      <c r="O38" t="s">
        <v>744</v>
      </c>
      <c r="P38" t="s">
        <v>508</v>
      </c>
      <c r="Q38">
        <v>0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625</v>
      </c>
      <c r="B39" t="s">
        <v>820</v>
      </c>
      <c r="C39" t="s">
        <v>478</v>
      </c>
      <c r="D39" t="s">
        <v>508</v>
      </c>
      <c r="E39" t="s">
        <v>487</v>
      </c>
      <c r="F39" t="s">
        <v>479</v>
      </c>
      <c r="G39" t="s">
        <v>394</v>
      </c>
      <c r="H39" t="s">
        <v>391</v>
      </c>
      <c r="I39" t="s">
        <v>480</v>
      </c>
      <c r="J39" t="s">
        <v>488</v>
      </c>
      <c r="K39" t="s">
        <v>487</v>
      </c>
      <c r="L39" t="s">
        <v>553</v>
      </c>
      <c r="M39" t="s">
        <v>530</v>
      </c>
      <c r="N39" t="s">
        <v>589</v>
      </c>
      <c r="O39" t="s">
        <v>746</v>
      </c>
      <c r="P39" t="s">
        <v>508</v>
      </c>
      <c r="Q39">
        <v>0</v>
      </c>
      <c r="R39" t="s">
        <v>480</v>
      </c>
    </row>
    <row r="40" spans="1:48" x14ac:dyDescent="0.3">
      <c r="A40" t="s">
        <v>625</v>
      </c>
      <c r="B40" t="s">
        <v>821</v>
      </c>
      <c r="C40" t="s">
        <v>396</v>
      </c>
      <c r="D40" t="s">
        <v>508</v>
      </c>
      <c r="E40" t="s">
        <v>487</v>
      </c>
      <c r="F40" t="s">
        <v>479</v>
      </c>
      <c r="G40" t="s">
        <v>390</v>
      </c>
      <c r="H40" t="s">
        <v>391</v>
      </c>
      <c r="I40" t="s">
        <v>480</v>
      </c>
      <c r="J40" t="s">
        <v>488</v>
      </c>
      <c r="K40" t="s">
        <v>487</v>
      </c>
      <c r="L40" t="s">
        <v>536</v>
      </c>
      <c r="M40" t="s">
        <v>530</v>
      </c>
      <c r="N40" t="s">
        <v>589</v>
      </c>
      <c r="O40" t="s">
        <v>749</v>
      </c>
      <c r="P40" t="s">
        <v>508</v>
      </c>
      <c r="Q40">
        <v>0</v>
      </c>
      <c r="R40" t="s">
        <v>480</v>
      </c>
    </row>
    <row r="41" spans="1:48" x14ac:dyDescent="0.3">
      <c r="A41" t="s">
        <v>625</v>
      </c>
      <c r="B41" t="s">
        <v>820</v>
      </c>
      <c r="C41" t="s">
        <v>478</v>
      </c>
      <c r="D41" t="s">
        <v>508</v>
      </c>
      <c r="E41" t="s">
        <v>487</v>
      </c>
      <c r="F41" t="s">
        <v>479</v>
      </c>
      <c r="G41" t="s">
        <v>394</v>
      </c>
      <c r="H41" t="s">
        <v>391</v>
      </c>
      <c r="I41" t="s">
        <v>480</v>
      </c>
      <c r="J41" t="s">
        <v>488</v>
      </c>
      <c r="K41" t="s">
        <v>487</v>
      </c>
      <c r="L41" t="s">
        <v>553</v>
      </c>
      <c r="M41" t="s">
        <v>530</v>
      </c>
      <c r="N41" t="s">
        <v>589</v>
      </c>
      <c r="O41" t="s">
        <v>751</v>
      </c>
      <c r="P41" t="s">
        <v>508</v>
      </c>
      <c r="Q41">
        <v>0</v>
      </c>
      <c r="R41" t="s">
        <v>480</v>
      </c>
    </row>
    <row r="42" spans="1:48" x14ac:dyDescent="0.3">
      <c r="A42" t="s">
        <v>625</v>
      </c>
      <c r="B42" t="s">
        <v>821</v>
      </c>
      <c r="C42" t="s">
        <v>396</v>
      </c>
      <c r="D42" t="s">
        <v>508</v>
      </c>
      <c r="E42" t="s">
        <v>487</v>
      </c>
      <c r="F42" t="s">
        <v>479</v>
      </c>
      <c r="G42" t="s">
        <v>390</v>
      </c>
      <c r="H42" t="s">
        <v>391</v>
      </c>
      <c r="I42" t="s">
        <v>480</v>
      </c>
      <c r="J42" t="s">
        <v>488</v>
      </c>
      <c r="K42" t="s">
        <v>487</v>
      </c>
      <c r="L42" t="s">
        <v>536</v>
      </c>
      <c r="M42" t="s">
        <v>530</v>
      </c>
      <c r="N42" t="s">
        <v>589</v>
      </c>
      <c r="O42" t="s">
        <v>753</v>
      </c>
      <c r="P42" t="s">
        <v>508</v>
      </c>
      <c r="Q42">
        <v>0</v>
      </c>
      <c r="R42" t="s">
        <v>480</v>
      </c>
    </row>
    <row r="43" spans="1:48" x14ac:dyDescent="0.3">
      <c r="A43" t="s">
        <v>625</v>
      </c>
      <c r="B43" t="s">
        <v>821</v>
      </c>
      <c r="C43" t="s">
        <v>396</v>
      </c>
      <c r="D43" t="s">
        <v>508</v>
      </c>
      <c r="E43" t="s">
        <v>487</v>
      </c>
      <c r="F43" t="s">
        <v>479</v>
      </c>
      <c r="G43" t="s">
        <v>390</v>
      </c>
      <c r="H43" t="s">
        <v>391</v>
      </c>
      <c r="I43" t="s">
        <v>480</v>
      </c>
      <c r="J43" t="s">
        <v>488</v>
      </c>
      <c r="K43" t="s">
        <v>487</v>
      </c>
      <c r="L43" t="s">
        <v>536</v>
      </c>
      <c r="M43" t="s">
        <v>530</v>
      </c>
      <c r="N43" t="s">
        <v>589</v>
      </c>
      <c r="O43" t="s">
        <v>757</v>
      </c>
      <c r="P43" t="s">
        <v>508</v>
      </c>
      <c r="Q43">
        <v>0</v>
      </c>
      <c r="R43" t="s">
        <v>480</v>
      </c>
    </row>
    <row r="44" spans="1:48" x14ac:dyDescent="0.3">
      <c r="A44" t="s">
        <v>625</v>
      </c>
      <c r="B44" t="s">
        <v>822</v>
      </c>
      <c r="C44" t="s">
        <v>396</v>
      </c>
      <c r="D44" t="s">
        <v>508</v>
      </c>
      <c r="E44" t="s">
        <v>487</v>
      </c>
      <c r="F44" t="s">
        <v>479</v>
      </c>
      <c r="G44" t="s">
        <v>390</v>
      </c>
      <c r="H44" t="s">
        <v>391</v>
      </c>
      <c r="I44" t="s">
        <v>480</v>
      </c>
      <c r="J44" t="s">
        <v>488</v>
      </c>
      <c r="K44" t="s">
        <v>487</v>
      </c>
      <c r="L44" t="s">
        <v>536</v>
      </c>
      <c r="M44" t="s">
        <v>530</v>
      </c>
      <c r="N44" t="s">
        <v>589</v>
      </c>
      <c r="O44" t="s">
        <v>764</v>
      </c>
      <c r="P44" t="s">
        <v>508</v>
      </c>
      <c r="Q44">
        <v>0</v>
      </c>
      <c r="R44" t="s">
        <v>480</v>
      </c>
    </row>
    <row r="45" spans="1:48" x14ac:dyDescent="0.3">
      <c r="A45" t="s">
        <v>625</v>
      </c>
      <c r="B45" t="s">
        <v>822</v>
      </c>
      <c r="C45" t="s">
        <v>396</v>
      </c>
      <c r="D45" t="s">
        <v>508</v>
      </c>
      <c r="E45" t="s">
        <v>487</v>
      </c>
      <c r="F45" t="s">
        <v>479</v>
      </c>
      <c r="G45" t="s">
        <v>390</v>
      </c>
      <c r="H45" t="s">
        <v>391</v>
      </c>
      <c r="I45" t="s">
        <v>480</v>
      </c>
      <c r="J45" t="s">
        <v>488</v>
      </c>
      <c r="K45" t="s">
        <v>487</v>
      </c>
      <c r="L45" t="s">
        <v>536</v>
      </c>
      <c r="M45" t="s">
        <v>530</v>
      </c>
      <c r="N45" t="s">
        <v>589</v>
      </c>
      <c r="O45" t="s">
        <v>768</v>
      </c>
      <c r="P45" t="s">
        <v>508</v>
      </c>
      <c r="Q45">
        <v>0</v>
      </c>
      <c r="R45" t="s">
        <v>480</v>
      </c>
    </row>
    <row r="46" spans="1:48" x14ac:dyDescent="0.3">
      <c r="A46" t="s">
        <v>625</v>
      </c>
      <c r="B46" t="s">
        <v>822</v>
      </c>
      <c r="C46" t="s">
        <v>396</v>
      </c>
      <c r="D46" t="s">
        <v>508</v>
      </c>
      <c r="E46" t="s">
        <v>487</v>
      </c>
      <c r="F46" t="s">
        <v>479</v>
      </c>
      <c r="G46" t="s">
        <v>390</v>
      </c>
      <c r="H46" t="s">
        <v>391</v>
      </c>
      <c r="I46" t="s">
        <v>480</v>
      </c>
      <c r="J46" t="s">
        <v>488</v>
      </c>
      <c r="K46" t="s">
        <v>487</v>
      </c>
      <c r="L46" t="s">
        <v>536</v>
      </c>
      <c r="M46" t="s">
        <v>530</v>
      </c>
      <c r="N46" t="s">
        <v>589</v>
      </c>
      <c r="O46" t="s">
        <v>769</v>
      </c>
      <c r="P46" t="s">
        <v>508</v>
      </c>
      <c r="Q46">
        <v>0</v>
      </c>
      <c r="R46" t="s">
        <v>480</v>
      </c>
    </row>
    <row r="47" spans="1:48" x14ac:dyDescent="0.3">
      <c r="A47" t="s">
        <v>625</v>
      </c>
      <c r="B47" t="s">
        <v>822</v>
      </c>
      <c r="C47" t="s">
        <v>396</v>
      </c>
      <c r="D47" t="s">
        <v>508</v>
      </c>
      <c r="E47" t="s">
        <v>487</v>
      </c>
      <c r="F47" t="s">
        <v>479</v>
      </c>
      <c r="G47" t="s">
        <v>390</v>
      </c>
      <c r="H47" t="s">
        <v>391</v>
      </c>
      <c r="I47" t="s">
        <v>480</v>
      </c>
      <c r="J47" t="s">
        <v>488</v>
      </c>
      <c r="K47" t="s">
        <v>487</v>
      </c>
      <c r="L47" t="s">
        <v>536</v>
      </c>
      <c r="M47" t="s">
        <v>530</v>
      </c>
      <c r="N47" t="s">
        <v>589</v>
      </c>
      <c r="O47" t="s">
        <v>771</v>
      </c>
      <c r="P47" t="s">
        <v>508</v>
      </c>
      <c r="Q47">
        <v>0</v>
      </c>
      <c r="R47" t="s">
        <v>480</v>
      </c>
    </row>
    <row r="48" spans="1:48" x14ac:dyDescent="0.3">
      <c r="A48" t="s">
        <v>625</v>
      </c>
      <c r="B48" t="s">
        <v>852</v>
      </c>
      <c r="C48" t="s">
        <v>478</v>
      </c>
      <c r="D48" t="s">
        <v>508</v>
      </c>
      <c r="E48" t="s">
        <v>487</v>
      </c>
      <c r="F48" t="s">
        <v>479</v>
      </c>
      <c r="G48" t="s">
        <v>394</v>
      </c>
      <c r="H48" t="s">
        <v>391</v>
      </c>
      <c r="I48" t="s">
        <v>480</v>
      </c>
      <c r="J48" t="s">
        <v>488</v>
      </c>
      <c r="K48" t="s">
        <v>487</v>
      </c>
      <c r="L48" t="s">
        <v>553</v>
      </c>
      <c r="M48" t="s">
        <v>530</v>
      </c>
      <c r="N48" t="s">
        <v>589</v>
      </c>
      <c r="O48" t="s">
        <v>779</v>
      </c>
      <c r="P48" t="s">
        <v>508</v>
      </c>
      <c r="Q48">
        <v>0</v>
      </c>
      <c r="R48" t="s">
        <v>480</v>
      </c>
    </row>
    <row r="49" spans="1:18" x14ac:dyDescent="0.3">
      <c r="A49" t="s">
        <v>625</v>
      </c>
      <c r="B49" t="s">
        <v>852</v>
      </c>
      <c r="C49" t="s">
        <v>478</v>
      </c>
      <c r="D49" t="s">
        <v>508</v>
      </c>
      <c r="E49" t="s">
        <v>487</v>
      </c>
      <c r="F49" t="s">
        <v>479</v>
      </c>
      <c r="G49" t="s">
        <v>411</v>
      </c>
      <c r="H49" t="s">
        <v>391</v>
      </c>
      <c r="I49" t="s">
        <v>480</v>
      </c>
      <c r="J49" t="s">
        <v>488</v>
      </c>
      <c r="K49" t="s">
        <v>487</v>
      </c>
      <c r="L49" t="s">
        <v>544</v>
      </c>
      <c r="M49" t="s">
        <v>530</v>
      </c>
      <c r="N49" t="s">
        <v>589</v>
      </c>
      <c r="O49" t="s">
        <v>780</v>
      </c>
      <c r="P49" t="s">
        <v>508</v>
      </c>
      <c r="Q49">
        <v>0</v>
      </c>
      <c r="R49" t="s">
        <v>480</v>
      </c>
    </row>
    <row r="50" spans="1:18" x14ac:dyDescent="0.3">
      <c r="A50" t="s">
        <v>625</v>
      </c>
      <c r="B50" t="s">
        <v>852</v>
      </c>
      <c r="C50" t="s">
        <v>478</v>
      </c>
      <c r="D50" t="s">
        <v>508</v>
      </c>
      <c r="E50" t="s">
        <v>487</v>
      </c>
      <c r="F50" t="s">
        <v>479</v>
      </c>
      <c r="G50" t="s">
        <v>411</v>
      </c>
      <c r="H50" t="s">
        <v>391</v>
      </c>
      <c r="I50" t="s">
        <v>480</v>
      </c>
      <c r="J50" t="s">
        <v>488</v>
      </c>
      <c r="K50" t="s">
        <v>487</v>
      </c>
      <c r="L50" t="s">
        <v>544</v>
      </c>
      <c r="M50" t="s">
        <v>530</v>
      </c>
      <c r="N50" t="s">
        <v>589</v>
      </c>
      <c r="O50" t="s">
        <v>781</v>
      </c>
      <c r="P50" t="s">
        <v>508</v>
      </c>
      <c r="Q50">
        <v>0</v>
      </c>
      <c r="R50" t="s">
        <v>480</v>
      </c>
    </row>
    <row r="51" spans="1:18" x14ac:dyDescent="0.3">
      <c r="A51" t="s">
        <v>625</v>
      </c>
      <c r="B51" t="s">
        <v>852</v>
      </c>
      <c r="C51" t="s">
        <v>478</v>
      </c>
      <c r="D51" t="s">
        <v>508</v>
      </c>
      <c r="E51" t="s">
        <v>487</v>
      </c>
      <c r="F51" t="s">
        <v>479</v>
      </c>
      <c r="G51" t="s">
        <v>411</v>
      </c>
      <c r="H51" t="s">
        <v>391</v>
      </c>
      <c r="I51" t="s">
        <v>480</v>
      </c>
      <c r="J51" t="s">
        <v>488</v>
      </c>
      <c r="K51" t="s">
        <v>487</v>
      </c>
      <c r="L51" t="s">
        <v>544</v>
      </c>
      <c r="M51" t="s">
        <v>530</v>
      </c>
      <c r="N51" t="s">
        <v>589</v>
      </c>
      <c r="O51" t="s">
        <v>783</v>
      </c>
      <c r="P51" t="s">
        <v>508</v>
      </c>
      <c r="Q51">
        <v>0</v>
      </c>
      <c r="R51" t="s">
        <v>480</v>
      </c>
    </row>
    <row r="52" spans="1:18" x14ac:dyDescent="0.3">
      <c r="A52" t="s">
        <v>625</v>
      </c>
      <c r="B52" t="s">
        <v>852</v>
      </c>
      <c r="C52" t="s">
        <v>478</v>
      </c>
      <c r="D52" t="s">
        <v>508</v>
      </c>
      <c r="E52" t="s">
        <v>487</v>
      </c>
      <c r="F52" t="s">
        <v>479</v>
      </c>
      <c r="G52" t="s">
        <v>411</v>
      </c>
      <c r="H52" t="s">
        <v>391</v>
      </c>
      <c r="I52" t="s">
        <v>480</v>
      </c>
      <c r="J52" t="s">
        <v>488</v>
      </c>
      <c r="K52" t="s">
        <v>487</v>
      </c>
      <c r="L52" t="s">
        <v>544</v>
      </c>
      <c r="M52" t="s">
        <v>530</v>
      </c>
      <c r="N52" t="s">
        <v>589</v>
      </c>
      <c r="O52" t="s">
        <v>790</v>
      </c>
      <c r="P52" t="s">
        <v>508</v>
      </c>
      <c r="Q52">
        <v>0</v>
      </c>
      <c r="R52" t="s">
        <v>480</v>
      </c>
    </row>
    <row r="53" spans="1:18" x14ac:dyDescent="0.3">
      <c r="A53" t="s">
        <v>625</v>
      </c>
      <c r="B53" t="s">
        <v>852</v>
      </c>
      <c r="C53" t="s">
        <v>478</v>
      </c>
      <c r="D53" t="s">
        <v>508</v>
      </c>
      <c r="E53" t="s">
        <v>487</v>
      </c>
      <c r="F53" t="s">
        <v>479</v>
      </c>
      <c r="G53" t="s">
        <v>411</v>
      </c>
      <c r="H53" t="s">
        <v>391</v>
      </c>
      <c r="I53" t="s">
        <v>480</v>
      </c>
      <c r="J53" t="s">
        <v>488</v>
      </c>
      <c r="K53" t="s">
        <v>487</v>
      </c>
      <c r="L53" t="s">
        <v>544</v>
      </c>
      <c r="M53" t="s">
        <v>530</v>
      </c>
      <c r="N53" t="s">
        <v>589</v>
      </c>
      <c r="O53" t="s">
        <v>795</v>
      </c>
      <c r="P53" t="s">
        <v>508</v>
      </c>
      <c r="Q53">
        <v>0</v>
      </c>
      <c r="R53" t="s">
        <v>480</v>
      </c>
    </row>
    <row r="54" spans="1:18" x14ac:dyDescent="0.3">
      <c r="A54" t="s">
        <v>625</v>
      </c>
      <c r="B54" t="s">
        <v>853</v>
      </c>
      <c r="C54" t="s">
        <v>478</v>
      </c>
      <c r="D54" t="s">
        <v>508</v>
      </c>
      <c r="E54" t="s">
        <v>487</v>
      </c>
      <c r="F54" t="s">
        <v>479</v>
      </c>
      <c r="G54" t="s">
        <v>411</v>
      </c>
      <c r="H54" t="s">
        <v>391</v>
      </c>
      <c r="I54" t="s">
        <v>480</v>
      </c>
      <c r="J54" t="s">
        <v>488</v>
      </c>
      <c r="K54" t="s">
        <v>487</v>
      </c>
      <c r="L54" t="s">
        <v>544</v>
      </c>
      <c r="M54" t="s">
        <v>530</v>
      </c>
      <c r="N54" t="s">
        <v>589</v>
      </c>
      <c r="O54" t="s">
        <v>797</v>
      </c>
      <c r="P54" t="s">
        <v>508</v>
      </c>
      <c r="Q54">
        <v>0</v>
      </c>
      <c r="R54" t="s">
        <v>480</v>
      </c>
    </row>
    <row r="55" spans="1:18" x14ac:dyDescent="0.3">
      <c r="A55" t="s">
        <v>625</v>
      </c>
      <c r="B55" t="s">
        <v>853</v>
      </c>
      <c r="C55" t="s">
        <v>478</v>
      </c>
      <c r="D55" t="s">
        <v>508</v>
      </c>
      <c r="E55" t="s">
        <v>487</v>
      </c>
      <c r="F55" t="s">
        <v>479</v>
      </c>
      <c r="G55" t="s">
        <v>411</v>
      </c>
      <c r="H55" t="s">
        <v>391</v>
      </c>
      <c r="I55" t="s">
        <v>480</v>
      </c>
      <c r="J55" t="s">
        <v>488</v>
      </c>
      <c r="K55" t="s">
        <v>487</v>
      </c>
      <c r="L55" t="s">
        <v>544</v>
      </c>
      <c r="M55" t="s">
        <v>530</v>
      </c>
      <c r="N55" t="s">
        <v>589</v>
      </c>
      <c r="O55" t="s">
        <v>800</v>
      </c>
      <c r="P55" t="s">
        <v>508</v>
      </c>
      <c r="Q55">
        <v>0</v>
      </c>
      <c r="R55" t="s">
        <v>480</v>
      </c>
    </row>
    <row r="56" spans="1:18" x14ac:dyDescent="0.3">
      <c r="A56" t="s">
        <v>625</v>
      </c>
      <c r="B56" t="s">
        <v>853</v>
      </c>
      <c r="C56" t="s">
        <v>478</v>
      </c>
      <c r="D56" t="s">
        <v>508</v>
      </c>
      <c r="E56" t="s">
        <v>487</v>
      </c>
      <c r="F56" t="s">
        <v>479</v>
      </c>
      <c r="G56" t="s">
        <v>411</v>
      </c>
      <c r="H56" t="s">
        <v>391</v>
      </c>
      <c r="I56" t="s">
        <v>480</v>
      </c>
      <c r="J56" t="s">
        <v>488</v>
      </c>
      <c r="K56" t="s">
        <v>487</v>
      </c>
      <c r="L56" t="s">
        <v>544</v>
      </c>
      <c r="M56" t="s">
        <v>530</v>
      </c>
      <c r="N56" t="s">
        <v>589</v>
      </c>
      <c r="O56" t="s">
        <v>801</v>
      </c>
      <c r="P56" t="s">
        <v>508</v>
      </c>
      <c r="Q56">
        <v>0</v>
      </c>
      <c r="R56" t="s">
        <v>480</v>
      </c>
    </row>
    <row r="57" spans="1:18" x14ac:dyDescent="0.3">
      <c r="A57" t="s">
        <v>625</v>
      </c>
      <c r="B57" t="s">
        <v>853</v>
      </c>
      <c r="C57" t="s">
        <v>478</v>
      </c>
      <c r="D57" t="s">
        <v>508</v>
      </c>
      <c r="E57" t="s">
        <v>487</v>
      </c>
      <c r="F57" t="s">
        <v>479</v>
      </c>
      <c r="G57" t="s">
        <v>411</v>
      </c>
      <c r="H57" t="s">
        <v>391</v>
      </c>
      <c r="I57" t="s">
        <v>480</v>
      </c>
      <c r="J57" t="s">
        <v>488</v>
      </c>
      <c r="K57" t="s">
        <v>487</v>
      </c>
      <c r="L57" t="s">
        <v>544</v>
      </c>
      <c r="M57" t="s">
        <v>530</v>
      </c>
      <c r="N57" t="s">
        <v>589</v>
      </c>
      <c r="O57" t="s">
        <v>809</v>
      </c>
      <c r="P57" t="s">
        <v>508</v>
      </c>
      <c r="Q57">
        <v>0</v>
      </c>
      <c r="R57" t="s">
        <v>480</v>
      </c>
    </row>
    <row r="58" spans="1:18" x14ac:dyDescent="0.3">
      <c r="A58" t="s">
        <v>625</v>
      </c>
      <c r="B58" t="s">
        <v>853</v>
      </c>
      <c r="C58" t="s">
        <v>478</v>
      </c>
      <c r="D58" t="s">
        <v>508</v>
      </c>
      <c r="E58" t="s">
        <v>487</v>
      </c>
      <c r="F58" t="s">
        <v>479</v>
      </c>
      <c r="G58" t="s">
        <v>411</v>
      </c>
      <c r="H58" t="s">
        <v>391</v>
      </c>
      <c r="I58" t="s">
        <v>480</v>
      </c>
      <c r="J58" t="s">
        <v>488</v>
      </c>
      <c r="K58" t="s">
        <v>487</v>
      </c>
      <c r="L58" t="s">
        <v>544</v>
      </c>
      <c r="M58" t="s">
        <v>530</v>
      </c>
      <c r="N58" t="s">
        <v>589</v>
      </c>
      <c r="O58" t="s">
        <v>823</v>
      </c>
      <c r="P58" t="s">
        <v>508</v>
      </c>
      <c r="Q58">
        <v>0</v>
      </c>
      <c r="R58" t="s">
        <v>480</v>
      </c>
    </row>
    <row r="59" spans="1:18" x14ac:dyDescent="0.3">
      <c r="A59" t="s">
        <v>824</v>
      </c>
      <c r="B59" t="s">
        <v>853</v>
      </c>
      <c r="C59" t="s">
        <v>478</v>
      </c>
      <c r="D59" t="s">
        <v>508</v>
      </c>
      <c r="E59" t="s">
        <v>487</v>
      </c>
      <c r="F59" t="s">
        <v>479</v>
      </c>
      <c r="G59" t="s">
        <v>411</v>
      </c>
      <c r="H59" t="s">
        <v>391</v>
      </c>
      <c r="I59" t="s">
        <v>480</v>
      </c>
      <c r="J59" t="s">
        <v>488</v>
      </c>
      <c r="K59" t="s">
        <v>487</v>
      </c>
      <c r="L59" t="s">
        <v>544</v>
      </c>
      <c r="M59" t="s">
        <v>530</v>
      </c>
      <c r="N59" t="s">
        <v>528</v>
      </c>
      <c r="O59" t="s">
        <v>825</v>
      </c>
      <c r="P59" t="s">
        <v>508</v>
      </c>
      <c r="Q59">
        <v>0</v>
      </c>
      <c r="R59" t="s">
        <v>480</v>
      </c>
    </row>
    <row r="60" spans="1:18" x14ac:dyDescent="0.3">
      <c r="A60" t="s">
        <v>824</v>
      </c>
      <c r="B60" t="s">
        <v>483</v>
      </c>
      <c r="C60" t="s">
        <v>478</v>
      </c>
      <c r="D60" t="s">
        <v>508</v>
      </c>
      <c r="E60" t="s">
        <v>487</v>
      </c>
      <c r="F60" t="s">
        <v>479</v>
      </c>
      <c r="G60" t="s">
        <v>411</v>
      </c>
      <c r="H60" t="s">
        <v>391</v>
      </c>
      <c r="I60" t="s">
        <v>480</v>
      </c>
      <c r="J60" t="s">
        <v>488</v>
      </c>
      <c r="K60" t="s">
        <v>487</v>
      </c>
      <c r="L60" t="s">
        <v>544</v>
      </c>
      <c r="M60" t="s">
        <v>530</v>
      </c>
      <c r="N60" t="s">
        <v>589</v>
      </c>
      <c r="O60" t="s">
        <v>826</v>
      </c>
      <c r="P60" t="s">
        <v>508</v>
      </c>
      <c r="Q60">
        <v>0</v>
      </c>
      <c r="R60" t="s">
        <v>480</v>
      </c>
    </row>
    <row r="61" spans="1:18" x14ac:dyDescent="0.3">
      <c r="A61" t="s">
        <v>824</v>
      </c>
      <c r="B61" t="s">
        <v>483</v>
      </c>
      <c r="C61" t="s">
        <v>478</v>
      </c>
      <c r="D61" t="s">
        <v>508</v>
      </c>
      <c r="E61" t="s">
        <v>487</v>
      </c>
      <c r="F61" t="s">
        <v>479</v>
      </c>
      <c r="G61" t="s">
        <v>411</v>
      </c>
      <c r="H61" t="s">
        <v>391</v>
      </c>
      <c r="I61" t="s">
        <v>480</v>
      </c>
      <c r="J61" t="s">
        <v>488</v>
      </c>
      <c r="K61" t="s">
        <v>487</v>
      </c>
      <c r="L61" t="s">
        <v>544</v>
      </c>
      <c r="M61" t="s">
        <v>530</v>
      </c>
      <c r="N61" t="s">
        <v>528</v>
      </c>
      <c r="O61" t="s">
        <v>828</v>
      </c>
      <c r="P61" t="s">
        <v>508</v>
      </c>
      <c r="Q61">
        <v>0</v>
      </c>
      <c r="R61" t="s">
        <v>480</v>
      </c>
    </row>
    <row r="62" spans="1:18" x14ac:dyDescent="0.3">
      <c r="A62" t="s">
        <v>824</v>
      </c>
      <c r="B62" t="s">
        <v>483</v>
      </c>
      <c r="C62" t="s">
        <v>478</v>
      </c>
      <c r="D62" t="s">
        <v>508</v>
      </c>
      <c r="E62" t="s">
        <v>487</v>
      </c>
      <c r="F62" t="s">
        <v>479</v>
      </c>
      <c r="G62" t="s">
        <v>411</v>
      </c>
      <c r="H62" t="s">
        <v>391</v>
      </c>
      <c r="I62" t="s">
        <v>480</v>
      </c>
      <c r="J62" t="s">
        <v>488</v>
      </c>
      <c r="K62" t="s">
        <v>487</v>
      </c>
      <c r="L62" t="s">
        <v>544</v>
      </c>
      <c r="M62" t="s">
        <v>530</v>
      </c>
      <c r="N62" t="s">
        <v>528</v>
      </c>
      <c r="O62" t="s">
        <v>840</v>
      </c>
      <c r="P62" t="s">
        <v>508</v>
      </c>
      <c r="Q62">
        <v>0</v>
      </c>
      <c r="R62" t="s">
        <v>480</v>
      </c>
    </row>
    <row r="63" spans="1:18" x14ac:dyDescent="0.3">
      <c r="A63" t="s">
        <v>824</v>
      </c>
      <c r="B63" t="s">
        <v>483</v>
      </c>
      <c r="C63" t="s">
        <v>478</v>
      </c>
      <c r="D63" t="s">
        <v>508</v>
      </c>
      <c r="E63" t="s">
        <v>487</v>
      </c>
      <c r="F63" t="s">
        <v>479</v>
      </c>
      <c r="G63" t="s">
        <v>411</v>
      </c>
      <c r="H63" t="s">
        <v>391</v>
      </c>
      <c r="I63" t="s">
        <v>480</v>
      </c>
      <c r="J63" t="s">
        <v>488</v>
      </c>
      <c r="K63" t="s">
        <v>487</v>
      </c>
      <c r="L63" t="s">
        <v>544</v>
      </c>
      <c r="M63" t="s">
        <v>530</v>
      </c>
      <c r="N63" t="s">
        <v>528</v>
      </c>
      <c r="O63" t="s">
        <v>841</v>
      </c>
      <c r="P63" t="s">
        <v>508</v>
      </c>
      <c r="Q63">
        <v>0</v>
      </c>
      <c r="R63" t="s">
        <v>480</v>
      </c>
    </row>
    <row r="64" spans="1:18" x14ac:dyDescent="0.3">
      <c r="A64" t="s">
        <v>824</v>
      </c>
      <c r="B64" t="s">
        <v>483</v>
      </c>
      <c r="C64" t="s">
        <v>478</v>
      </c>
      <c r="D64" t="s">
        <v>508</v>
      </c>
      <c r="E64" t="s">
        <v>487</v>
      </c>
      <c r="F64" t="s">
        <v>479</v>
      </c>
      <c r="G64" t="s">
        <v>411</v>
      </c>
      <c r="H64" t="s">
        <v>391</v>
      </c>
      <c r="I64" t="s">
        <v>480</v>
      </c>
      <c r="J64" t="s">
        <v>488</v>
      </c>
      <c r="K64" t="s">
        <v>487</v>
      </c>
      <c r="L64" t="s">
        <v>544</v>
      </c>
      <c r="M64" t="s">
        <v>530</v>
      </c>
      <c r="N64" t="s">
        <v>528</v>
      </c>
      <c r="O64" t="s">
        <v>842</v>
      </c>
      <c r="P64" t="s">
        <v>508</v>
      </c>
      <c r="Q64">
        <v>0</v>
      </c>
      <c r="R64" t="s">
        <v>480</v>
      </c>
    </row>
    <row r="65" spans="1:18" x14ac:dyDescent="0.3">
      <c r="A65" t="s">
        <v>824</v>
      </c>
      <c r="B65" t="s">
        <v>483</v>
      </c>
      <c r="C65" t="s">
        <v>478</v>
      </c>
      <c r="D65" t="s">
        <v>508</v>
      </c>
      <c r="E65" t="s">
        <v>487</v>
      </c>
      <c r="F65" t="s">
        <v>479</v>
      </c>
      <c r="G65" t="s">
        <v>411</v>
      </c>
      <c r="H65" t="s">
        <v>391</v>
      </c>
      <c r="I65" t="s">
        <v>480</v>
      </c>
      <c r="J65" t="s">
        <v>488</v>
      </c>
      <c r="K65" t="s">
        <v>487</v>
      </c>
      <c r="L65" t="s">
        <v>544</v>
      </c>
      <c r="M65" t="s">
        <v>530</v>
      </c>
      <c r="N65" t="s">
        <v>528</v>
      </c>
      <c r="O65" t="s">
        <v>854</v>
      </c>
      <c r="P65" t="s">
        <v>508</v>
      </c>
      <c r="Q65">
        <v>0</v>
      </c>
      <c r="R65" t="s">
        <v>480</v>
      </c>
    </row>
    <row r="66" spans="1:18" x14ac:dyDescent="0.3">
      <c r="A66" t="s">
        <v>824</v>
      </c>
      <c r="B66" t="s">
        <v>483</v>
      </c>
      <c r="C66" t="s">
        <v>478</v>
      </c>
      <c r="D66" t="s">
        <v>508</v>
      </c>
      <c r="E66" t="s">
        <v>487</v>
      </c>
      <c r="F66" t="s">
        <v>479</v>
      </c>
      <c r="G66" t="s">
        <v>411</v>
      </c>
      <c r="H66" t="s">
        <v>391</v>
      </c>
      <c r="I66" t="s">
        <v>480</v>
      </c>
      <c r="J66" t="s">
        <v>488</v>
      </c>
      <c r="K66" t="s">
        <v>487</v>
      </c>
      <c r="L66" t="s">
        <v>544</v>
      </c>
      <c r="M66" t="s">
        <v>530</v>
      </c>
      <c r="N66" t="s">
        <v>528</v>
      </c>
      <c r="O66" t="s">
        <v>855</v>
      </c>
      <c r="P66" t="s">
        <v>508</v>
      </c>
      <c r="Q66">
        <v>0</v>
      </c>
      <c r="R66" t="s">
        <v>480</v>
      </c>
    </row>
    <row r="67" spans="1:18" x14ac:dyDescent="0.3">
      <c r="A67" t="s">
        <v>824</v>
      </c>
      <c r="B67" t="s">
        <v>483</v>
      </c>
      <c r="C67" t="s">
        <v>478</v>
      </c>
      <c r="D67" t="s">
        <v>508</v>
      </c>
      <c r="E67" t="s">
        <v>487</v>
      </c>
      <c r="F67" t="s">
        <v>479</v>
      </c>
      <c r="G67" t="s">
        <v>411</v>
      </c>
      <c r="H67" t="s">
        <v>391</v>
      </c>
      <c r="I67" t="s">
        <v>480</v>
      </c>
      <c r="J67" t="s">
        <v>488</v>
      </c>
      <c r="K67" t="s">
        <v>487</v>
      </c>
      <c r="L67" t="s">
        <v>544</v>
      </c>
      <c r="M67" t="s">
        <v>530</v>
      </c>
      <c r="N67" t="s">
        <v>528</v>
      </c>
      <c r="O67" t="s">
        <v>856</v>
      </c>
      <c r="P67" t="s">
        <v>508</v>
      </c>
      <c r="Q67">
        <v>0</v>
      </c>
      <c r="R67" t="s">
        <v>480</v>
      </c>
    </row>
    <row r="68" spans="1:18" x14ac:dyDescent="0.3">
      <c r="A68" t="s">
        <v>562</v>
      </c>
      <c r="B68" t="s">
        <v>563</v>
      </c>
      <c r="C68" t="s">
        <v>478</v>
      </c>
      <c r="D68" t="s">
        <v>508</v>
      </c>
      <c r="E68" t="s">
        <v>487</v>
      </c>
      <c r="F68" t="s">
        <v>479</v>
      </c>
      <c r="G68" t="s">
        <v>394</v>
      </c>
      <c r="H68" t="s">
        <v>391</v>
      </c>
      <c r="I68" t="s">
        <v>480</v>
      </c>
      <c r="J68" t="s">
        <v>488</v>
      </c>
      <c r="K68" t="s">
        <v>487</v>
      </c>
      <c r="L68" t="s">
        <v>553</v>
      </c>
      <c r="M68" t="s">
        <v>529</v>
      </c>
      <c r="N68" t="s">
        <v>528</v>
      </c>
      <c r="O68" t="s">
        <v>564</v>
      </c>
      <c r="P68" t="s">
        <v>508</v>
      </c>
      <c r="Q68">
        <v>1</v>
      </c>
      <c r="R68" t="s">
        <v>480</v>
      </c>
    </row>
    <row r="69" spans="1:18" x14ac:dyDescent="0.3">
      <c r="A69" t="s">
        <v>562</v>
      </c>
      <c r="B69" t="s">
        <v>567</v>
      </c>
      <c r="C69" t="s">
        <v>478</v>
      </c>
      <c r="D69" t="s">
        <v>508</v>
      </c>
      <c r="E69" t="s">
        <v>487</v>
      </c>
      <c r="F69" t="s">
        <v>479</v>
      </c>
      <c r="G69" t="s">
        <v>394</v>
      </c>
      <c r="H69" t="s">
        <v>391</v>
      </c>
      <c r="I69" t="s">
        <v>480</v>
      </c>
      <c r="J69" t="s">
        <v>488</v>
      </c>
      <c r="K69" t="s">
        <v>487</v>
      </c>
      <c r="L69" t="s">
        <v>553</v>
      </c>
      <c r="M69" t="s">
        <v>529</v>
      </c>
      <c r="N69" t="s">
        <v>528</v>
      </c>
      <c r="O69" t="s">
        <v>568</v>
      </c>
      <c r="P69" t="s">
        <v>508</v>
      </c>
      <c r="Q69">
        <v>1</v>
      </c>
      <c r="R69" t="s">
        <v>480</v>
      </c>
    </row>
    <row r="70" spans="1:18" x14ac:dyDescent="0.3">
      <c r="A70" t="s">
        <v>562</v>
      </c>
      <c r="B70" t="s">
        <v>563</v>
      </c>
      <c r="C70" t="s">
        <v>478</v>
      </c>
      <c r="D70" t="s">
        <v>508</v>
      </c>
      <c r="E70" t="s">
        <v>487</v>
      </c>
      <c r="F70" t="s">
        <v>479</v>
      </c>
      <c r="G70" t="s">
        <v>394</v>
      </c>
      <c r="H70" t="s">
        <v>391</v>
      </c>
      <c r="I70" t="s">
        <v>480</v>
      </c>
      <c r="J70" t="s">
        <v>488</v>
      </c>
      <c r="K70" t="s">
        <v>487</v>
      </c>
      <c r="L70" t="s">
        <v>553</v>
      </c>
      <c r="M70" t="s">
        <v>531</v>
      </c>
      <c r="N70" t="s">
        <v>528</v>
      </c>
      <c r="O70" t="s">
        <v>569</v>
      </c>
      <c r="P70" t="s">
        <v>508</v>
      </c>
      <c r="Q70">
        <v>1</v>
      </c>
      <c r="R70" t="s">
        <v>480</v>
      </c>
    </row>
    <row r="71" spans="1:18" x14ac:dyDescent="0.3">
      <c r="A71" t="s">
        <v>562</v>
      </c>
      <c r="B71" t="s">
        <v>567</v>
      </c>
      <c r="C71" t="s">
        <v>478</v>
      </c>
      <c r="D71" t="s">
        <v>508</v>
      </c>
      <c r="E71" t="s">
        <v>487</v>
      </c>
      <c r="F71" t="s">
        <v>479</v>
      </c>
      <c r="G71" t="s">
        <v>394</v>
      </c>
      <c r="H71" t="s">
        <v>391</v>
      </c>
      <c r="I71" t="s">
        <v>480</v>
      </c>
      <c r="J71" t="s">
        <v>488</v>
      </c>
      <c r="K71" t="s">
        <v>487</v>
      </c>
      <c r="L71" t="s">
        <v>553</v>
      </c>
      <c r="M71" t="s">
        <v>529</v>
      </c>
      <c r="N71" t="s">
        <v>528</v>
      </c>
      <c r="O71" t="s">
        <v>571</v>
      </c>
      <c r="P71" t="s">
        <v>508</v>
      </c>
      <c r="Q71">
        <v>1</v>
      </c>
      <c r="R71" t="s">
        <v>480</v>
      </c>
    </row>
    <row r="72" spans="1:18" x14ac:dyDescent="0.3">
      <c r="A72" t="s">
        <v>562</v>
      </c>
      <c r="B72" t="s">
        <v>567</v>
      </c>
      <c r="C72" t="s">
        <v>478</v>
      </c>
      <c r="D72" t="s">
        <v>508</v>
      </c>
      <c r="E72" t="s">
        <v>487</v>
      </c>
      <c r="F72" t="s">
        <v>479</v>
      </c>
      <c r="G72" t="s">
        <v>394</v>
      </c>
      <c r="H72" t="s">
        <v>391</v>
      </c>
      <c r="I72" t="s">
        <v>480</v>
      </c>
      <c r="J72" t="s">
        <v>488</v>
      </c>
      <c r="K72" t="s">
        <v>487</v>
      </c>
      <c r="L72" t="s">
        <v>553</v>
      </c>
      <c r="M72" t="s">
        <v>529</v>
      </c>
      <c r="N72" t="s">
        <v>528</v>
      </c>
      <c r="O72" t="s">
        <v>573</v>
      </c>
      <c r="P72" t="s">
        <v>508</v>
      </c>
      <c r="Q72">
        <v>1</v>
      </c>
      <c r="R72" t="s">
        <v>480</v>
      </c>
    </row>
    <row r="73" spans="1:18" x14ac:dyDescent="0.3">
      <c r="A73" t="s">
        <v>562</v>
      </c>
      <c r="B73" t="s">
        <v>567</v>
      </c>
      <c r="C73" t="s">
        <v>478</v>
      </c>
      <c r="D73" t="s">
        <v>508</v>
      </c>
      <c r="E73" t="s">
        <v>487</v>
      </c>
      <c r="F73" t="s">
        <v>479</v>
      </c>
      <c r="G73" t="s">
        <v>394</v>
      </c>
      <c r="H73" t="s">
        <v>391</v>
      </c>
      <c r="I73" t="s">
        <v>480</v>
      </c>
      <c r="J73" t="s">
        <v>488</v>
      </c>
      <c r="K73" t="s">
        <v>487</v>
      </c>
      <c r="L73" t="s">
        <v>553</v>
      </c>
      <c r="M73" t="s">
        <v>531</v>
      </c>
      <c r="N73" t="s">
        <v>528</v>
      </c>
      <c r="O73" t="s">
        <v>577</v>
      </c>
      <c r="P73" t="s">
        <v>508</v>
      </c>
      <c r="Q73">
        <v>1</v>
      </c>
      <c r="R73" t="s">
        <v>480</v>
      </c>
    </row>
    <row r="74" spans="1:18" x14ac:dyDescent="0.3">
      <c r="A74" t="s">
        <v>562</v>
      </c>
      <c r="B74" t="s">
        <v>567</v>
      </c>
      <c r="C74" t="s">
        <v>478</v>
      </c>
      <c r="D74" t="s">
        <v>508</v>
      </c>
      <c r="E74" t="s">
        <v>487</v>
      </c>
      <c r="F74" t="s">
        <v>479</v>
      </c>
      <c r="G74" t="s">
        <v>394</v>
      </c>
      <c r="H74" t="s">
        <v>391</v>
      </c>
      <c r="I74" t="s">
        <v>480</v>
      </c>
      <c r="J74" t="s">
        <v>488</v>
      </c>
      <c r="K74" t="s">
        <v>487</v>
      </c>
      <c r="L74" t="s">
        <v>553</v>
      </c>
      <c r="M74" t="s">
        <v>529</v>
      </c>
      <c r="N74" t="s">
        <v>528</v>
      </c>
      <c r="O74" t="s">
        <v>578</v>
      </c>
      <c r="P74" t="s">
        <v>508</v>
      </c>
      <c r="Q74">
        <v>1</v>
      </c>
      <c r="R74" t="s">
        <v>480</v>
      </c>
    </row>
    <row r="75" spans="1:18" x14ac:dyDescent="0.3">
      <c r="A75" t="s">
        <v>562</v>
      </c>
      <c r="B75" t="s">
        <v>567</v>
      </c>
      <c r="C75" t="s">
        <v>478</v>
      </c>
      <c r="D75" t="s">
        <v>508</v>
      </c>
      <c r="E75" t="s">
        <v>487</v>
      </c>
      <c r="F75" t="s">
        <v>479</v>
      </c>
      <c r="G75" t="s">
        <v>394</v>
      </c>
      <c r="H75" t="s">
        <v>391</v>
      </c>
      <c r="I75" t="s">
        <v>480</v>
      </c>
      <c r="J75" t="s">
        <v>488</v>
      </c>
      <c r="K75" t="s">
        <v>487</v>
      </c>
      <c r="L75" t="s">
        <v>553</v>
      </c>
      <c r="M75" t="s">
        <v>529</v>
      </c>
      <c r="N75" t="s">
        <v>528</v>
      </c>
      <c r="O75" t="s">
        <v>581</v>
      </c>
      <c r="P75" t="s">
        <v>508</v>
      </c>
      <c r="Q75">
        <v>1</v>
      </c>
      <c r="R75" t="s">
        <v>480</v>
      </c>
    </row>
    <row r="76" spans="1:18" x14ac:dyDescent="0.3">
      <c r="A76" t="s">
        <v>562</v>
      </c>
      <c r="B76" t="s">
        <v>574</v>
      </c>
      <c r="C76" t="s">
        <v>478</v>
      </c>
      <c r="D76" t="s">
        <v>508</v>
      </c>
      <c r="E76" t="s">
        <v>487</v>
      </c>
      <c r="F76" t="s">
        <v>479</v>
      </c>
      <c r="G76" t="s">
        <v>394</v>
      </c>
      <c r="H76" t="s">
        <v>391</v>
      </c>
      <c r="I76" t="s">
        <v>480</v>
      </c>
      <c r="J76" t="s">
        <v>488</v>
      </c>
      <c r="K76" t="s">
        <v>487</v>
      </c>
      <c r="L76" t="s">
        <v>553</v>
      </c>
      <c r="M76" t="s">
        <v>529</v>
      </c>
      <c r="N76" t="s">
        <v>528</v>
      </c>
      <c r="O76" t="s">
        <v>582</v>
      </c>
      <c r="P76" t="s">
        <v>508</v>
      </c>
      <c r="Q76">
        <v>1</v>
      </c>
      <c r="R76" t="s">
        <v>480</v>
      </c>
    </row>
    <row r="77" spans="1:18" x14ac:dyDescent="0.3">
      <c r="A77" t="s">
        <v>562</v>
      </c>
      <c r="B77" t="s">
        <v>567</v>
      </c>
      <c r="C77" t="s">
        <v>478</v>
      </c>
      <c r="D77" t="s">
        <v>508</v>
      </c>
      <c r="E77" t="s">
        <v>487</v>
      </c>
      <c r="F77" t="s">
        <v>479</v>
      </c>
      <c r="G77" t="s">
        <v>394</v>
      </c>
      <c r="H77" t="s">
        <v>391</v>
      </c>
      <c r="I77" t="s">
        <v>480</v>
      </c>
      <c r="J77" t="s">
        <v>488</v>
      </c>
      <c r="K77" t="s">
        <v>487</v>
      </c>
      <c r="L77" t="s">
        <v>553</v>
      </c>
      <c r="M77" t="s">
        <v>531</v>
      </c>
      <c r="N77" t="s">
        <v>528</v>
      </c>
      <c r="O77" t="s">
        <v>584</v>
      </c>
      <c r="P77" t="s">
        <v>508</v>
      </c>
      <c r="Q77">
        <v>1</v>
      </c>
      <c r="R77" t="s">
        <v>480</v>
      </c>
    </row>
    <row r="78" spans="1:18" x14ac:dyDescent="0.3">
      <c r="A78" t="s">
        <v>562</v>
      </c>
      <c r="B78" t="s">
        <v>574</v>
      </c>
      <c r="C78" t="s">
        <v>478</v>
      </c>
      <c r="D78" t="s">
        <v>508</v>
      </c>
      <c r="E78" t="s">
        <v>487</v>
      </c>
      <c r="F78" t="s">
        <v>479</v>
      </c>
      <c r="G78" t="s">
        <v>394</v>
      </c>
      <c r="H78" t="s">
        <v>391</v>
      </c>
      <c r="I78" t="s">
        <v>480</v>
      </c>
      <c r="J78" t="s">
        <v>488</v>
      </c>
      <c r="K78" t="s">
        <v>487</v>
      </c>
      <c r="L78" t="s">
        <v>553</v>
      </c>
      <c r="M78" t="s">
        <v>529</v>
      </c>
      <c r="N78" t="s">
        <v>528</v>
      </c>
      <c r="O78" t="s">
        <v>586</v>
      </c>
      <c r="P78" t="s">
        <v>508</v>
      </c>
      <c r="Q78">
        <v>1</v>
      </c>
      <c r="R78" t="s">
        <v>480</v>
      </c>
    </row>
    <row r="79" spans="1:18" x14ac:dyDescent="0.3">
      <c r="A79" t="s">
        <v>562</v>
      </c>
      <c r="B79" t="s">
        <v>574</v>
      </c>
      <c r="C79" t="s">
        <v>478</v>
      </c>
      <c r="D79" t="s">
        <v>508</v>
      </c>
      <c r="E79" t="s">
        <v>487</v>
      </c>
      <c r="F79" t="s">
        <v>479</v>
      </c>
      <c r="G79" t="s">
        <v>394</v>
      </c>
      <c r="H79" t="s">
        <v>391</v>
      </c>
      <c r="I79" t="s">
        <v>480</v>
      </c>
      <c r="J79" t="s">
        <v>488</v>
      </c>
      <c r="K79" t="s">
        <v>487</v>
      </c>
      <c r="L79" t="s">
        <v>553</v>
      </c>
      <c r="M79" t="s">
        <v>531</v>
      </c>
      <c r="N79" t="s">
        <v>528</v>
      </c>
      <c r="O79" t="s">
        <v>587</v>
      </c>
      <c r="P79" t="s">
        <v>508</v>
      </c>
      <c r="Q79">
        <v>1</v>
      </c>
      <c r="R79" t="s">
        <v>480</v>
      </c>
    </row>
    <row r="80" spans="1:18" x14ac:dyDescent="0.3">
      <c r="A80" t="s">
        <v>562</v>
      </c>
      <c r="B80" t="s">
        <v>645</v>
      </c>
      <c r="C80" t="s">
        <v>396</v>
      </c>
      <c r="D80" t="s">
        <v>508</v>
      </c>
      <c r="E80" t="s">
        <v>487</v>
      </c>
      <c r="F80" t="s">
        <v>479</v>
      </c>
      <c r="G80" t="s">
        <v>390</v>
      </c>
      <c r="H80" t="s">
        <v>391</v>
      </c>
      <c r="I80" t="s">
        <v>480</v>
      </c>
      <c r="J80" t="s">
        <v>488</v>
      </c>
      <c r="K80" t="s">
        <v>487</v>
      </c>
      <c r="L80" t="s">
        <v>536</v>
      </c>
      <c r="M80" t="s">
        <v>532</v>
      </c>
      <c r="N80" t="s">
        <v>528</v>
      </c>
      <c r="O80" t="s">
        <v>646</v>
      </c>
      <c r="P80" t="s">
        <v>508</v>
      </c>
      <c r="Q80">
        <v>1</v>
      </c>
      <c r="R80" t="s">
        <v>480</v>
      </c>
    </row>
    <row r="81" spans="1:18" x14ac:dyDescent="0.3">
      <c r="A81" t="s">
        <v>562</v>
      </c>
      <c r="B81" t="s">
        <v>574</v>
      </c>
      <c r="C81" t="s">
        <v>478</v>
      </c>
      <c r="D81" t="s">
        <v>508</v>
      </c>
      <c r="E81" t="s">
        <v>487</v>
      </c>
      <c r="F81" t="s">
        <v>479</v>
      </c>
      <c r="G81" t="s">
        <v>394</v>
      </c>
      <c r="H81" t="s">
        <v>391</v>
      </c>
      <c r="I81" t="s">
        <v>480</v>
      </c>
      <c r="J81" t="s">
        <v>488</v>
      </c>
      <c r="K81" t="s">
        <v>487</v>
      </c>
      <c r="L81" t="s">
        <v>553</v>
      </c>
      <c r="M81" t="s">
        <v>531</v>
      </c>
      <c r="N81" t="s">
        <v>528</v>
      </c>
      <c r="O81" t="s">
        <v>588</v>
      </c>
      <c r="P81" t="s">
        <v>508</v>
      </c>
      <c r="Q81">
        <v>1</v>
      </c>
      <c r="R81" t="s">
        <v>480</v>
      </c>
    </row>
    <row r="82" spans="1:18" x14ac:dyDescent="0.3">
      <c r="A82" t="s">
        <v>562</v>
      </c>
      <c r="B82" t="s">
        <v>645</v>
      </c>
      <c r="C82" t="s">
        <v>396</v>
      </c>
      <c r="D82" t="s">
        <v>508</v>
      </c>
      <c r="E82" t="s">
        <v>487</v>
      </c>
      <c r="F82" t="s">
        <v>479</v>
      </c>
      <c r="G82" t="s">
        <v>390</v>
      </c>
      <c r="H82" t="s">
        <v>391</v>
      </c>
      <c r="I82" t="s">
        <v>480</v>
      </c>
      <c r="J82" t="s">
        <v>488</v>
      </c>
      <c r="K82" t="s">
        <v>487</v>
      </c>
      <c r="L82" t="s">
        <v>536</v>
      </c>
      <c r="M82" t="s">
        <v>532</v>
      </c>
      <c r="N82" t="s">
        <v>589</v>
      </c>
      <c r="O82" t="s">
        <v>647</v>
      </c>
      <c r="P82" t="s">
        <v>508</v>
      </c>
      <c r="Q82">
        <v>1</v>
      </c>
      <c r="R82" t="s">
        <v>480</v>
      </c>
    </row>
    <row r="83" spans="1:18" x14ac:dyDescent="0.3">
      <c r="A83" t="s">
        <v>562</v>
      </c>
      <c r="B83" t="s">
        <v>591</v>
      </c>
      <c r="C83" t="s">
        <v>478</v>
      </c>
      <c r="D83" t="s">
        <v>508</v>
      </c>
      <c r="E83" t="s">
        <v>487</v>
      </c>
      <c r="F83" t="s">
        <v>479</v>
      </c>
      <c r="G83" t="s">
        <v>394</v>
      </c>
      <c r="H83" t="s">
        <v>391</v>
      </c>
      <c r="I83" t="s">
        <v>480</v>
      </c>
      <c r="J83" t="s">
        <v>488</v>
      </c>
      <c r="K83" t="s">
        <v>487</v>
      </c>
      <c r="L83" t="s">
        <v>553</v>
      </c>
      <c r="M83" t="s">
        <v>529</v>
      </c>
      <c r="N83" t="s">
        <v>528</v>
      </c>
      <c r="O83" t="s">
        <v>594</v>
      </c>
      <c r="P83" t="s">
        <v>508</v>
      </c>
      <c r="Q83">
        <v>1</v>
      </c>
      <c r="R83" t="s">
        <v>480</v>
      </c>
    </row>
    <row r="84" spans="1:18" x14ac:dyDescent="0.3">
      <c r="A84" t="s">
        <v>562</v>
      </c>
      <c r="B84" t="s">
        <v>591</v>
      </c>
      <c r="C84" t="s">
        <v>478</v>
      </c>
      <c r="D84" t="s">
        <v>508</v>
      </c>
      <c r="E84" t="s">
        <v>487</v>
      </c>
      <c r="F84" t="s">
        <v>479</v>
      </c>
      <c r="G84" t="s">
        <v>394</v>
      </c>
      <c r="H84" t="s">
        <v>391</v>
      </c>
      <c r="I84" t="s">
        <v>480</v>
      </c>
      <c r="J84" t="s">
        <v>488</v>
      </c>
      <c r="K84" t="s">
        <v>487</v>
      </c>
      <c r="L84" t="s">
        <v>553</v>
      </c>
      <c r="M84" t="s">
        <v>531</v>
      </c>
      <c r="N84" t="s">
        <v>589</v>
      </c>
      <c r="O84" t="s">
        <v>596</v>
      </c>
      <c r="P84" t="s">
        <v>508</v>
      </c>
      <c r="Q84">
        <v>1</v>
      </c>
      <c r="R84" t="s">
        <v>480</v>
      </c>
    </row>
    <row r="85" spans="1:18" x14ac:dyDescent="0.3">
      <c r="A85" t="s">
        <v>562</v>
      </c>
      <c r="B85" t="s">
        <v>591</v>
      </c>
      <c r="C85" t="s">
        <v>478</v>
      </c>
      <c r="D85" t="s">
        <v>508</v>
      </c>
      <c r="E85" t="s">
        <v>487</v>
      </c>
      <c r="F85" t="s">
        <v>479</v>
      </c>
      <c r="G85" t="s">
        <v>394</v>
      </c>
      <c r="H85" t="s">
        <v>391</v>
      </c>
      <c r="I85" t="s">
        <v>480</v>
      </c>
      <c r="J85" t="s">
        <v>488</v>
      </c>
      <c r="K85" t="s">
        <v>487</v>
      </c>
      <c r="L85" t="s">
        <v>553</v>
      </c>
      <c r="M85" t="s">
        <v>531</v>
      </c>
      <c r="N85" t="s">
        <v>589</v>
      </c>
      <c r="O85" t="s">
        <v>597</v>
      </c>
      <c r="P85" t="s">
        <v>508</v>
      </c>
      <c r="Q85">
        <v>1</v>
      </c>
      <c r="R85" t="s">
        <v>480</v>
      </c>
    </row>
    <row r="86" spans="1:18" x14ac:dyDescent="0.3">
      <c r="A86" t="s">
        <v>562</v>
      </c>
      <c r="B86" t="s">
        <v>648</v>
      </c>
      <c r="C86" t="s">
        <v>396</v>
      </c>
      <c r="D86" t="s">
        <v>508</v>
      </c>
      <c r="E86" t="s">
        <v>487</v>
      </c>
      <c r="F86" t="s">
        <v>479</v>
      </c>
      <c r="G86" t="s">
        <v>390</v>
      </c>
      <c r="H86" t="s">
        <v>391</v>
      </c>
      <c r="I86" t="s">
        <v>480</v>
      </c>
      <c r="J86" t="s">
        <v>488</v>
      </c>
      <c r="K86" t="s">
        <v>487</v>
      </c>
      <c r="L86" t="s">
        <v>536</v>
      </c>
      <c r="M86" t="s">
        <v>532</v>
      </c>
      <c r="N86" t="s">
        <v>589</v>
      </c>
      <c r="O86" t="s">
        <v>649</v>
      </c>
      <c r="P86" t="s">
        <v>508</v>
      </c>
      <c r="Q86">
        <v>1</v>
      </c>
      <c r="R86" t="s">
        <v>480</v>
      </c>
    </row>
    <row r="87" spans="1:18" x14ac:dyDescent="0.3">
      <c r="A87" t="s">
        <v>562</v>
      </c>
      <c r="B87" t="s">
        <v>591</v>
      </c>
      <c r="C87" t="s">
        <v>478</v>
      </c>
      <c r="D87" t="s">
        <v>508</v>
      </c>
      <c r="E87" t="s">
        <v>487</v>
      </c>
      <c r="F87" t="s">
        <v>479</v>
      </c>
      <c r="G87" t="s">
        <v>394</v>
      </c>
      <c r="H87" t="s">
        <v>391</v>
      </c>
      <c r="I87" t="s">
        <v>480</v>
      </c>
      <c r="J87" t="s">
        <v>488</v>
      </c>
      <c r="K87" t="s">
        <v>487</v>
      </c>
      <c r="L87" t="s">
        <v>553</v>
      </c>
      <c r="M87" t="s">
        <v>529</v>
      </c>
      <c r="N87" t="s">
        <v>589</v>
      </c>
      <c r="O87" t="s">
        <v>598</v>
      </c>
      <c r="P87" t="s">
        <v>508</v>
      </c>
      <c r="Q87">
        <v>1</v>
      </c>
      <c r="R87" t="s">
        <v>480</v>
      </c>
    </row>
    <row r="88" spans="1:18" x14ac:dyDescent="0.3">
      <c r="A88" t="s">
        <v>562</v>
      </c>
      <c r="B88" t="s">
        <v>591</v>
      </c>
      <c r="C88" t="s">
        <v>478</v>
      </c>
      <c r="D88" t="s">
        <v>508</v>
      </c>
      <c r="E88" t="s">
        <v>487</v>
      </c>
      <c r="F88" t="s">
        <v>479</v>
      </c>
      <c r="G88" t="s">
        <v>394</v>
      </c>
      <c r="H88" t="s">
        <v>391</v>
      </c>
      <c r="I88" t="s">
        <v>480</v>
      </c>
      <c r="J88" t="s">
        <v>488</v>
      </c>
      <c r="K88" t="s">
        <v>487</v>
      </c>
      <c r="L88" t="s">
        <v>553</v>
      </c>
      <c r="M88" t="s">
        <v>531</v>
      </c>
      <c r="N88" t="s">
        <v>589</v>
      </c>
      <c r="O88" t="s">
        <v>600</v>
      </c>
      <c r="P88" t="s">
        <v>508</v>
      </c>
      <c r="Q88">
        <v>1</v>
      </c>
      <c r="R88" t="s">
        <v>480</v>
      </c>
    </row>
    <row r="89" spans="1:18" x14ac:dyDescent="0.3">
      <c r="A89" t="s">
        <v>562</v>
      </c>
      <c r="B89" t="s">
        <v>648</v>
      </c>
      <c r="C89" t="s">
        <v>396</v>
      </c>
      <c r="D89" t="s">
        <v>508</v>
      </c>
      <c r="E89" t="s">
        <v>487</v>
      </c>
      <c r="F89" t="s">
        <v>479</v>
      </c>
      <c r="G89" t="s">
        <v>390</v>
      </c>
      <c r="H89" t="s">
        <v>391</v>
      </c>
      <c r="I89" t="s">
        <v>480</v>
      </c>
      <c r="J89" t="s">
        <v>488</v>
      </c>
      <c r="K89" t="s">
        <v>487</v>
      </c>
      <c r="L89" t="s">
        <v>536</v>
      </c>
      <c r="M89" t="s">
        <v>532</v>
      </c>
      <c r="N89" t="s">
        <v>589</v>
      </c>
      <c r="O89" t="s">
        <v>650</v>
      </c>
      <c r="P89" t="s">
        <v>508</v>
      </c>
      <c r="Q89">
        <v>1</v>
      </c>
      <c r="R89" t="s">
        <v>480</v>
      </c>
    </row>
    <row r="90" spans="1:18" x14ac:dyDescent="0.3">
      <c r="A90" t="s">
        <v>562</v>
      </c>
      <c r="B90" t="s">
        <v>648</v>
      </c>
      <c r="C90" t="s">
        <v>396</v>
      </c>
      <c r="D90" t="s">
        <v>508</v>
      </c>
      <c r="E90" t="s">
        <v>487</v>
      </c>
      <c r="F90" t="s">
        <v>479</v>
      </c>
      <c r="G90" t="s">
        <v>390</v>
      </c>
      <c r="H90" t="s">
        <v>391</v>
      </c>
      <c r="I90" t="s">
        <v>480</v>
      </c>
      <c r="J90" t="s">
        <v>488</v>
      </c>
      <c r="K90" t="s">
        <v>487</v>
      </c>
      <c r="L90" t="s">
        <v>536</v>
      </c>
      <c r="M90" t="s">
        <v>532</v>
      </c>
      <c r="N90" t="s">
        <v>589</v>
      </c>
      <c r="O90" t="s">
        <v>651</v>
      </c>
      <c r="P90" t="s">
        <v>508</v>
      </c>
      <c r="Q90">
        <v>1</v>
      </c>
      <c r="R90" t="s">
        <v>480</v>
      </c>
    </row>
    <row r="91" spans="1:18" x14ac:dyDescent="0.3">
      <c r="A91" t="s">
        <v>562</v>
      </c>
      <c r="B91" t="s">
        <v>648</v>
      </c>
      <c r="C91" t="s">
        <v>396</v>
      </c>
      <c r="D91" t="s">
        <v>508</v>
      </c>
      <c r="E91" t="s">
        <v>487</v>
      </c>
      <c r="F91" t="s">
        <v>479</v>
      </c>
      <c r="G91" t="s">
        <v>390</v>
      </c>
      <c r="H91" t="s">
        <v>391</v>
      </c>
      <c r="I91" t="s">
        <v>480</v>
      </c>
      <c r="J91" t="s">
        <v>488</v>
      </c>
      <c r="K91" t="s">
        <v>487</v>
      </c>
      <c r="L91" t="s">
        <v>536</v>
      </c>
      <c r="M91" t="s">
        <v>532</v>
      </c>
      <c r="N91" t="s">
        <v>589</v>
      </c>
      <c r="O91" t="s">
        <v>652</v>
      </c>
      <c r="P91" t="s">
        <v>508</v>
      </c>
      <c r="Q91">
        <v>1</v>
      </c>
      <c r="R91" t="s">
        <v>480</v>
      </c>
    </row>
    <row r="92" spans="1:18" x14ac:dyDescent="0.3">
      <c r="A92" t="s">
        <v>562</v>
      </c>
      <c r="B92" t="s">
        <v>591</v>
      </c>
      <c r="C92" t="s">
        <v>478</v>
      </c>
      <c r="D92" t="s">
        <v>508</v>
      </c>
      <c r="E92" t="s">
        <v>487</v>
      </c>
      <c r="F92" t="s">
        <v>479</v>
      </c>
      <c r="G92" t="s">
        <v>394</v>
      </c>
      <c r="H92" t="s">
        <v>391</v>
      </c>
      <c r="I92" t="s">
        <v>480</v>
      </c>
      <c r="J92" t="s">
        <v>488</v>
      </c>
      <c r="K92" t="s">
        <v>487</v>
      </c>
      <c r="L92" t="s">
        <v>553</v>
      </c>
      <c r="M92" t="s">
        <v>531</v>
      </c>
      <c r="N92" t="s">
        <v>589</v>
      </c>
      <c r="O92" t="s">
        <v>603</v>
      </c>
      <c r="P92" t="s">
        <v>508</v>
      </c>
      <c r="Q92">
        <v>1</v>
      </c>
      <c r="R92" t="s">
        <v>480</v>
      </c>
    </row>
    <row r="93" spans="1:18" x14ac:dyDescent="0.3">
      <c r="A93" t="s">
        <v>562</v>
      </c>
      <c r="B93" t="s">
        <v>604</v>
      </c>
      <c r="C93" t="s">
        <v>478</v>
      </c>
      <c r="D93" t="s">
        <v>508</v>
      </c>
      <c r="E93" t="s">
        <v>487</v>
      </c>
      <c r="F93" t="s">
        <v>479</v>
      </c>
      <c r="G93" t="s">
        <v>394</v>
      </c>
      <c r="H93" t="s">
        <v>391</v>
      </c>
      <c r="I93" t="s">
        <v>480</v>
      </c>
      <c r="J93" t="s">
        <v>488</v>
      </c>
      <c r="K93" t="s">
        <v>487</v>
      </c>
      <c r="L93" t="s">
        <v>553</v>
      </c>
      <c r="M93" t="s">
        <v>531</v>
      </c>
      <c r="N93" t="s">
        <v>589</v>
      </c>
      <c r="O93" t="s">
        <v>605</v>
      </c>
      <c r="P93" t="s">
        <v>508</v>
      </c>
      <c r="Q93">
        <v>1</v>
      </c>
      <c r="R93" t="s">
        <v>480</v>
      </c>
    </row>
    <row r="94" spans="1:18" x14ac:dyDescent="0.3">
      <c r="A94" t="s">
        <v>562</v>
      </c>
      <c r="B94" t="s">
        <v>606</v>
      </c>
      <c r="C94" t="s">
        <v>478</v>
      </c>
      <c r="D94" t="s">
        <v>508</v>
      </c>
      <c r="E94" t="s">
        <v>487</v>
      </c>
      <c r="F94" t="s">
        <v>479</v>
      </c>
      <c r="G94" t="s">
        <v>394</v>
      </c>
      <c r="H94" t="s">
        <v>391</v>
      </c>
      <c r="I94" t="s">
        <v>480</v>
      </c>
      <c r="J94" t="s">
        <v>488</v>
      </c>
      <c r="K94" t="s">
        <v>487</v>
      </c>
      <c r="L94" t="s">
        <v>553</v>
      </c>
      <c r="M94" t="s">
        <v>529</v>
      </c>
      <c r="N94" t="s">
        <v>589</v>
      </c>
      <c r="O94" t="s">
        <v>607</v>
      </c>
      <c r="P94" t="s">
        <v>508</v>
      </c>
      <c r="Q94">
        <v>0</v>
      </c>
      <c r="R94" t="s">
        <v>480</v>
      </c>
    </row>
    <row r="95" spans="1:18" x14ac:dyDescent="0.3">
      <c r="A95" t="s">
        <v>562</v>
      </c>
      <c r="B95" t="s">
        <v>606</v>
      </c>
      <c r="C95" t="s">
        <v>478</v>
      </c>
      <c r="D95" t="s">
        <v>508</v>
      </c>
      <c r="E95" t="s">
        <v>487</v>
      </c>
      <c r="F95" t="s">
        <v>479</v>
      </c>
      <c r="G95" t="s">
        <v>394</v>
      </c>
      <c r="H95" t="s">
        <v>391</v>
      </c>
      <c r="I95" t="s">
        <v>480</v>
      </c>
      <c r="J95" t="s">
        <v>488</v>
      </c>
      <c r="K95" t="s">
        <v>487</v>
      </c>
      <c r="L95" t="s">
        <v>553</v>
      </c>
      <c r="M95" t="s">
        <v>529</v>
      </c>
      <c r="N95" t="s">
        <v>589</v>
      </c>
      <c r="O95" t="s">
        <v>608</v>
      </c>
      <c r="P95" t="s">
        <v>508</v>
      </c>
      <c r="Q95">
        <v>0</v>
      </c>
      <c r="R95" t="s">
        <v>480</v>
      </c>
    </row>
    <row r="96" spans="1:18" x14ac:dyDescent="0.3">
      <c r="A96" t="s">
        <v>562</v>
      </c>
      <c r="B96" t="s">
        <v>653</v>
      </c>
      <c r="C96" t="s">
        <v>396</v>
      </c>
      <c r="D96" t="s">
        <v>508</v>
      </c>
      <c r="E96" t="s">
        <v>487</v>
      </c>
      <c r="F96" t="s">
        <v>479</v>
      </c>
      <c r="G96" t="s">
        <v>390</v>
      </c>
      <c r="H96" t="s">
        <v>391</v>
      </c>
      <c r="I96" t="s">
        <v>480</v>
      </c>
      <c r="J96" t="s">
        <v>488</v>
      </c>
      <c r="K96" t="s">
        <v>487</v>
      </c>
      <c r="L96" t="s">
        <v>536</v>
      </c>
      <c r="M96" t="s">
        <v>532</v>
      </c>
      <c r="N96" t="s">
        <v>589</v>
      </c>
      <c r="O96" t="s">
        <v>654</v>
      </c>
      <c r="P96" t="s">
        <v>508</v>
      </c>
      <c r="Q96">
        <v>0</v>
      </c>
      <c r="R96" t="s">
        <v>480</v>
      </c>
    </row>
    <row r="97" spans="1:18" x14ac:dyDescent="0.3">
      <c r="A97" t="s">
        <v>562</v>
      </c>
      <c r="B97" t="s">
        <v>606</v>
      </c>
      <c r="C97" t="s">
        <v>478</v>
      </c>
      <c r="D97" t="s">
        <v>508</v>
      </c>
      <c r="E97" t="s">
        <v>487</v>
      </c>
      <c r="F97" t="s">
        <v>479</v>
      </c>
      <c r="G97" t="s">
        <v>394</v>
      </c>
      <c r="H97" t="s">
        <v>391</v>
      </c>
      <c r="I97" t="s">
        <v>480</v>
      </c>
      <c r="J97" t="s">
        <v>488</v>
      </c>
      <c r="K97" t="s">
        <v>487</v>
      </c>
      <c r="L97" t="s">
        <v>553</v>
      </c>
      <c r="M97" t="s">
        <v>531</v>
      </c>
      <c r="N97" t="s">
        <v>589</v>
      </c>
      <c r="O97" t="s">
        <v>614</v>
      </c>
      <c r="P97" t="s">
        <v>508</v>
      </c>
      <c r="Q97">
        <v>0</v>
      </c>
      <c r="R97" t="s">
        <v>480</v>
      </c>
    </row>
    <row r="98" spans="1:18" x14ac:dyDescent="0.3">
      <c r="A98" t="s">
        <v>562</v>
      </c>
      <c r="B98" t="s">
        <v>606</v>
      </c>
      <c r="C98" t="s">
        <v>478</v>
      </c>
      <c r="D98" t="s">
        <v>508</v>
      </c>
      <c r="E98" t="s">
        <v>487</v>
      </c>
      <c r="F98" t="s">
        <v>479</v>
      </c>
      <c r="G98" t="s">
        <v>394</v>
      </c>
      <c r="H98" t="s">
        <v>391</v>
      </c>
      <c r="I98" t="s">
        <v>480</v>
      </c>
      <c r="J98" t="s">
        <v>488</v>
      </c>
      <c r="K98" t="s">
        <v>487</v>
      </c>
      <c r="L98" t="s">
        <v>553</v>
      </c>
      <c r="M98" t="s">
        <v>529</v>
      </c>
      <c r="N98" t="s">
        <v>589</v>
      </c>
      <c r="O98" t="s">
        <v>616</v>
      </c>
      <c r="P98" t="s">
        <v>508</v>
      </c>
      <c r="Q98">
        <v>0</v>
      </c>
      <c r="R98" t="s">
        <v>480</v>
      </c>
    </row>
    <row r="99" spans="1:18" x14ac:dyDescent="0.3">
      <c r="A99" t="s">
        <v>562</v>
      </c>
      <c r="B99" t="s">
        <v>617</v>
      </c>
      <c r="C99" t="s">
        <v>478</v>
      </c>
      <c r="D99" t="s">
        <v>508</v>
      </c>
      <c r="E99" t="s">
        <v>487</v>
      </c>
      <c r="F99" t="s">
        <v>479</v>
      </c>
      <c r="G99" t="s">
        <v>394</v>
      </c>
      <c r="H99" t="s">
        <v>391</v>
      </c>
      <c r="I99" t="s">
        <v>480</v>
      </c>
      <c r="J99" t="s">
        <v>488</v>
      </c>
      <c r="K99" t="s">
        <v>487</v>
      </c>
      <c r="L99" t="s">
        <v>553</v>
      </c>
      <c r="M99" t="s">
        <v>531</v>
      </c>
      <c r="N99" t="s">
        <v>589</v>
      </c>
      <c r="O99" t="s">
        <v>618</v>
      </c>
      <c r="P99" t="s">
        <v>508</v>
      </c>
      <c r="Q99">
        <v>0</v>
      </c>
      <c r="R99" t="s">
        <v>480</v>
      </c>
    </row>
    <row r="100" spans="1:18" x14ac:dyDescent="0.3">
      <c r="A100" t="s">
        <v>562</v>
      </c>
      <c r="B100" t="s">
        <v>617</v>
      </c>
      <c r="C100" t="s">
        <v>478</v>
      </c>
      <c r="D100" t="s">
        <v>508</v>
      </c>
      <c r="E100" t="s">
        <v>487</v>
      </c>
      <c r="F100" t="s">
        <v>479</v>
      </c>
      <c r="G100" t="s">
        <v>394</v>
      </c>
      <c r="H100" t="s">
        <v>391</v>
      </c>
      <c r="I100" t="s">
        <v>480</v>
      </c>
      <c r="J100" t="s">
        <v>488</v>
      </c>
      <c r="K100" t="s">
        <v>487</v>
      </c>
      <c r="L100" t="s">
        <v>553</v>
      </c>
      <c r="M100" t="s">
        <v>529</v>
      </c>
      <c r="N100" t="s">
        <v>589</v>
      </c>
      <c r="O100" t="s">
        <v>620</v>
      </c>
      <c r="P100" t="s">
        <v>508</v>
      </c>
      <c r="Q100">
        <v>0</v>
      </c>
      <c r="R100" t="s">
        <v>480</v>
      </c>
    </row>
    <row r="101" spans="1:18" x14ac:dyDescent="0.3">
      <c r="A101" t="s">
        <v>562</v>
      </c>
      <c r="B101" t="s">
        <v>653</v>
      </c>
      <c r="C101" t="s">
        <v>396</v>
      </c>
      <c r="D101" t="s">
        <v>508</v>
      </c>
      <c r="E101" t="s">
        <v>487</v>
      </c>
      <c r="F101" t="s">
        <v>479</v>
      </c>
      <c r="G101" t="s">
        <v>390</v>
      </c>
      <c r="H101" t="s">
        <v>391</v>
      </c>
      <c r="I101" t="s">
        <v>480</v>
      </c>
      <c r="J101" t="s">
        <v>488</v>
      </c>
      <c r="K101" t="s">
        <v>487</v>
      </c>
      <c r="L101" t="s">
        <v>536</v>
      </c>
      <c r="M101" t="s">
        <v>532</v>
      </c>
      <c r="N101" t="s">
        <v>589</v>
      </c>
      <c r="O101" t="s">
        <v>655</v>
      </c>
      <c r="P101" t="s">
        <v>508</v>
      </c>
      <c r="Q101">
        <v>0</v>
      </c>
      <c r="R101" t="s">
        <v>480</v>
      </c>
    </row>
    <row r="102" spans="1:18" x14ac:dyDescent="0.3">
      <c r="A102" t="s">
        <v>562</v>
      </c>
      <c r="B102" t="s">
        <v>617</v>
      </c>
      <c r="C102" t="s">
        <v>478</v>
      </c>
      <c r="D102" t="s">
        <v>508</v>
      </c>
      <c r="E102" t="s">
        <v>487</v>
      </c>
      <c r="F102" t="s">
        <v>479</v>
      </c>
      <c r="G102" t="s">
        <v>394</v>
      </c>
      <c r="H102" t="s">
        <v>391</v>
      </c>
      <c r="I102" t="s">
        <v>480</v>
      </c>
      <c r="J102" t="s">
        <v>488</v>
      </c>
      <c r="K102" t="s">
        <v>487</v>
      </c>
      <c r="L102" t="s">
        <v>553</v>
      </c>
      <c r="M102" t="s">
        <v>531</v>
      </c>
      <c r="N102" t="s">
        <v>589</v>
      </c>
      <c r="O102" t="s">
        <v>622</v>
      </c>
      <c r="P102" t="s">
        <v>508</v>
      </c>
      <c r="Q102">
        <v>0</v>
      </c>
      <c r="R102" t="s">
        <v>480</v>
      </c>
    </row>
    <row r="103" spans="1:18" x14ac:dyDescent="0.3">
      <c r="A103" t="s">
        <v>562</v>
      </c>
      <c r="B103" t="s">
        <v>653</v>
      </c>
      <c r="C103" t="s">
        <v>396</v>
      </c>
      <c r="D103" t="s">
        <v>508</v>
      </c>
      <c r="E103" t="s">
        <v>487</v>
      </c>
      <c r="F103" t="s">
        <v>479</v>
      </c>
      <c r="G103" t="s">
        <v>390</v>
      </c>
      <c r="H103" t="s">
        <v>391</v>
      </c>
      <c r="I103" t="s">
        <v>480</v>
      </c>
      <c r="J103" t="s">
        <v>488</v>
      </c>
      <c r="K103" t="s">
        <v>487</v>
      </c>
      <c r="L103" t="s">
        <v>536</v>
      </c>
      <c r="M103" t="s">
        <v>532</v>
      </c>
      <c r="N103" t="s">
        <v>589</v>
      </c>
      <c r="O103" t="s">
        <v>656</v>
      </c>
      <c r="P103" t="s">
        <v>508</v>
      </c>
      <c r="Q103">
        <v>0</v>
      </c>
      <c r="R103" t="s">
        <v>480</v>
      </c>
    </row>
    <row r="104" spans="1:18" x14ac:dyDescent="0.3">
      <c r="A104" t="s">
        <v>562</v>
      </c>
      <c r="B104" t="s">
        <v>617</v>
      </c>
      <c r="C104" t="s">
        <v>478</v>
      </c>
      <c r="D104" t="s">
        <v>508</v>
      </c>
      <c r="E104" t="s">
        <v>487</v>
      </c>
      <c r="F104" t="s">
        <v>479</v>
      </c>
      <c r="G104" t="s">
        <v>394</v>
      </c>
      <c r="H104" t="s">
        <v>391</v>
      </c>
      <c r="I104" t="s">
        <v>480</v>
      </c>
      <c r="J104" t="s">
        <v>488</v>
      </c>
      <c r="K104" t="s">
        <v>487</v>
      </c>
      <c r="L104" t="s">
        <v>553</v>
      </c>
      <c r="M104" t="s">
        <v>529</v>
      </c>
      <c r="N104" t="s">
        <v>589</v>
      </c>
      <c r="O104" t="s">
        <v>624</v>
      </c>
      <c r="P104" t="s">
        <v>508</v>
      </c>
      <c r="Q104">
        <v>0</v>
      </c>
      <c r="R104" t="s">
        <v>480</v>
      </c>
    </row>
    <row r="105" spans="1:18" x14ac:dyDescent="0.3">
      <c r="A105" t="s">
        <v>625</v>
      </c>
      <c r="B105" t="s">
        <v>617</v>
      </c>
      <c r="C105" t="s">
        <v>478</v>
      </c>
      <c r="D105" t="s">
        <v>508</v>
      </c>
      <c r="E105" t="s">
        <v>487</v>
      </c>
      <c r="F105" t="s">
        <v>479</v>
      </c>
      <c r="G105" t="s">
        <v>394</v>
      </c>
      <c r="H105" t="s">
        <v>391</v>
      </c>
      <c r="I105" t="s">
        <v>480</v>
      </c>
      <c r="J105" t="s">
        <v>488</v>
      </c>
      <c r="K105" t="s">
        <v>487</v>
      </c>
      <c r="L105" t="s">
        <v>553</v>
      </c>
      <c r="M105" t="s">
        <v>531</v>
      </c>
      <c r="N105" t="s">
        <v>589</v>
      </c>
      <c r="O105" t="s">
        <v>627</v>
      </c>
      <c r="P105" t="s">
        <v>508</v>
      </c>
      <c r="Q105">
        <v>0</v>
      </c>
      <c r="R105" t="s">
        <v>480</v>
      </c>
    </row>
    <row r="106" spans="1:18" x14ac:dyDescent="0.3">
      <c r="A106" t="s">
        <v>562</v>
      </c>
      <c r="B106" t="s">
        <v>653</v>
      </c>
      <c r="C106" t="s">
        <v>396</v>
      </c>
      <c r="D106" t="s">
        <v>508</v>
      </c>
      <c r="E106" t="s">
        <v>487</v>
      </c>
      <c r="F106" t="s">
        <v>479</v>
      </c>
      <c r="G106" t="s">
        <v>390</v>
      </c>
      <c r="H106" t="s">
        <v>391</v>
      </c>
      <c r="I106" t="s">
        <v>480</v>
      </c>
      <c r="J106" t="s">
        <v>488</v>
      </c>
      <c r="K106" t="s">
        <v>487</v>
      </c>
      <c r="L106" t="s">
        <v>536</v>
      </c>
      <c r="M106" t="s">
        <v>532</v>
      </c>
      <c r="N106" t="s">
        <v>589</v>
      </c>
      <c r="O106" t="s">
        <v>657</v>
      </c>
      <c r="P106" t="s">
        <v>508</v>
      </c>
      <c r="Q106">
        <v>0</v>
      </c>
      <c r="R106" t="s">
        <v>480</v>
      </c>
    </row>
    <row r="107" spans="1:18" x14ac:dyDescent="0.3">
      <c r="A107" t="s">
        <v>562</v>
      </c>
      <c r="B107" t="s">
        <v>818</v>
      </c>
      <c r="C107" t="s">
        <v>478</v>
      </c>
      <c r="D107" t="s">
        <v>508</v>
      </c>
      <c r="E107" t="s">
        <v>487</v>
      </c>
      <c r="F107" t="s">
        <v>479</v>
      </c>
      <c r="G107" t="s">
        <v>394</v>
      </c>
      <c r="H107" t="s">
        <v>391</v>
      </c>
      <c r="I107" t="s">
        <v>480</v>
      </c>
      <c r="J107" t="s">
        <v>488</v>
      </c>
      <c r="K107" t="s">
        <v>487</v>
      </c>
      <c r="L107" t="s">
        <v>553</v>
      </c>
      <c r="M107" t="s">
        <v>529</v>
      </c>
      <c r="N107" t="s">
        <v>589</v>
      </c>
      <c r="O107" t="s">
        <v>628</v>
      </c>
      <c r="P107" t="s">
        <v>508</v>
      </c>
      <c r="Q107">
        <v>0</v>
      </c>
      <c r="R107" t="s">
        <v>480</v>
      </c>
    </row>
    <row r="108" spans="1:18" x14ac:dyDescent="0.3">
      <c r="A108" t="s">
        <v>625</v>
      </c>
      <c r="B108" t="s">
        <v>818</v>
      </c>
      <c r="C108" t="s">
        <v>478</v>
      </c>
      <c r="D108" t="s">
        <v>508</v>
      </c>
      <c r="E108" t="s">
        <v>487</v>
      </c>
      <c r="F108" t="s">
        <v>479</v>
      </c>
      <c r="G108" t="s">
        <v>394</v>
      </c>
      <c r="H108" t="s">
        <v>391</v>
      </c>
      <c r="I108" t="s">
        <v>480</v>
      </c>
      <c r="J108" t="s">
        <v>488</v>
      </c>
      <c r="K108" t="s">
        <v>487</v>
      </c>
      <c r="L108" t="s">
        <v>553</v>
      </c>
      <c r="M108" t="s">
        <v>531</v>
      </c>
      <c r="N108" t="s">
        <v>589</v>
      </c>
      <c r="O108" t="s">
        <v>629</v>
      </c>
      <c r="P108" t="s">
        <v>508</v>
      </c>
      <c r="Q108">
        <v>0</v>
      </c>
      <c r="R108" t="s">
        <v>480</v>
      </c>
    </row>
    <row r="109" spans="1:18" x14ac:dyDescent="0.3">
      <c r="A109" t="s">
        <v>562</v>
      </c>
      <c r="B109" t="s">
        <v>817</v>
      </c>
      <c r="C109" t="s">
        <v>396</v>
      </c>
      <c r="D109" t="s">
        <v>508</v>
      </c>
      <c r="E109" t="s">
        <v>487</v>
      </c>
      <c r="F109" t="s">
        <v>479</v>
      </c>
      <c r="G109" t="s">
        <v>390</v>
      </c>
      <c r="H109" t="s">
        <v>391</v>
      </c>
      <c r="I109" t="s">
        <v>480</v>
      </c>
      <c r="J109" t="s">
        <v>488</v>
      </c>
      <c r="K109" t="s">
        <v>487</v>
      </c>
      <c r="L109" t="s">
        <v>536</v>
      </c>
      <c r="M109" t="s">
        <v>532</v>
      </c>
      <c r="N109" t="s">
        <v>589</v>
      </c>
      <c r="O109" t="s">
        <v>658</v>
      </c>
      <c r="P109" t="s">
        <v>508</v>
      </c>
      <c r="Q109">
        <v>0</v>
      </c>
      <c r="R109" t="s">
        <v>480</v>
      </c>
    </row>
    <row r="110" spans="1:18" x14ac:dyDescent="0.3">
      <c r="A110" t="s">
        <v>625</v>
      </c>
      <c r="B110" t="s">
        <v>817</v>
      </c>
      <c r="C110" t="s">
        <v>396</v>
      </c>
      <c r="D110" t="s">
        <v>508</v>
      </c>
      <c r="E110" t="s">
        <v>487</v>
      </c>
      <c r="F110" t="s">
        <v>479</v>
      </c>
      <c r="G110" t="s">
        <v>390</v>
      </c>
      <c r="H110" t="s">
        <v>391</v>
      </c>
      <c r="I110" t="s">
        <v>480</v>
      </c>
      <c r="J110" t="s">
        <v>488</v>
      </c>
      <c r="K110" t="s">
        <v>487</v>
      </c>
      <c r="L110" t="s">
        <v>536</v>
      </c>
      <c r="M110" t="s">
        <v>532</v>
      </c>
      <c r="N110" t="s">
        <v>589</v>
      </c>
      <c r="O110" t="s">
        <v>659</v>
      </c>
      <c r="P110" t="s">
        <v>508</v>
      </c>
      <c r="Q110">
        <v>0</v>
      </c>
      <c r="R110" t="s">
        <v>480</v>
      </c>
    </row>
    <row r="111" spans="1:18" x14ac:dyDescent="0.3">
      <c r="A111" t="s">
        <v>625</v>
      </c>
      <c r="B111" t="s">
        <v>817</v>
      </c>
      <c r="C111" t="s">
        <v>396</v>
      </c>
      <c r="D111" t="s">
        <v>508</v>
      </c>
      <c r="E111" t="s">
        <v>487</v>
      </c>
      <c r="F111" t="s">
        <v>479</v>
      </c>
      <c r="G111" t="s">
        <v>390</v>
      </c>
      <c r="H111" t="s">
        <v>391</v>
      </c>
      <c r="I111" t="s">
        <v>480</v>
      </c>
      <c r="J111" t="s">
        <v>488</v>
      </c>
      <c r="K111" t="s">
        <v>487</v>
      </c>
      <c r="L111" t="s">
        <v>536</v>
      </c>
      <c r="M111" t="s">
        <v>532</v>
      </c>
      <c r="N111" t="s">
        <v>589</v>
      </c>
      <c r="O111" t="s">
        <v>660</v>
      </c>
      <c r="P111" t="s">
        <v>508</v>
      </c>
      <c r="Q111">
        <v>0</v>
      </c>
      <c r="R111" t="s">
        <v>480</v>
      </c>
    </row>
    <row r="112" spans="1:18" x14ac:dyDescent="0.3">
      <c r="A112" t="s">
        <v>625</v>
      </c>
      <c r="B112" t="s">
        <v>818</v>
      </c>
      <c r="C112" t="s">
        <v>478</v>
      </c>
      <c r="D112" t="s">
        <v>508</v>
      </c>
      <c r="E112" t="s">
        <v>487</v>
      </c>
      <c r="F112" t="s">
        <v>479</v>
      </c>
      <c r="G112" t="s">
        <v>394</v>
      </c>
      <c r="H112" t="s">
        <v>391</v>
      </c>
      <c r="I112" t="s">
        <v>480</v>
      </c>
      <c r="J112" t="s">
        <v>488</v>
      </c>
      <c r="K112" t="s">
        <v>487</v>
      </c>
      <c r="L112" t="s">
        <v>553</v>
      </c>
      <c r="M112" t="s">
        <v>531</v>
      </c>
      <c r="N112" t="s">
        <v>589</v>
      </c>
      <c r="O112" t="s">
        <v>634</v>
      </c>
      <c r="P112" t="s">
        <v>508</v>
      </c>
      <c r="Q112">
        <v>0</v>
      </c>
      <c r="R112" t="s">
        <v>480</v>
      </c>
    </row>
    <row r="113" spans="1:18" x14ac:dyDescent="0.3">
      <c r="A113" t="s">
        <v>625</v>
      </c>
      <c r="B113" t="s">
        <v>817</v>
      </c>
      <c r="C113" t="s">
        <v>396</v>
      </c>
      <c r="D113" t="s">
        <v>508</v>
      </c>
      <c r="E113" t="s">
        <v>487</v>
      </c>
      <c r="F113" t="s">
        <v>479</v>
      </c>
      <c r="G113" t="s">
        <v>390</v>
      </c>
      <c r="H113" t="s">
        <v>391</v>
      </c>
      <c r="I113" t="s">
        <v>480</v>
      </c>
      <c r="J113" t="s">
        <v>488</v>
      </c>
      <c r="K113" t="s">
        <v>487</v>
      </c>
      <c r="L113" t="s">
        <v>536</v>
      </c>
      <c r="M113" t="s">
        <v>532</v>
      </c>
      <c r="N113" t="s">
        <v>589</v>
      </c>
      <c r="O113" t="s">
        <v>661</v>
      </c>
      <c r="P113" t="s">
        <v>508</v>
      </c>
      <c r="Q113">
        <v>0</v>
      </c>
      <c r="R113" t="s">
        <v>480</v>
      </c>
    </row>
    <row r="114" spans="1:18" x14ac:dyDescent="0.3">
      <c r="A114" t="s">
        <v>625</v>
      </c>
      <c r="B114" t="s">
        <v>817</v>
      </c>
      <c r="C114" t="s">
        <v>396</v>
      </c>
      <c r="D114" t="s">
        <v>508</v>
      </c>
      <c r="E114" t="s">
        <v>487</v>
      </c>
      <c r="F114" t="s">
        <v>479</v>
      </c>
      <c r="G114" t="s">
        <v>390</v>
      </c>
      <c r="H114" t="s">
        <v>391</v>
      </c>
      <c r="I114" t="s">
        <v>480</v>
      </c>
      <c r="J114" t="s">
        <v>488</v>
      </c>
      <c r="K114" t="s">
        <v>487</v>
      </c>
      <c r="L114" t="s">
        <v>536</v>
      </c>
      <c r="M114" t="s">
        <v>532</v>
      </c>
      <c r="N114" t="s">
        <v>589</v>
      </c>
      <c r="O114" t="s">
        <v>662</v>
      </c>
      <c r="P114" t="s">
        <v>508</v>
      </c>
      <c r="Q114">
        <v>0</v>
      </c>
      <c r="R114" t="s">
        <v>480</v>
      </c>
    </row>
    <row r="115" spans="1:18" x14ac:dyDescent="0.3">
      <c r="A115" t="s">
        <v>625</v>
      </c>
      <c r="B115" t="s">
        <v>817</v>
      </c>
      <c r="C115" t="s">
        <v>396</v>
      </c>
      <c r="D115" t="s">
        <v>508</v>
      </c>
      <c r="E115" t="s">
        <v>487</v>
      </c>
      <c r="F115" t="s">
        <v>479</v>
      </c>
      <c r="G115" t="s">
        <v>390</v>
      </c>
      <c r="H115" t="s">
        <v>391</v>
      </c>
      <c r="I115" t="s">
        <v>480</v>
      </c>
      <c r="J115" t="s">
        <v>488</v>
      </c>
      <c r="K115" t="s">
        <v>487</v>
      </c>
      <c r="L115" t="s">
        <v>536</v>
      </c>
      <c r="M115" t="s">
        <v>532</v>
      </c>
      <c r="N115" t="s">
        <v>589</v>
      </c>
      <c r="O115" t="s">
        <v>663</v>
      </c>
      <c r="P115" t="s">
        <v>508</v>
      </c>
      <c r="Q115">
        <v>0</v>
      </c>
      <c r="R115" t="s">
        <v>480</v>
      </c>
    </row>
    <row r="116" spans="1:18" x14ac:dyDescent="0.3">
      <c r="A116" t="s">
        <v>625</v>
      </c>
      <c r="B116" t="s">
        <v>819</v>
      </c>
      <c r="C116" t="s">
        <v>478</v>
      </c>
      <c r="D116" t="s">
        <v>508</v>
      </c>
      <c r="E116" t="s">
        <v>487</v>
      </c>
      <c r="F116" t="s">
        <v>479</v>
      </c>
      <c r="G116" t="s">
        <v>394</v>
      </c>
      <c r="H116" t="s">
        <v>391</v>
      </c>
      <c r="I116" t="s">
        <v>480</v>
      </c>
      <c r="J116" t="s">
        <v>488</v>
      </c>
      <c r="K116" t="s">
        <v>487</v>
      </c>
      <c r="L116" t="s">
        <v>553</v>
      </c>
      <c r="M116" t="s">
        <v>531</v>
      </c>
      <c r="N116" t="s">
        <v>589</v>
      </c>
      <c r="O116" t="s">
        <v>637</v>
      </c>
      <c r="P116" t="s">
        <v>508</v>
      </c>
      <c r="Q116">
        <v>0</v>
      </c>
      <c r="R116" t="s">
        <v>480</v>
      </c>
    </row>
    <row r="117" spans="1:18" x14ac:dyDescent="0.3">
      <c r="A117" t="s">
        <v>625</v>
      </c>
      <c r="B117" t="s">
        <v>819</v>
      </c>
      <c r="C117" t="s">
        <v>478</v>
      </c>
      <c r="D117" t="s">
        <v>508</v>
      </c>
      <c r="E117" t="s">
        <v>487</v>
      </c>
      <c r="F117" t="s">
        <v>479</v>
      </c>
      <c r="G117" t="s">
        <v>394</v>
      </c>
      <c r="H117" t="s">
        <v>391</v>
      </c>
      <c r="I117" t="s">
        <v>480</v>
      </c>
      <c r="J117" t="s">
        <v>488</v>
      </c>
      <c r="K117" t="s">
        <v>487</v>
      </c>
      <c r="L117" t="s">
        <v>553</v>
      </c>
      <c r="M117" t="s">
        <v>531</v>
      </c>
      <c r="N117" t="s">
        <v>589</v>
      </c>
      <c r="O117" t="s">
        <v>640</v>
      </c>
      <c r="P117" t="s">
        <v>508</v>
      </c>
      <c r="Q117">
        <v>0</v>
      </c>
      <c r="R117" t="s">
        <v>480</v>
      </c>
    </row>
    <row r="118" spans="1:18" x14ac:dyDescent="0.3">
      <c r="A118" t="s">
        <v>625</v>
      </c>
      <c r="B118" t="s">
        <v>819</v>
      </c>
      <c r="C118" t="s">
        <v>478</v>
      </c>
      <c r="D118" t="s">
        <v>508</v>
      </c>
      <c r="E118" t="s">
        <v>487</v>
      </c>
      <c r="F118" t="s">
        <v>479</v>
      </c>
      <c r="G118" t="s">
        <v>394</v>
      </c>
      <c r="H118" t="s">
        <v>391</v>
      </c>
      <c r="I118" t="s">
        <v>480</v>
      </c>
      <c r="J118" t="s">
        <v>488</v>
      </c>
      <c r="K118" t="s">
        <v>487</v>
      </c>
      <c r="L118" t="s">
        <v>553</v>
      </c>
      <c r="M118" t="s">
        <v>531</v>
      </c>
      <c r="N118" t="s">
        <v>589</v>
      </c>
      <c r="O118" t="s">
        <v>641</v>
      </c>
      <c r="P118" t="s">
        <v>508</v>
      </c>
      <c r="Q118">
        <v>0</v>
      </c>
      <c r="R118" t="s">
        <v>480</v>
      </c>
    </row>
    <row r="119" spans="1:18" x14ac:dyDescent="0.3">
      <c r="A119" t="s">
        <v>625</v>
      </c>
      <c r="B119" t="s">
        <v>819</v>
      </c>
      <c r="C119" t="s">
        <v>478</v>
      </c>
      <c r="D119" t="s">
        <v>508</v>
      </c>
      <c r="E119" t="s">
        <v>487</v>
      </c>
      <c r="F119" t="s">
        <v>479</v>
      </c>
      <c r="G119" t="s">
        <v>394</v>
      </c>
      <c r="H119" t="s">
        <v>391</v>
      </c>
      <c r="I119" t="s">
        <v>480</v>
      </c>
      <c r="J119" t="s">
        <v>488</v>
      </c>
      <c r="K119" t="s">
        <v>487</v>
      </c>
      <c r="L119" t="s">
        <v>553</v>
      </c>
      <c r="M119" t="s">
        <v>529</v>
      </c>
      <c r="N119" t="s">
        <v>589</v>
      </c>
      <c r="O119" t="s">
        <v>642</v>
      </c>
      <c r="P119" t="s">
        <v>508</v>
      </c>
      <c r="Q119">
        <v>0</v>
      </c>
      <c r="R119" t="s">
        <v>480</v>
      </c>
    </row>
    <row r="120" spans="1:18" x14ac:dyDescent="0.3">
      <c r="A120" t="s">
        <v>625</v>
      </c>
      <c r="B120" t="s">
        <v>819</v>
      </c>
      <c r="C120" t="s">
        <v>478</v>
      </c>
      <c r="D120" t="s">
        <v>508</v>
      </c>
      <c r="E120" t="s">
        <v>487</v>
      </c>
      <c r="F120" t="s">
        <v>479</v>
      </c>
      <c r="G120" t="s">
        <v>394</v>
      </c>
      <c r="H120" t="s">
        <v>391</v>
      </c>
      <c r="I120" t="s">
        <v>480</v>
      </c>
      <c r="J120" t="s">
        <v>488</v>
      </c>
      <c r="K120" t="s">
        <v>487</v>
      </c>
      <c r="L120" t="s">
        <v>553</v>
      </c>
      <c r="M120" t="s">
        <v>531</v>
      </c>
      <c r="N120" t="s">
        <v>589</v>
      </c>
      <c r="O120" t="s">
        <v>643</v>
      </c>
      <c r="P120" t="s">
        <v>508</v>
      </c>
      <c r="Q120">
        <v>0</v>
      </c>
      <c r="R120" t="s">
        <v>480</v>
      </c>
    </row>
    <row r="121" spans="1:18" x14ac:dyDescent="0.3">
      <c r="A121" t="s">
        <v>625</v>
      </c>
      <c r="B121" t="s">
        <v>820</v>
      </c>
      <c r="C121" t="s">
        <v>478</v>
      </c>
      <c r="D121" t="s">
        <v>508</v>
      </c>
      <c r="E121" t="s">
        <v>487</v>
      </c>
      <c r="F121" t="s">
        <v>479</v>
      </c>
      <c r="G121" t="s">
        <v>394</v>
      </c>
      <c r="H121" t="s">
        <v>391</v>
      </c>
      <c r="I121" t="s">
        <v>480</v>
      </c>
      <c r="J121" t="s">
        <v>488</v>
      </c>
      <c r="K121" t="s">
        <v>487</v>
      </c>
      <c r="L121" t="s">
        <v>553</v>
      </c>
      <c r="M121" t="s">
        <v>529</v>
      </c>
      <c r="N121" t="s">
        <v>589</v>
      </c>
      <c r="O121" t="s">
        <v>743</v>
      </c>
      <c r="P121" t="s">
        <v>508</v>
      </c>
      <c r="Q121">
        <v>0</v>
      </c>
      <c r="R121" t="s">
        <v>480</v>
      </c>
    </row>
    <row r="122" spans="1:18" x14ac:dyDescent="0.3">
      <c r="A122" t="s">
        <v>625</v>
      </c>
      <c r="B122" t="s">
        <v>820</v>
      </c>
      <c r="C122" t="s">
        <v>478</v>
      </c>
      <c r="D122" t="s">
        <v>508</v>
      </c>
      <c r="E122" t="s">
        <v>487</v>
      </c>
      <c r="F122" t="s">
        <v>479</v>
      </c>
      <c r="G122" t="s">
        <v>394</v>
      </c>
      <c r="H122" t="s">
        <v>391</v>
      </c>
      <c r="I122" t="s">
        <v>480</v>
      </c>
      <c r="J122" t="s">
        <v>488</v>
      </c>
      <c r="K122" t="s">
        <v>487</v>
      </c>
      <c r="L122" t="s">
        <v>553</v>
      </c>
      <c r="M122" t="s">
        <v>531</v>
      </c>
      <c r="N122" t="s">
        <v>589</v>
      </c>
      <c r="O122" t="s">
        <v>745</v>
      </c>
      <c r="P122" t="s">
        <v>508</v>
      </c>
      <c r="Q122">
        <v>0</v>
      </c>
      <c r="R122" t="s">
        <v>480</v>
      </c>
    </row>
    <row r="123" spans="1:18" x14ac:dyDescent="0.3">
      <c r="A123" t="s">
        <v>625</v>
      </c>
      <c r="B123" t="s">
        <v>820</v>
      </c>
      <c r="C123" t="s">
        <v>478</v>
      </c>
      <c r="D123" t="s">
        <v>508</v>
      </c>
      <c r="E123" t="s">
        <v>487</v>
      </c>
      <c r="F123" t="s">
        <v>479</v>
      </c>
      <c r="G123" t="s">
        <v>394</v>
      </c>
      <c r="H123" t="s">
        <v>391</v>
      </c>
      <c r="I123" t="s">
        <v>480</v>
      </c>
      <c r="J123" t="s">
        <v>488</v>
      </c>
      <c r="K123" t="s">
        <v>487</v>
      </c>
      <c r="L123" t="s">
        <v>553</v>
      </c>
      <c r="M123" t="s">
        <v>531</v>
      </c>
      <c r="N123" t="s">
        <v>589</v>
      </c>
      <c r="O123" t="s">
        <v>747</v>
      </c>
      <c r="P123" t="s">
        <v>508</v>
      </c>
      <c r="Q123">
        <v>0</v>
      </c>
      <c r="R123" t="s">
        <v>480</v>
      </c>
    </row>
    <row r="124" spans="1:18" x14ac:dyDescent="0.3">
      <c r="A124" t="s">
        <v>625</v>
      </c>
      <c r="B124" t="s">
        <v>821</v>
      </c>
      <c r="C124" t="s">
        <v>396</v>
      </c>
      <c r="D124" t="s">
        <v>508</v>
      </c>
      <c r="E124" t="s">
        <v>487</v>
      </c>
      <c r="F124" t="s">
        <v>479</v>
      </c>
      <c r="G124" t="s">
        <v>390</v>
      </c>
      <c r="H124" t="s">
        <v>391</v>
      </c>
      <c r="I124" t="s">
        <v>480</v>
      </c>
      <c r="J124" t="s">
        <v>488</v>
      </c>
      <c r="K124" t="s">
        <v>487</v>
      </c>
      <c r="L124" t="s">
        <v>536</v>
      </c>
      <c r="M124" t="s">
        <v>532</v>
      </c>
      <c r="N124" t="s">
        <v>589</v>
      </c>
      <c r="O124" t="s">
        <v>748</v>
      </c>
      <c r="P124" t="s">
        <v>508</v>
      </c>
      <c r="Q124">
        <v>0</v>
      </c>
      <c r="R124" t="s">
        <v>480</v>
      </c>
    </row>
    <row r="125" spans="1:18" x14ac:dyDescent="0.3">
      <c r="A125" t="s">
        <v>625</v>
      </c>
      <c r="B125" t="s">
        <v>821</v>
      </c>
      <c r="C125" t="s">
        <v>396</v>
      </c>
      <c r="D125" t="s">
        <v>508</v>
      </c>
      <c r="E125" t="s">
        <v>487</v>
      </c>
      <c r="F125" t="s">
        <v>479</v>
      </c>
      <c r="G125" t="s">
        <v>390</v>
      </c>
      <c r="H125" t="s">
        <v>391</v>
      </c>
      <c r="I125" t="s">
        <v>480</v>
      </c>
      <c r="J125" t="s">
        <v>488</v>
      </c>
      <c r="K125" t="s">
        <v>487</v>
      </c>
      <c r="L125" t="s">
        <v>536</v>
      </c>
      <c r="M125" t="s">
        <v>532</v>
      </c>
      <c r="N125" t="s">
        <v>589</v>
      </c>
      <c r="O125" t="s">
        <v>750</v>
      </c>
      <c r="P125" t="s">
        <v>508</v>
      </c>
      <c r="Q125">
        <v>0</v>
      </c>
      <c r="R125" t="s">
        <v>480</v>
      </c>
    </row>
    <row r="126" spans="1:18" x14ac:dyDescent="0.3">
      <c r="A126" t="s">
        <v>625</v>
      </c>
      <c r="B126" t="s">
        <v>821</v>
      </c>
      <c r="C126" t="s">
        <v>396</v>
      </c>
      <c r="D126" t="s">
        <v>508</v>
      </c>
      <c r="E126" t="s">
        <v>487</v>
      </c>
      <c r="F126" t="s">
        <v>479</v>
      </c>
      <c r="G126" t="s">
        <v>390</v>
      </c>
      <c r="H126" t="s">
        <v>391</v>
      </c>
      <c r="I126" t="s">
        <v>480</v>
      </c>
      <c r="J126" t="s">
        <v>488</v>
      </c>
      <c r="K126" t="s">
        <v>487</v>
      </c>
      <c r="L126" t="s">
        <v>536</v>
      </c>
      <c r="M126" t="s">
        <v>531</v>
      </c>
      <c r="N126" t="s">
        <v>589</v>
      </c>
      <c r="O126" t="s">
        <v>752</v>
      </c>
      <c r="P126" t="s">
        <v>508</v>
      </c>
      <c r="Q126">
        <v>0</v>
      </c>
      <c r="R126" t="s">
        <v>480</v>
      </c>
    </row>
    <row r="127" spans="1:18" x14ac:dyDescent="0.3">
      <c r="A127" t="s">
        <v>625</v>
      </c>
      <c r="B127" t="s">
        <v>820</v>
      </c>
      <c r="C127" t="s">
        <v>478</v>
      </c>
      <c r="D127" t="s">
        <v>508</v>
      </c>
      <c r="E127" t="s">
        <v>487</v>
      </c>
      <c r="F127" t="s">
        <v>479</v>
      </c>
      <c r="G127" t="s">
        <v>394</v>
      </c>
      <c r="H127" t="s">
        <v>391</v>
      </c>
      <c r="I127" t="s">
        <v>480</v>
      </c>
      <c r="J127" t="s">
        <v>488</v>
      </c>
      <c r="K127" t="s">
        <v>487</v>
      </c>
      <c r="L127" t="s">
        <v>553</v>
      </c>
      <c r="M127" t="s">
        <v>529</v>
      </c>
      <c r="N127" t="s">
        <v>589</v>
      </c>
      <c r="O127" t="s">
        <v>754</v>
      </c>
      <c r="P127" t="s">
        <v>508</v>
      </c>
      <c r="Q127">
        <v>0</v>
      </c>
      <c r="R127" t="s">
        <v>480</v>
      </c>
    </row>
    <row r="128" spans="1:18" x14ac:dyDescent="0.3">
      <c r="A128" t="s">
        <v>625</v>
      </c>
      <c r="B128" t="s">
        <v>821</v>
      </c>
      <c r="C128" t="s">
        <v>396</v>
      </c>
      <c r="D128" t="s">
        <v>508</v>
      </c>
      <c r="E128" t="s">
        <v>487</v>
      </c>
      <c r="F128" t="s">
        <v>479</v>
      </c>
      <c r="G128" t="s">
        <v>390</v>
      </c>
      <c r="H128" t="s">
        <v>391</v>
      </c>
      <c r="I128" t="s">
        <v>480</v>
      </c>
      <c r="J128" t="s">
        <v>488</v>
      </c>
      <c r="K128" t="s">
        <v>487</v>
      </c>
      <c r="L128" t="s">
        <v>536</v>
      </c>
      <c r="M128" t="s">
        <v>532</v>
      </c>
      <c r="N128" t="s">
        <v>589</v>
      </c>
      <c r="O128" t="s">
        <v>756</v>
      </c>
      <c r="P128" t="s">
        <v>508</v>
      </c>
      <c r="Q128">
        <v>0</v>
      </c>
      <c r="R128" t="s">
        <v>480</v>
      </c>
    </row>
    <row r="129" spans="1:18" x14ac:dyDescent="0.3">
      <c r="A129" t="s">
        <v>625</v>
      </c>
      <c r="B129" t="s">
        <v>822</v>
      </c>
      <c r="C129" t="s">
        <v>396</v>
      </c>
      <c r="D129" t="s">
        <v>508</v>
      </c>
      <c r="E129" t="s">
        <v>487</v>
      </c>
      <c r="F129" t="s">
        <v>479</v>
      </c>
      <c r="G129" t="s">
        <v>390</v>
      </c>
      <c r="H129" t="s">
        <v>391</v>
      </c>
      <c r="I129" t="s">
        <v>480</v>
      </c>
      <c r="J129" t="s">
        <v>488</v>
      </c>
      <c r="K129" t="s">
        <v>487</v>
      </c>
      <c r="L129" t="s">
        <v>536</v>
      </c>
      <c r="M129" t="s">
        <v>531</v>
      </c>
      <c r="N129" t="s">
        <v>589</v>
      </c>
      <c r="O129" t="s">
        <v>765</v>
      </c>
      <c r="P129" t="s">
        <v>508</v>
      </c>
      <c r="Q129">
        <v>0</v>
      </c>
      <c r="R129" t="s">
        <v>480</v>
      </c>
    </row>
    <row r="130" spans="1:18" x14ac:dyDescent="0.3">
      <c r="A130" t="s">
        <v>625</v>
      </c>
      <c r="B130" t="s">
        <v>822</v>
      </c>
      <c r="C130" t="s">
        <v>396</v>
      </c>
      <c r="D130" t="s">
        <v>508</v>
      </c>
      <c r="E130" t="s">
        <v>487</v>
      </c>
      <c r="F130" t="s">
        <v>479</v>
      </c>
      <c r="G130" t="s">
        <v>390</v>
      </c>
      <c r="H130" t="s">
        <v>391</v>
      </c>
      <c r="I130" t="s">
        <v>480</v>
      </c>
      <c r="J130" t="s">
        <v>488</v>
      </c>
      <c r="K130" t="s">
        <v>487</v>
      </c>
      <c r="L130" t="s">
        <v>536</v>
      </c>
      <c r="M130" t="s">
        <v>532</v>
      </c>
      <c r="N130" t="s">
        <v>589</v>
      </c>
      <c r="O130" t="s">
        <v>767</v>
      </c>
      <c r="P130" t="s">
        <v>508</v>
      </c>
      <c r="Q130">
        <v>0</v>
      </c>
      <c r="R130" t="s">
        <v>480</v>
      </c>
    </row>
    <row r="131" spans="1:18" x14ac:dyDescent="0.3">
      <c r="A131" t="s">
        <v>625</v>
      </c>
      <c r="B131" t="s">
        <v>820</v>
      </c>
      <c r="C131" t="s">
        <v>478</v>
      </c>
      <c r="D131" t="s">
        <v>508</v>
      </c>
      <c r="E131" t="s">
        <v>487</v>
      </c>
      <c r="F131" t="s">
        <v>479</v>
      </c>
      <c r="G131" t="s">
        <v>394</v>
      </c>
      <c r="H131" t="s">
        <v>391</v>
      </c>
      <c r="I131" t="s">
        <v>480</v>
      </c>
      <c r="J131" t="s">
        <v>488</v>
      </c>
      <c r="K131" t="s">
        <v>487</v>
      </c>
      <c r="L131" t="s">
        <v>553</v>
      </c>
      <c r="M131" t="s">
        <v>529</v>
      </c>
      <c r="N131" t="s">
        <v>589</v>
      </c>
      <c r="O131" t="s">
        <v>770</v>
      </c>
      <c r="P131" t="s">
        <v>508</v>
      </c>
      <c r="Q131">
        <v>0</v>
      </c>
      <c r="R131" t="s">
        <v>480</v>
      </c>
    </row>
    <row r="132" spans="1:18" x14ac:dyDescent="0.3">
      <c r="A132" t="s">
        <v>625</v>
      </c>
      <c r="B132" t="s">
        <v>822</v>
      </c>
      <c r="C132" t="s">
        <v>396</v>
      </c>
      <c r="D132" t="s">
        <v>508</v>
      </c>
      <c r="E132" t="s">
        <v>487</v>
      </c>
      <c r="F132" t="s">
        <v>479</v>
      </c>
      <c r="G132" t="s">
        <v>390</v>
      </c>
      <c r="H132" t="s">
        <v>391</v>
      </c>
      <c r="I132" t="s">
        <v>480</v>
      </c>
      <c r="J132" t="s">
        <v>488</v>
      </c>
      <c r="K132" t="s">
        <v>487</v>
      </c>
      <c r="L132" t="s">
        <v>536</v>
      </c>
      <c r="M132" t="s">
        <v>532</v>
      </c>
      <c r="N132" t="s">
        <v>589</v>
      </c>
      <c r="O132" t="s">
        <v>772</v>
      </c>
      <c r="P132" t="s">
        <v>508</v>
      </c>
      <c r="Q132">
        <v>0</v>
      </c>
      <c r="R132" t="s">
        <v>480</v>
      </c>
    </row>
    <row r="133" spans="1:18" x14ac:dyDescent="0.3">
      <c r="A133" t="s">
        <v>625</v>
      </c>
      <c r="B133" t="s">
        <v>822</v>
      </c>
      <c r="C133" t="s">
        <v>396</v>
      </c>
      <c r="D133" t="s">
        <v>508</v>
      </c>
      <c r="E133" t="s">
        <v>487</v>
      </c>
      <c r="F133" t="s">
        <v>479</v>
      </c>
      <c r="G133" t="s">
        <v>390</v>
      </c>
      <c r="H133" t="s">
        <v>391</v>
      </c>
      <c r="I133" t="s">
        <v>480</v>
      </c>
      <c r="J133" t="s">
        <v>488</v>
      </c>
      <c r="K133" t="s">
        <v>487</v>
      </c>
      <c r="L133" t="s">
        <v>536</v>
      </c>
      <c r="M133" t="s">
        <v>532</v>
      </c>
      <c r="N133" t="s">
        <v>589</v>
      </c>
      <c r="O133" t="s">
        <v>773</v>
      </c>
      <c r="P133" t="s">
        <v>508</v>
      </c>
      <c r="Q133">
        <v>0</v>
      </c>
      <c r="R133" t="s">
        <v>480</v>
      </c>
    </row>
    <row r="134" spans="1:18" x14ac:dyDescent="0.3">
      <c r="A134" t="s">
        <v>625</v>
      </c>
      <c r="B134" t="s">
        <v>857</v>
      </c>
      <c r="C134" t="s">
        <v>396</v>
      </c>
      <c r="D134" t="s">
        <v>508</v>
      </c>
      <c r="E134" t="s">
        <v>487</v>
      </c>
      <c r="F134" t="s">
        <v>479</v>
      </c>
      <c r="G134" t="s">
        <v>390</v>
      </c>
      <c r="H134" t="s">
        <v>391</v>
      </c>
      <c r="I134" t="s">
        <v>480</v>
      </c>
      <c r="J134" t="s">
        <v>488</v>
      </c>
      <c r="K134" t="s">
        <v>487</v>
      </c>
      <c r="L134" t="s">
        <v>536</v>
      </c>
      <c r="M134" t="s">
        <v>532</v>
      </c>
      <c r="N134" t="s">
        <v>589</v>
      </c>
      <c r="O134" t="s">
        <v>777</v>
      </c>
      <c r="P134" t="s">
        <v>508</v>
      </c>
      <c r="Q134">
        <v>0</v>
      </c>
      <c r="R134" t="s">
        <v>480</v>
      </c>
    </row>
    <row r="135" spans="1:18" x14ac:dyDescent="0.3">
      <c r="A135" t="s">
        <v>625</v>
      </c>
      <c r="B135" t="s">
        <v>857</v>
      </c>
      <c r="C135" t="s">
        <v>396</v>
      </c>
      <c r="D135" t="s">
        <v>508</v>
      </c>
      <c r="E135" t="s">
        <v>487</v>
      </c>
      <c r="F135" t="s">
        <v>479</v>
      </c>
      <c r="G135" t="s">
        <v>390</v>
      </c>
      <c r="H135" t="s">
        <v>391</v>
      </c>
      <c r="I135" t="s">
        <v>480</v>
      </c>
      <c r="J135" t="s">
        <v>488</v>
      </c>
      <c r="K135" t="s">
        <v>487</v>
      </c>
      <c r="L135" t="s">
        <v>536</v>
      </c>
      <c r="M135" t="s">
        <v>531</v>
      </c>
      <c r="N135" t="s">
        <v>589</v>
      </c>
      <c r="O135" t="s">
        <v>778</v>
      </c>
      <c r="P135" t="s">
        <v>508</v>
      </c>
      <c r="Q135">
        <v>0</v>
      </c>
      <c r="R135" t="s">
        <v>480</v>
      </c>
    </row>
    <row r="136" spans="1:18" x14ac:dyDescent="0.3">
      <c r="A136" t="s">
        <v>625</v>
      </c>
      <c r="B136" t="s">
        <v>852</v>
      </c>
      <c r="C136" t="s">
        <v>478</v>
      </c>
      <c r="D136" t="s">
        <v>508</v>
      </c>
      <c r="E136" t="s">
        <v>487</v>
      </c>
      <c r="F136" t="s">
        <v>479</v>
      </c>
      <c r="G136" t="s">
        <v>411</v>
      </c>
      <c r="H136" t="s">
        <v>391</v>
      </c>
      <c r="I136" t="s">
        <v>480</v>
      </c>
      <c r="J136" t="s">
        <v>488</v>
      </c>
      <c r="K136" t="s">
        <v>487</v>
      </c>
      <c r="L136" t="s">
        <v>544</v>
      </c>
      <c r="M136" t="s">
        <v>531</v>
      </c>
      <c r="N136" t="s">
        <v>589</v>
      </c>
      <c r="O136" t="s">
        <v>782</v>
      </c>
      <c r="P136" t="s">
        <v>508</v>
      </c>
      <c r="Q136">
        <v>0</v>
      </c>
      <c r="R136" t="s">
        <v>480</v>
      </c>
    </row>
    <row r="137" spans="1:18" x14ac:dyDescent="0.3">
      <c r="A137" t="s">
        <v>625</v>
      </c>
      <c r="B137" t="s">
        <v>852</v>
      </c>
      <c r="C137" t="s">
        <v>478</v>
      </c>
      <c r="D137" t="s">
        <v>508</v>
      </c>
      <c r="E137" t="s">
        <v>487</v>
      </c>
      <c r="F137" t="s">
        <v>479</v>
      </c>
      <c r="G137" t="s">
        <v>411</v>
      </c>
      <c r="H137" t="s">
        <v>391</v>
      </c>
      <c r="I137" t="s">
        <v>480</v>
      </c>
      <c r="J137" t="s">
        <v>488</v>
      </c>
      <c r="K137" t="s">
        <v>487</v>
      </c>
      <c r="L137" t="s">
        <v>544</v>
      </c>
      <c r="M137" t="s">
        <v>531</v>
      </c>
      <c r="N137" t="s">
        <v>589</v>
      </c>
      <c r="O137" t="s">
        <v>789</v>
      </c>
      <c r="P137" t="s">
        <v>508</v>
      </c>
      <c r="Q137">
        <v>0</v>
      </c>
      <c r="R137" t="s">
        <v>480</v>
      </c>
    </row>
    <row r="138" spans="1:18" x14ac:dyDescent="0.3">
      <c r="A138" t="s">
        <v>625</v>
      </c>
      <c r="B138" t="s">
        <v>852</v>
      </c>
      <c r="C138" t="s">
        <v>478</v>
      </c>
      <c r="D138" t="s">
        <v>508</v>
      </c>
      <c r="E138" t="s">
        <v>487</v>
      </c>
      <c r="F138" t="s">
        <v>479</v>
      </c>
      <c r="G138" t="s">
        <v>411</v>
      </c>
      <c r="H138" t="s">
        <v>391</v>
      </c>
      <c r="I138" t="s">
        <v>480</v>
      </c>
      <c r="J138" t="s">
        <v>488</v>
      </c>
      <c r="K138" t="s">
        <v>487</v>
      </c>
      <c r="L138" t="s">
        <v>544</v>
      </c>
      <c r="M138" t="s">
        <v>531</v>
      </c>
      <c r="N138" t="s">
        <v>589</v>
      </c>
      <c r="O138" t="s">
        <v>791</v>
      </c>
      <c r="P138" t="s">
        <v>508</v>
      </c>
      <c r="Q138">
        <v>0</v>
      </c>
      <c r="R138" t="s">
        <v>480</v>
      </c>
    </row>
    <row r="139" spans="1:18" x14ac:dyDescent="0.3">
      <c r="A139" t="s">
        <v>625</v>
      </c>
      <c r="B139" t="s">
        <v>857</v>
      </c>
      <c r="C139" t="s">
        <v>396</v>
      </c>
      <c r="D139" t="s">
        <v>508</v>
      </c>
      <c r="E139" t="s">
        <v>487</v>
      </c>
      <c r="F139" t="s">
        <v>479</v>
      </c>
      <c r="G139" t="s">
        <v>390</v>
      </c>
      <c r="H139" t="s">
        <v>391</v>
      </c>
      <c r="I139" t="s">
        <v>480</v>
      </c>
      <c r="J139" t="s">
        <v>488</v>
      </c>
      <c r="K139" t="s">
        <v>487</v>
      </c>
      <c r="L139" t="s">
        <v>536</v>
      </c>
      <c r="M139" t="s">
        <v>532</v>
      </c>
      <c r="N139" t="s">
        <v>589</v>
      </c>
      <c r="O139" t="s">
        <v>792</v>
      </c>
      <c r="P139" t="s">
        <v>508</v>
      </c>
      <c r="Q139">
        <v>0</v>
      </c>
      <c r="R139" t="s">
        <v>480</v>
      </c>
    </row>
    <row r="140" spans="1:18" x14ac:dyDescent="0.3">
      <c r="A140" t="s">
        <v>625</v>
      </c>
      <c r="B140" t="s">
        <v>853</v>
      </c>
      <c r="C140" t="s">
        <v>478</v>
      </c>
      <c r="D140" t="s">
        <v>508</v>
      </c>
      <c r="E140" t="s">
        <v>487</v>
      </c>
      <c r="F140" t="s">
        <v>479</v>
      </c>
      <c r="G140" t="s">
        <v>411</v>
      </c>
      <c r="H140" t="s">
        <v>391</v>
      </c>
      <c r="I140" t="s">
        <v>480</v>
      </c>
      <c r="J140" t="s">
        <v>488</v>
      </c>
      <c r="K140" t="s">
        <v>487</v>
      </c>
      <c r="L140" t="s">
        <v>544</v>
      </c>
      <c r="M140" t="s">
        <v>531</v>
      </c>
      <c r="N140" t="s">
        <v>589</v>
      </c>
      <c r="O140" t="s">
        <v>796</v>
      </c>
      <c r="P140" t="s">
        <v>508</v>
      </c>
      <c r="Q140">
        <v>0</v>
      </c>
      <c r="R140" t="s">
        <v>480</v>
      </c>
    </row>
    <row r="141" spans="1:18" x14ac:dyDescent="0.3">
      <c r="A141" t="s">
        <v>625</v>
      </c>
      <c r="B141" t="s">
        <v>857</v>
      </c>
      <c r="C141" t="s">
        <v>396</v>
      </c>
      <c r="D141" t="s">
        <v>508</v>
      </c>
      <c r="E141" t="s">
        <v>487</v>
      </c>
      <c r="F141" t="s">
        <v>479</v>
      </c>
      <c r="G141" t="s">
        <v>390</v>
      </c>
      <c r="H141" t="s">
        <v>391</v>
      </c>
      <c r="I141" t="s">
        <v>480</v>
      </c>
      <c r="J141" t="s">
        <v>488</v>
      </c>
      <c r="K141" t="s">
        <v>487</v>
      </c>
      <c r="L141" t="s">
        <v>536</v>
      </c>
      <c r="M141" t="s">
        <v>532</v>
      </c>
      <c r="N141" t="s">
        <v>589</v>
      </c>
      <c r="O141" t="s">
        <v>798</v>
      </c>
      <c r="P141" t="s">
        <v>508</v>
      </c>
      <c r="Q141">
        <v>0</v>
      </c>
      <c r="R141" t="s">
        <v>480</v>
      </c>
    </row>
    <row r="142" spans="1:18" x14ac:dyDescent="0.3">
      <c r="A142" t="s">
        <v>625</v>
      </c>
      <c r="B142" t="s">
        <v>857</v>
      </c>
      <c r="C142" t="s">
        <v>396</v>
      </c>
      <c r="D142" t="s">
        <v>508</v>
      </c>
      <c r="E142" t="s">
        <v>487</v>
      </c>
      <c r="F142" t="s">
        <v>479</v>
      </c>
      <c r="G142" t="s">
        <v>390</v>
      </c>
      <c r="H142" t="s">
        <v>391</v>
      </c>
      <c r="I142" t="s">
        <v>480</v>
      </c>
      <c r="J142" t="s">
        <v>488</v>
      </c>
      <c r="K142" t="s">
        <v>487</v>
      </c>
      <c r="L142" t="s">
        <v>536</v>
      </c>
      <c r="M142" t="s">
        <v>532</v>
      </c>
      <c r="N142" t="s">
        <v>589</v>
      </c>
      <c r="O142" t="s">
        <v>799</v>
      </c>
      <c r="P142" t="s">
        <v>508</v>
      </c>
      <c r="Q142">
        <v>0</v>
      </c>
      <c r="R142" t="s">
        <v>480</v>
      </c>
    </row>
    <row r="143" spans="1:18" x14ac:dyDescent="0.3">
      <c r="A143" t="s">
        <v>625</v>
      </c>
      <c r="B143" t="s">
        <v>853</v>
      </c>
      <c r="C143" t="s">
        <v>478</v>
      </c>
      <c r="D143" t="s">
        <v>508</v>
      </c>
      <c r="E143" t="s">
        <v>487</v>
      </c>
      <c r="F143" t="s">
        <v>479</v>
      </c>
      <c r="G143" t="s">
        <v>411</v>
      </c>
      <c r="H143" t="s">
        <v>391</v>
      </c>
      <c r="I143" t="s">
        <v>480</v>
      </c>
      <c r="J143" t="s">
        <v>488</v>
      </c>
      <c r="K143" t="s">
        <v>487</v>
      </c>
      <c r="L143" t="s">
        <v>544</v>
      </c>
      <c r="M143" t="s">
        <v>531</v>
      </c>
      <c r="N143" t="s">
        <v>589</v>
      </c>
      <c r="O143" t="s">
        <v>802</v>
      </c>
      <c r="P143" t="s">
        <v>508</v>
      </c>
      <c r="Q143">
        <v>0</v>
      </c>
      <c r="R143" t="s">
        <v>480</v>
      </c>
    </row>
    <row r="144" spans="1:18" x14ac:dyDescent="0.3">
      <c r="A144" t="s">
        <v>625</v>
      </c>
      <c r="B144" t="s">
        <v>853</v>
      </c>
      <c r="C144" t="s">
        <v>478</v>
      </c>
      <c r="D144" t="s">
        <v>508</v>
      </c>
      <c r="E144" t="s">
        <v>487</v>
      </c>
      <c r="F144" t="s">
        <v>479</v>
      </c>
      <c r="G144" t="s">
        <v>411</v>
      </c>
      <c r="H144" t="s">
        <v>391</v>
      </c>
      <c r="I144" t="s">
        <v>480</v>
      </c>
      <c r="J144" t="s">
        <v>488</v>
      </c>
      <c r="K144" t="s">
        <v>487</v>
      </c>
      <c r="L144" t="s">
        <v>544</v>
      </c>
      <c r="M144" t="s">
        <v>531</v>
      </c>
      <c r="N144" t="s">
        <v>589</v>
      </c>
      <c r="O144" t="s">
        <v>808</v>
      </c>
      <c r="P144" t="s">
        <v>508</v>
      </c>
      <c r="Q144">
        <v>0</v>
      </c>
      <c r="R144" t="s">
        <v>480</v>
      </c>
    </row>
    <row r="145" spans="1:18" x14ac:dyDescent="0.3">
      <c r="A145" t="s">
        <v>824</v>
      </c>
      <c r="B145" t="s">
        <v>483</v>
      </c>
      <c r="C145" t="s">
        <v>478</v>
      </c>
      <c r="D145" t="s">
        <v>508</v>
      </c>
      <c r="E145" t="s">
        <v>487</v>
      </c>
      <c r="F145" t="s">
        <v>479</v>
      </c>
      <c r="G145" t="s">
        <v>411</v>
      </c>
      <c r="H145" t="s">
        <v>391</v>
      </c>
      <c r="I145" t="s">
        <v>480</v>
      </c>
      <c r="J145" t="s">
        <v>488</v>
      </c>
      <c r="K145" t="s">
        <v>487</v>
      </c>
      <c r="L145" t="s">
        <v>544</v>
      </c>
      <c r="M145" t="s">
        <v>531</v>
      </c>
      <c r="N145" t="s">
        <v>589</v>
      </c>
      <c r="O145" t="s">
        <v>827</v>
      </c>
      <c r="P145" t="s">
        <v>508</v>
      </c>
      <c r="Q145">
        <v>0</v>
      </c>
      <c r="R145" t="s">
        <v>480</v>
      </c>
    </row>
    <row r="146" spans="1:18" x14ac:dyDescent="0.3">
      <c r="A146" t="s">
        <v>824</v>
      </c>
      <c r="B146" t="s">
        <v>483</v>
      </c>
      <c r="C146" t="s">
        <v>478</v>
      </c>
      <c r="D146" t="s">
        <v>508</v>
      </c>
      <c r="E146" t="s">
        <v>487</v>
      </c>
      <c r="F146" t="s">
        <v>479</v>
      </c>
      <c r="G146" t="s">
        <v>411</v>
      </c>
      <c r="H146" t="s">
        <v>391</v>
      </c>
      <c r="I146" t="s">
        <v>480</v>
      </c>
      <c r="J146" t="s">
        <v>488</v>
      </c>
      <c r="K146" t="s">
        <v>487</v>
      </c>
      <c r="L146" t="s">
        <v>544</v>
      </c>
      <c r="M146" t="s">
        <v>531</v>
      </c>
      <c r="N146" t="s">
        <v>528</v>
      </c>
      <c r="O146" t="s">
        <v>858</v>
      </c>
      <c r="P146" t="s">
        <v>508</v>
      </c>
      <c r="Q146">
        <v>0</v>
      </c>
      <c r="R146" t="s">
        <v>480</v>
      </c>
    </row>
    <row r="147" spans="1:18" x14ac:dyDescent="0.3">
      <c r="A147" t="s">
        <v>625</v>
      </c>
      <c r="B147" t="s">
        <v>483</v>
      </c>
      <c r="C147" t="s">
        <v>396</v>
      </c>
      <c r="D147" t="s">
        <v>508</v>
      </c>
      <c r="E147" t="s">
        <v>487</v>
      </c>
      <c r="F147" t="s">
        <v>479</v>
      </c>
      <c r="G147" t="s">
        <v>390</v>
      </c>
      <c r="H147" t="s">
        <v>391</v>
      </c>
      <c r="I147" t="s">
        <v>480</v>
      </c>
      <c r="J147" t="s">
        <v>488</v>
      </c>
      <c r="K147" t="s">
        <v>487</v>
      </c>
      <c r="L147" t="s">
        <v>536</v>
      </c>
      <c r="M147" t="s">
        <v>532</v>
      </c>
      <c r="N147" t="s">
        <v>589</v>
      </c>
      <c r="O147" t="s">
        <v>859</v>
      </c>
      <c r="P147" t="s">
        <v>508</v>
      </c>
      <c r="Q147">
        <v>0</v>
      </c>
      <c r="R147" t="s">
        <v>480</v>
      </c>
    </row>
    <row r="148" spans="1:18" x14ac:dyDescent="0.3">
      <c r="A148" t="s">
        <v>562</v>
      </c>
      <c r="B148" t="s">
        <v>664</v>
      </c>
      <c r="C148" t="s">
        <v>478</v>
      </c>
      <c r="D148" t="s">
        <v>508</v>
      </c>
      <c r="E148" t="s">
        <v>543</v>
      </c>
      <c r="F148" t="s">
        <v>479</v>
      </c>
      <c r="G148" t="s">
        <v>394</v>
      </c>
      <c r="H148" t="s">
        <v>391</v>
      </c>
      <c r="I148" t="s">
        <v>480</v>
      </c>
      <c r="J148" t="s">
        <v>488</v>
      </c>
      <c r="K148" t="s">
        <v>543</v>
      </c>
      <c r="L148" t="s">
        <v>544</v>
      </c>
      <c r="M148" t="s">
        <v>532</v>
      </c>
      <c r="N148" t="s">
        <v>528</v>
      </c>
      <c r="O148" t="s">
        <v>665</v>
      </c>
      <c r="P148" t="s">
        <v>508</v>
      </c>
      <c r="Q148">
        <v>0</v>
      </c>
      <c r="R148" t="s">
        <v>480</v>
      </c>
    </row>
    <row r="149" spans="1:18" x14ac:dyDescent="0.3">
      <c r="A149" t="s">
        <v>562</v>
      </c>
      <c r="B149" t="s">
        <v>664</v>
      </c>
      <c r="C149" t="s">
        <v>478</v>
      </c>
      <c r="D149" t="s">
        <v>508</v>
      </c>
      <c r="E149" t="s">
        <v>543</v>
      </c>
      <c r="F149" t="s">
        <v>479</v>
      </c>
      <c r="G149" t="s">
        <v>394</v>
      </c>
      <c r="H149" t="s">
        <v>391</v>
      </c>
      <c r="I149" t="s">
        <v>480</v>
      </c>
      <c r="J149" t="s">
        <v>488</v>
      </c>
      <c r="K149" t="s">
        <v>543</v>
      </c>
      <c r="L149" t="s">
        <v>544</v>
      </c>
      <c r="M149" t="s">
        <v>532</v>
      </c>
      <c r="N149" t="s">
        <v>589</v>
      </c>
      <c r="O149" t="s">
        <v>666</v>
      </c>
      <c r="P149" t="s">
        <v>508</v>
      </c>
      <c r="Q149">
        <v>0</v>
      </c>
      <c r="R149" t="s">
        <v>480</v>
      </c>
    </row>
    <row r="150" spans="1:18" x14ac:dyDescent="0.3">
      <c r="A150" t="s">
        <v>625</v>
      </c>
      <c r="B150" t="s">
        <v>483</v>
      </c>
      <c r="C150" t="s">
        <v>478</v>
      </c>
      <c r="D150" t="s">
        <v>508</v>
      </c>
      <c r="E150" t="s">
        <v>543</v>
      </c>
      <c r="F150" t="s">
        <v>479</v>
      </c>
      <c r="G150" t="s">
        <v>394</v>
      </c>
      <c r="H150" t="s">
        <v>391</v>
      </c>
      <c r="I150" t="s">
        <v>480</v>
      </c>
      <c r="J150" t="s">
        <v>488</v>
      </c>
      <c r="K150" t="s">
        <v>543</v>
      </c>
      <c r="L150" t="s">
        <v>544</v>
      </c>
      <c r="M150" t="s">
        <v>531</v>
      </c>
      <c r="N150" t="s">
        <v>589</v>
      </c>
      <c r="O150" t="s">
        <v>667</v>
      </c>
      <c r="P150" t="s">
        <v>508</v>
      </c>
      <c r="Q150">
        <v>0</v>
      </c>
      <c r="R150" t="s">
        <v>480</v>
      </c>
    </row>
    <row r="151" spans="1:18" x14ac:dyDescent="0.3">
      <c r="A151" t="s">
        <v>625</v>
      </c>
      <c r="B151" t="s">
        <v>815</v>
      </c>
      <c r="C151" t="s">
        <v>478</v>
      </c>
      <c r="D151" t="s">
        <v>508</v>
      </c>
      <c r="E151" t="s">
        <v>543</v>
      </c>
      <c r="F151" t="s">
        <v>479</v>
      </c>
      <c r="G151" t="s">
        <v>394</v>
      </c>
      <c r="H151" t="s">
        <v>391</v>
      </c>
      <c r="I151" t="s">
        <v>480</v>
      </c>
      <c r="J151" t="s">
        <v>488</v>
      </c>
      <c r="K151" t="s">
        <v>543</v>
      </c>
      <c r="L151" t="s">
        <v>544</v>
      </c>
      <c r="M151" t="s">
        <v>531</v>
      </c>
      <c r="N151" t="s">
        <v>589</v>
      </c>
      <c r="O151" t="s">
        <v>816</v>
      </c>
      <c r="P151" t="s">
        <v>508</v>
      </c>
      <c r="Q151">
        <v>0</v>
      </c>
      <c r="R151" t="s">
        <v>480</v>
      </c>
    </row>
    <row r="152" spans="1:18" x14ac:dyDescent="0.3">
      <c r="A152" t="s">
        <v>625</v>
      </c>
      <c r="B152" t="s">
        <v>483</v>
      </c>
      <c r="C152" t="s">
        <v>478</v>
      </c>
      <c r="D152" t="s">
        <v>508</v>
      </c>
      <c r="E152" t="s">
        <v>543</v>
      </c>
      <c r="F152" t="s">
        <v>479</v>
      </c>
      <c r="G152" t="s">
        <v>394</v>
      </c>
      <c r="H152" t="s">
        <v>391</v>
      </c>
      <c r="I152" t="s">
        <v>480</v>
      </c>
      <c r="J152" t="s">
        <v>488</v>
      </c>
      <c r="K152" t="s">
        <v>543</v>
      </c>
      <c r="L152" t="s">
        <v>544</v>
      </c>
      <c r="M152" t="s">
        <v>532</v>
      </c>
      <c r="N152" t="s">
        <v>589</v>
      </c>
      <c r="O152" t="s">
        <v>785</v>
      </c>
      <c r="P152" t="s">
        <v>508</v>
      </c>
      <c r="Q152">
        <v>0</v>
      </c>
      <c r="R152" t="s">
        <v>480</v>
      </c>
    </row>
    <row r="153" spans="1:18" x14ac:dyDescent="0.3">
      <c r="A153" t="s">
        <v>625</v>
      </c>
      <c r="B153" t="s">
        <v>483</v>
      </c>
      <c r="C153" t="s">
        <v>478</v>
      </c>
      <c r="D153" t="s">
        <v>508</v>
      </c>
      <c r="E153" t="s">
        <v>543</v>
      </c>
      <c r="F153" t="s">
        <v>479</v>
      </c>
      <c r="G153" t="s">
        <v>394</v>
      </c>
      <c r="H153" t="s">
        <v>391</v>
      </c>
      <c r="I153" t="s">
        <v>480</v>
      </c>
      <c r="J153" t="s">
        <v>488</v>
      </c>
      <c r="K153" t="s">
        <v>543</v>
      </c>
      <c r="L153" t="s">
        <v>544</v>
      </c>
      <c r="M153" t="s">
        <v>531</v>
      </c>
      <c r="N153" t="s">
        <v>589</v>
      </c>
      <c r="O153" t="s">
        <v>786</v>
      </c>
      <c r="P153" t="s">
        <v>508</v>
      </c>
      <c r="Q153">
        <v>0</v>
      </c>
      <c r="R153" t="s">
        <v>480</v>
      </c>
    </row>
    <row r="154" spans="1:18" x14ac:dyDescent="0.3">
      <c r="A154" t="s">
        <v>625</v>
      </c>
      <c r="B154" t="s">
        <v>483</v>
      </c>
      <c r="C154" t="s">
        <v>478</v>
      </c>
      <c r="D154" t="s">
        <v>508</v>
      </c>
      <c r="E154" t="s">
        <v>543</v>
      </c>
      <c r="F154" t="s">
        <v>479</v>
      </c>
      <c r="G154" t="s">
        <v>394</v>
      </c>
      <c r="H154" t="s">
        <v>391</v>
      </c>
      <c r="I154" t="s">
        <v>480</v>
      </c>
      <c r="J154" t="s">
        <v>488</v>
      </c>
      <c r="K154" t="s">
        <v>543</v>
      </c>
      <c r="L154" t="s">
        <v>544</v>
      </c>
      <c r="M154" t="s">
        <v>531</v>
      </c>
      <c r="N154" t="s">
        <v>589</v>
      </c>
      <c r="O154" t="s">
        <v>829</v>
      </c>
      <c r="P154" t="s">
        <v>508</v>
      </c>
      <c r="Q154">
        <v>0</v>
      </c>
      <c r="R154" t="s">
        <v>480</v>
      </c>
    </row>
    <row r="155" spans="1:18" x14ac:dyDescent="0.3">
      <c r="A155" t="s">
        <v>562</v>
      </c>
      <c r="B155" t="s">
        <v>668</v>
      </c>
      <c r="C155" t="s">
        <v>396</v>
      </c>
      <c r="D155" t="s">
        <v>508</v>
      </c>
      <c r="E155" t="s">
        <v>397</v>
      </c>
      <c r="F155" t="s">
        <v>479</v>
      </c>
      <c r="G155" t="s">
        <v>390</v>
      </c>
      <c r="H155" t="s">
        <v>391</v>
      </c>
      <c r="I155" t="s">
        <v>535</v>
      </c>
      <c r="J155" t="s">
        <v>398</v>
      </c>
      <c r="K155" t="s">
        <v>397</v>
      </c>
      <c r="L155" t="s">
        <v>536</v>
      </c>
      <c r="M155" t="s">
        <v>529</v>
      </c>
      <c r="N155" t="s">
        <v>528</v>
      </c>
      <c r="O155" t="s">
        <v>669</v>
      </c>
      <c r="P155" t="s">
        <v>508</v>
      </c>
      <c r="Q155">
        <v>1</v>
      </c>
      <c r="R155" t="s">
        <v>480</v>
      </c>
    </row>
    <row r="156" spans="1:18" x14ac:dyDescent="0.3">
      <c r="A156" t="s">
        <v>562</v>
      </c>
      <c r="B156" t="s">
        <v>668</v>
      </c>
      <c r="C156" t="s">
        <v>396</v>
      </c>
      <c r="D156" t="s">
        <v>508</v>
      </c>
      <c r="E156" t="s">
        <v>397</v>
      </c>
      <c r="F156" t="s">
        <v>479</v>
      </c>
      <c r="G156" t="s">
        <v>390</v>
      </c>
      <c r="H156" t="s">
        <v>391</v>
      </c>
      <c r="I156" t="s">
        <v>535</v>
      </c>
      <c r="J156" t="s">
        <v>398</v>
      </c>
      <c r="K156" t="s">
        <v>397</v>
      </c>
      <c r="L156" t="s">
        <v>536</v>
      </c>
      <c r="M156" t="s">
        <v>527</v>
      </c>
      <c r="N156" t="s">
        <v>528</v>
      </c>
      <c r="O156" t="s">
        <v>670</v>
      </c>
      <c r="P156" t="s">
        <v>508</v>
      </c>
      <c r="Q156">
        <v>1</v>
      </c>
      <c r="R156" t="s">
        <v>480</v>
      </c>
    </row>
    <row r="157" spans="1:18" x14ac:dyDescent="0.3">
      <c r="A157" t="s">
        <v>562</v>
      </c>
      <c r="B157" t="s">
        <v>668</v>
      </c>
      <c r="C157" t="s">
        <v>396</v>
      </c>
      <c r="D157" t="s">
        <v>508</v>
      </c>
      <c r="E157" t="s">
        <v>397</v>
      </c>
      <c r="F157" t="s">
        <v>479</v>
      </c>
      <c r="G157" t="s">
        <v>390</v>
      </c>
      <c r="H157" t="s">
        <v>391</v>
      </c>
      <c r="I157" t="s">
        <v>535</v>
      </c>
      <c r="J157" t="s">
        <v>398</v>
      </c>
      <c r="K157" t="s">
        <v>397</v>
      </c>
      <c r="L157" t="s">
        <v>536</v>
      </c>
      <c r="M157" t="s">
        <v>527</v>
      </c>
      <c r="N157" t="s">
        <v>528</v>
      </c>
      <c r="O157" t="s">
        <v>671</v>
      </c>
      <c r="P157" t="s">
        <v>508</v>
      </c>
      <c r="Q157">
        <v>1</v>
      </c>
      <c r="R157" t="s">
        <v>480</v>
      </c>
    </row>
    <row r="158" spans="1:18" x14ac:dyDescent="0.3">
      <c r="A158" t="s">
        <v>562</v>
      </c>
      <c r="B158" t="s">
        <v>668</v>
      </c>
      <c r="C158" t="s">
        <v>396</v>
      </c>
      <c r="D158" t="s">
        <v>508</v>
      </c>
      <c r="E158" t="s">
        <v>397</v>
      </c>
      <c r="F158" t="s">
        <v>479</v>
      </c>
      <c r="G158" t="s">
        <v>390</v>
      </c>
      <c r="H158" t="s">
        <v>391</v>
      </c>
      <c r="I158" t="s">
        <v>535</v>
      </c>
      <c r="J158" t="s">
        <v>398</v>
      </c>
      <c r="K158" t="s">
        <v>397</v>
      </c>
      <c r="L158" t="s">
        <v>536</v>
      </c>
      <c r="M158" t="s">
        <v>672</v>
      </c>
      <c r="N158" t="s">
        <v>528</v>
      </c>
      <c r="O158" t="s">
        <v>673</v>
      </c>
      <c r="P158" t="s">
        <v>508</v>
      </c>
      <c r="Q158">
        <v>1</v>
      </c>
      <c r="R158" t="s">
        <v>480</v>
      </c>
    </row>
    <row r="159" spans="1:18" x14ac:dyDescent="0.3">
      <c r="A159" t="s">
        <v>562</v>
      </c>
      <c r="B159" t="s">
        <v>668</v>
      </c>
      <c r="C159" t="s">
        <v>396</v>
      </c>
      <c r="D159" t="s">
        <v>508</v>
      </c>
      <c r="E159" t="s">
        <v>397</v>
      </c>
      <c r="F159" t="s">
        <v>479</v>
      </c>
      <c r="G159" t="s">
        <v>390</v>
      </c>
      <c r="H159" t="s">
        <v>391</v>
      </c>
      <c r="I159" t="s">
        <v>535</v>
      </c>
      <c r="J159" t="s">
        <v>398</v>
      </c>
      <c r="K159" t="s">
        <v>397</v>
      </c>
      <c r="L159" t="s">
        <v>536</v>
      </c>
      <c r="M159" t="s">
        <v>527</v>
      </c>
      <c r="N159" t="s">
        <v>528</v>
      </c>
      <c r="O159" t="s">
        <v>674</v>
      </c>
      <c r="P159" t="s">
        <v>508</v>
      </c>
      <c r="Q159">
        <v>1</v>
      </c>
      <c r="R159" t="s">
        <v>480</v>
      </c>
    </row>
    <row r="160" spans="1:18" x14ac:dyDescent="0.3">
      <c r="A160" t="s">
        <v>562</v>
      </c>
      <c r="B160" t="s">
        <v>675</v>
      </c>
      <c r="C160" t="s">
        <v>478</v>
      </c>
      <c r="D160" t="s">
        <v>508</v>
      </c>
      <c r="E160" t="s">
        <v>450</v>
      </c>
      <c r="F160" t="s">
        <v>479</v>
      </c>
      <c r="G160" t="s">
        <v>394</v>
      </c>
      <c r="H160" t="s">
        <v>391</v>
      </c>
      <c r="I160" t="s">
        <v>495</v>
      </c>
      <c r="J160" t="s">
        <v>439</v>
      </c>
      <c r="K160" t="s">
        <v>450</v>
      </c>
      <c r="L160" t="s">
        <v>509</v>
      </c>
      <c r="M160" t="s">
        <v>530</v>
      </c>
      <c r="N160" t="s">
        <v>528</v>
      </c>
      <c r="O160" t="s">
        <v>676</v>
      </c>
      <c r="P160" t="s">
        <v>508</v>
      </c>
      <c r="Q160">
        <v>1</v>
      </c>
      <c r="R160" t="s">
        <v>480</v>
      </c>
    </row>
    <row r="161" spans="1:18" x14ac:dyDescent="0.3">
      <c r="A161" t="s">
        <v>562</v>
      </c>
      <c r="B161" t="s">
        <v>675</v>
      </c>
      <c r="C161" t="s">
        <v>478</v>
      </c>
      <c r="D161" t="s">
        <v>508</v>
      </c>
      <c r="E161" t="s">
        <v>450</v>
      </c>
      <c r="F161" t="s">
        <v>479</v>
      </c>
      <c r="G161" t="s">
        <v>394</v>
      </c>
      <c r="H161" t="s">
        <v>391</v>
      </c>
      <c r="I161" t="s">
        <v>495</v>
      </c>
      <c r="J161" t="s">
        <v>439</v>
      </c>
      <c r="K161" t="s">
        <v>450</v>
      </c>
      <c r="L161" t="s">
        <v>509</v>
      </c>
      <c r="M161" t="s">
        <v>530</v>
      </c>
      <c r="N161" t="s">
        <v>528</v>
      </c>
      <c r="O161" t="s">
        <v>677</v>
      </c>
      <c r="P161" t="s">
        <v>508</v>
      </c>
      <c r="Q161">
        <v>1</v>
      </c>
      <c r="R161" t="s">
        <v>480</v>
      </c>
    </row>
    <row r="162" spans="1:18" x14ac:dyDescent="0.3">
      <c r="A162" t="s">
        <v>562</v>
      </c>
      <c r="B162" t="s">
        <v>692</v>
      </c>
      <c r="C162" t="s">
        <v>396</v>
      </c>
      <c r="D162" t="s">
        <v>508</v>
      </c>
      <c r="E162" t="s">
        <v>397</v>
      </c>
      <c r="F162" t="s">
        <v>479</v>
      </c>
      <c r="G162" t="s">
        <v>390</v>
      </c>
      <c r="H162" t="s">
        <v>391</v>
      </c>
      <c r="I162" t="s">
        <v>535</v>
      </c>
      <c r="J162" t="s">
        <v>398</v>
      </c>
      <c r="K162" t="s">
        <v>397</v>
      </c>
      <c r="L162" t="s">
        <v>536</v>
      </c>
      <c r="M162" t="s">
        <v>527</v>
      </c>
      <c r="N162" t="s">
        <v>528</v>
      </c>
      <c r="O162" t="s">
        <v>693</v>
      </c>
      <c r="P162" t="s">
        <v>508</v>
      </c>
      <c r="Q162">
        <v>1</v>
      </c>
      <c r="R162" t="s">
        <v>480</v>
      </c>
    </row>
    <row r="163" spans="1:18" x14ac:dyDescent="0.3">
      <c r="A163" t="s">
        <v>562</v>
      </c>
      <c r="B163" t="s">
        <v>692</v>
      </c>
      <c r="C163" t="s">
        <v>396</v>
      </c>
      <c r="D163" t="s">
        <v>508</v>
      </c>
      <c r="E163" t="s">
        <v>397</v>
      </c>
      <c r="F163" t="s">
        <v>479</v>
      </c>
      <c r="G163" t="s">
        <v>390</v>
      </c>
      <c r="H163" t="s">
        <v>391</v>
      </c>
      <c r="I163" t="s">
        <v>535</v>
      </c>
      <c r="J163" t="s">
        <v>398</v>
      </c>
      <c r="K163" t="s">
        <v>397</v>
      </c>
      <c r="L163" t="s">
        <v>536</v>
      </c>
      <c r="M163" t="s">
        <v>527</v>
      </c>
      <c r="N163" t="s">
        <v>528</v>
      </c>
      <c r="O163" t="s">
        <v>696</v>
      </c>
      <c r="P163" t="s">
        <v>508</v>
      </c>
      <c r="Q163">
        <v>1</v>
      </c>
      <c r="R163" t="s">
        <v>480</v>
      </c>
    </row>
    <row r="164" spans="1:18" x14ac:dyDescent="0.3">
      <c r="A164" t="s">
        <v>562</v>
      </c>
      <c r="B164" t="s">
        <v>692</v>
      </c>
      <c r="C164" t="s">
        <v>396</v>
      </c>
      <c r="D164" t="s">
        <v>508</v>
      </c>
      <c r="E164" t="s">
        <v>397</v>
      </c>
      <c r="F164" t="s">
        <v>479</v>
      </c>
      <c r="G164" t="s">
        <v>390</v>
      </c>
      <c r="H164" t="s">
        <v>391</v>
      </c>
      <c r="I164" t="s">
        <v>535</v>
      </c>
      <c r="J164" t="s">
        <v>398</v>
      </c>
      <c r="K164" t="s">
        <v>397</v>
      </c>
      <c r="L164" t="s">
        <v>536</v>
      </c>
      <c r="M164" t="s">
        <v>527</v>
      </c>
      <c r="N164" t="s">
        <v>589</v>
      </c>
      <c r="O164" t="s">
        <v>698</v>
      </c>
      <c r="P164" t="s">
        <v>508</v>
      </c>
      <c r="Q164">
        <v>1</v>
      </c>
      <c r="R164" t="s">
        <v>480</v>
      </c>
    </row>
    <row r="165" spans="1:18" x14ac:dyDescent="0.3">
      <c r="A165" t="s">
        <v>562</v>
      </c>
      <c r="B165" t="s">
        <v>692</v>
      </c>
      <c r="C165" t="s">
        <v>396</v>
      </c>
      <c r="D165" t="s">
        <v>508</v>
      </c>
      <c r="E165" t="s">
        <v>397</v>
      </c>
      <c r="F165" t="s">
        <v>479</v>
      </c>
      <c r="G165" t="s">
        <v>390</v>
      </c>
      <c r="H165" t="s">
        <v>391</v>
      </c>
      <c r="I165" t="s">
        <v>535</v>
      </c>
      <c r="J165" t="s">
        <v>398</v>
      </c>
      <c r="K165" t="s">
        <v>397</v>
      </c>
      <c r="L165" t="s">
        <v>536</v>
      </c>
      <c r="M165" t="s">
        <v>527</v>
      </c>
      <c r="N165" t="s">
        <v>528</v>
      </c>
      <c r="O165" t="s">
        <v>701</v>
      </c>
      <c r="P165" t="s">
        <v>508</v>
      </c>
      <c r="Q165">
        <v>1</v>
      </c>
      <c r="R165" t="s">
        <v>480</v>
      </c>
    </row>
    <row r="166" spans="1:18" x14ac:dyDescent="0.3">
      <c r="A166" t="s">
        <v>562</v>
      </c>
      <c r="B166" t="s">
        <v>692</v>
      </c>
      <c r="C166" t="s">
        <v>396</v>
      </c>
      <c r="D166" t="s">
        <v>508</v>
      </c>
      <c r="E166" t="s">
        <v>397</v>
      </c>
      <c r="F166" t="s">
        <v>479</v>
      </c>
      <c r="G166" t="s">
        <v>390</v>
      </c>
      <c r="H166" t="s">
        <v>391</v>
      </c>
      <c r="I166" t="s">
        <v>535</v>
      </c>
      <c r="J166" t="s">
        <v>398</v>
      </c>
      <c r="K166" t="s">
        <v>397</v>
      </c>
      <c r="L166" t="s">
        <v>536</v>
      </c>
      <c r="M166" t="s">
        <v>527</v>
      </c>
      <c r="N166" t="s">
        <v>528</v>
      </c>
      <c r="O166" t="s">
        <v>702</v>
      </c>
      <c r="P166" t="s">
        <v>508</v>
      </c>
      <c r="Q166">
        <v>1</v>
      </c>
      <c r="R166" t="s">
        <v>480</v>
      </c>
    </row>
    <row r="167" spans="1:18" x14ac:dyDescent="0.3">
      <c r="A167" t="s">
        <v>562</v>
      </c>
      <c r="B167" t="s">
        <v>692</v>
      </c>
      <c r="C167" t="s">
        <v>396</v>
      </c>
      <c r="D167" t="s">
        <v>508</v>
      </c>
      <c r="E167" t="s">
        <v>397</v>
      </c>
      <c r="F167" t="s">
        <v>479</v>
      </c>
      <c r="G167" t="s">
        <v>390</v>
      </c>
      <c r="H167" t="s">
        <v>391</v>
      </c>
      <c r="I167" t="s">
        <v>535</v>
      </c>
      <c r="J167" t="s">
        <v>398</v>
      </c>
      <c r="K167" t="s">
        <v>397</v>
      </c>
      <c r="L167" t="s">
        <v>536</v>
      </c>
      <c r="M167" t="s">
        <v>527</v>
      </c>
      <c r="N167" t="s">
        <v>528</v>
      </c>
      <c r="O167" t="s">
        <v>703</v>
      </c>
      <c r="P167" t="s">
        <v>508</v>
      </c>
      <c r="Q167">
        <v>1</v>
      </c>
      <c r="R167" t="s">
        <v>480</v>
      </c>
    </row>
    <row r="168" spans="1:18" x14ac:dyDescent="0.3">
      <c r="A168" t="s">
        <v>562</v>
      </c>
      <c r="B168" t="s">
        <v>692</v>
      </c>
      <c r="C168" t="s">
        <v>396</v>
      </c>
      <c r="D168" t="s">
        <v>508</v>
      </c>
      <c r="E168" t="s">
        <v>397</v>
      </c>
      <c r="F168" t="s">
        <v>479</v>
      </c>
      <c r="G168" t="s">
        <v>390</v>
      </c>
      <c r="H168" t="s">
        <v>391</v>
      </c>
      <c r="I168" t="s">
        <v>535</v>
      </c>
      <c r="J168" t="s">
        <v>398</v>
      </c>
      <c r="K168" t="s">
        <v>397</v>
      </c>
      <c r="L168" t="s">
        <v>536</v>
      </c>
      <c r="M168" t="s">
        <v>527</v>
      </c>
      <c r="N168" t="s">
        <v>528</v>
      </c>
      <c r="O168" t="s">
        <v>704</v>
      </c>
      <c r="P168" t="s">
        <v>508</v>
      </c>
      <c r="Q168">
        <v>1</v>
      </c>
      <c r="R168" t="s">
        <v>480</v>
      </c>
    </row>
    <row r="169" spans="1:18" x14ac:dyDescent="0.3">
      <c r="A169" t="s">
        <v>562</v>
      </c>
      <c r="B169" t="s">
        <v>692</v>
      </c>
      <c r="C169" t="s">
        <v>396</v>
      </c>
      <c r="D169" t="s">
        <v>508</v>
      </c>
      <c r="E169" t="s">
        <v>397</v>
      </c>
      <c r="F169" t="s">
        <v>479</v>
      </c>
      <c r="G169" t="s">
        <v>390</v>
      </c>
      <c r="H169" t="s">
        <v>391</v>
      </c>
      <c r="I169" t="s">
        <v>535</v>
      </c>
      <c r="J169" t="s">
        <v>398</v>
      </c>
      <c r="K169" t="s">
        <v>397</v>
      </c>
      <c r="L169" t="s">
        <v>536</v>
      </c>
      <c r="M169" t="s">
        <v>527</v>
      </c>
      <c r="N169" t="s">
        <v>528</v>
      </c>
      <c r="O169" t="s">
        <v>706</v>
      </c>
      <c r="P169" t="s">
        <v>508</v>
      </c>
      <c r="Q169">
        <v>1</v>
      </c>
      <c r="R169" t="s">
        <v>480</v>
      </c>
    </row>
    <row r="170" spans="1:18" x14ac:dyDescent="0.3">
      <c r="A170" t="s">
        <v>562</v>
      </c>
      <c r="B170" t="s">
        <v>692</v>
      </c>
      <c r="C170" t="s">
        <v>396</v>
      </c>
      <c r="D170" t="s">
        <v>508</v>
      </c>
      <c r="E170" t="s">
        <v>397</v>
      </c>
      <c r="F170" t="s">
        <v>479</v>
      </c>
      <c r="G170" t="s">
        <v>390</v>
      </c>
      <c r="H170" t="s">
        <v>391</v>
      </c>
      <c r="I170" t="s">
        <v>535</v>
      </c>
      <c r="J170" t="s">
        <v>398</v>
      </c>
      <c r="K170" t="s">
        <v>397</v>
      </c>
      <c r="L170" t="s">
        <v>536</v>
      </c>
      <c r="M170" t="s">
        <v>527</v>
      </c>
      <c r="N170" t="s">
        <v>589</v>
      </c>
      <c r="O170" t="s">
        <v>709</v>
      </c>
      <c r="P170" t="s">
        <v>508</v>
      </c>
      <c r="Q170">
        <v>1</v>
      </c>
      <c r="R170" t="s">
        <v>480</v>
      </c>
    </row>
    <row r="171" spans="1:18" x14ac:dyDescent="0.3">
      <c r="A171" t="s">
        <v>562</v>
      </c>
      <c r="B171" t="s">
        <v>692</v>
      </c>
      <c r="C171" t="s">
        <v>396</v>
      </c>
      <c r="D171" t="s">
        <v>508</v>
      </c>
      <c r="E171" t="s">
        <v>397</v>
      </c>
      <c r="F171" t="s">
        <v>479</v>
      </c>
      <c r="G171" t="s">
        <v>390</v>
      </c>
      <c r="H171" t="s">
        <v>391</v>
      </c>
      <c r="I171" t="s">
        <v>535</v>
      </c>
      <c r="J171" t="s">
        <v>398</v>
      </c>
      <c r="K171" t="s">
        <v>397</v>
      </c>
      <c r="L171" t="s">
        <v>536</v>
      </c>
      <c r="M171" t="s">
        <v>672</v>
      </c>
      <c r="N171" t="s">
        <v>589</v>
      </c>
      <c r="O171" t="s">
        <v>712</v>
      </c>
      <c r="P171" t="s">
        <v>508</v>
      </c>
      <c r="Q171">
        <v>1</v>
      </c>
      <c r="R171" t="s">
        <v>480</v>
      </c>
    </row>
    <row r="172" spans="1:18" x14ac:dyDescent="0.3">
      <c r="A172" t="s">
        <v>562</v>
      </c>
      <c r="B172" t="s">
        <v>692</v>
      </c>
      <c r="C172" t="s">
        <v>396</v>
      </c>
      <c r="D172" t="s">
        <v>508</v>
      </c>
      <c r="E172" t="s">
        <v>397</v>
      </c>
      <c r="F172" t="s">
        <v>479</v>
      </c>
      <c r="G172" t="s">
        <v>390</v>
      </c>
      <c r="H172" t="s">
        <v>391</v>
      </c>
      <c r="I172" t="s">
        <v>535</v>
      </c>
      <c r="J172" t="s">
        <v>398</v>
      </c>
      <c r="K172" t="s">
        <v>397</v>
      </c>
      <c r="L172" t="s">
        <v>536</v>
      </c>
      <c r="M172" t="s">
        <v>527</v>
      </c>
      <c r="N172" t="s">
        <v>589</v>
      </c>
      <c r="O172" t="s">
        <v>713</v>
      </c>
      <c r="P172" t="s">
        <v>508</v>
      </c>
      <c r="Q172">
        <v>1</v>
      </c>
      <c r="R172" t="s">
        <v>480</v>
      </c>
    </row>
    <row r="173" spans="1:18" x14ac:dyDescent="0.3">
      <c r="A173" t="s">
        <v>562</v>
      </c>
      <c r="B173" t="s">
        <v>690</v>
      </c>
      <c r="C173" t="s">
        <v>478</v>
      </c>
      <c r="D173" t="s">
        <v>508</v>
      </c>
      <c r="E173" t="s">
        <v>493</v>
      </c>
      <c r="F173" t="s">
        <v>479</v>
      </c>
      <c r="G173" t="s">
        <v>394</v>
      </c>
      <c r="H173" t="s">
        <v>391</v>
      </c>
      <c r="I173" t="s">
        <v>512</v>
      </c>
      <c r="J173" t="s">
        <v>488</v>
      </c>
      <c r="K173" t="s">
        <v>493</v>
      </c>
      <c r="L173" t="s">
        <v>509</v>
      </c>
      <c r="M173" t="s">
        <v>530</v>
      </c>
      <c r="N173" t="s">
        <v>528</v>
      </c>
      <c r="O173" t="s">
        <v>691</v>
      </c>
      <c r="P173" t="s">
        <v>508</v>
      </c>
      <c r="Q173">
        <v>0</v>
      </c>
      <c r="R173" t="s">
        <v>480</v>
      </c>
    </row>
    <row r="174" spans="1:18" x14ac:dyDescent="0.3">
      <c r="A174" t="s">
        <v>562</v>
      </c>
      <c r="B174" t="s">
        <v>694</v>
      </c>
      <c r="C174" t="s">
        <v>478</v>
      </c>
      <c r="D174" t="s">
        <v>508</v>
      </c>
      <c r="E174" t="s">
        <v>493</v>
      </c>
      <c r="F174" t="s">
        <v>479</v>
      </c>
      <c r="G174" t="s">
        <v>394</v>
      </c>
      <c r="H174" t="s">
        <v>391</v>
      </c>
      <c r="I174" t="s">
        <v>514</v>
      </c>
      <c r="J174" t="s">
        <v>488</v>
      </c>
      <c r="K174" t="s">
        <v>493</v>
      </c>
      <c r="L174" t="s">
        <v>509</v>
      </c>
      <c r="M174" t="s">
        <v>530</v>
      </c>
      <c r="N174" t="s">
        <v>589</v>
      </c>
      <c r="O174" t="s">
        <v>695</v>
      </c>
      <c r="P174" t="s">
        <v>508</v>
      </c>
      <c r="Q174">
        <v>0</v>
      </c>
      <c r="R174" t="s">
        <v>480</v>
      </c>
    </row>
    <row r="175" spans="1:18" x14ac:dyDescent="0.3">
      <c r="A175" t="s">
        <v>562</v>
      </c>
      <c r="B175" t="s">
        <v>690</v>
      </c>
      <c r="C175" t="s">
        <v>478</v>
      </c>
      <c r="D175" t="s">
        <v>508</v>
      </c>
      <c r="E175" t="s">
        <v>493</v>
      </c>
      <c r="F175" t="s">
        <v>479</v>
      </c>
      <c r="G175" t="s">
        <v>394</v>
      </c>
      <c r="H175" t="s">
        <v>391</v>
      </c>
      <c r="I175" t="s">
        <v>512</v>
      </c>
      <c r="J175" t="s">
        <v>488</v>
      </c>
      <c r="K175" t="s">
        <v>493</v>
      </c>
      <c r="L175" t="s">
        <v>509</v>
      </c>
      <c r="M175" t="s">
        <v>531</v>
      </c>
      <c r="N175" t="s">
        <v>528</v>
      </c>
      <c r="O175" t="s">
        <v>697</v>
      </c>
      <c r="P175" t="s">
        <v>508</v>
      </c>
      <c r="Q175">
        <v>0</v>
      </c>
      <c r="R175" t="s">
        <v>480</v>
      </c>
    </row>
    <row r="176" spans="1:18" x14ac:dyDescent="0.3">
      <c r="A176" t="s">
        <v>562</v>
      </c>
      <c r="B176" t="s">
        <v>694</v>
      </c>
      <c r="C176" t="s">
        <v>478</v>
      </c>
      <c r="D176" t="s">
        <v>508</v>
      </c>
      <c r="E176" t="s">
        <v>493</v>
      </c>
      <c r="F176" t="s">
        <v>479</v>
      </c>
      <c r="G176" t="s">
        <v>394</v>
      </c>
      <c r="H176" t="s">
        <v>391</v>
      </c>
      <c r="I176" t="s">
        <v>514</v>
      </c>
      <c r="J176" t="s">
        <v>488</v>
      </c>
      <c r="K176" t="s">
        <v>493</v>
      </c>
      <c r="L176" t="s">
        <v>509</v>
      </c>
      <c r="M176" t="s">
        <v>530</v>
      </c>
      <c r="N176" t="s">
        <v>589</v>
      </c>
      <c r="O176" t="s">
        <v>699</v>
      </c>
      <c r="P176" t="s">
        <v>508</v>
      </c>
      <c r="Q176">
        <v>0</v>
      </c>
      <c r="R176" t="s">
        <v>480</v>
      </c>
    </row>
    <row r="177" spans="1:18" x14ac:dyDescent="0.3">
      <c r="A177" t="s">
        <v>562</v>
      </c>
      <c r="B177" t="s">
        <v>483</v>
      </c>
      <c r="C177" t="s">
        <v>396</v>
      </c>
      <c r="D177" t="s">
        <v>508</v>
      </c>
      <c r="E177" t="s">
        <v>397</v>
      </c>
      <c r="F177" t="s">
        <v>479</v>
      </c>
      <c r="G177" t="s">
        <v>390</v>
      </c>
      <c r="H177" t="s">
        <v>391</v>
      </c>
      <c r="I177" t="s">
        <v>535</v>
      </c>
      <c r="J177" t="s">
        <v>398</v>
      </c>
      <c r="K177" t="s">
        <v>397</v>
      </c>
      <c r="L177" t="s">
        <v>536</v>
      </c>
      <c r="M177" t="s">
        <v>672</v>
      </c>
      <c r="N177" t="s">
        <v>528</v>
      </c>
      <c r="O177" t="s">
        <v>700</v>
      </c>
      <c r="P177" t="s">
        <v>508</v>
      </c>
      <c r="Q177">
        <v>0</v>
      </c>
      <c r="R177" t="s">
        <v>480</v>
      </c>
    </row>
    <row r="178" spans="1:18" x14ac:dyDescent="0.3">
      <c r="A178" t="s">
        <v>562</v>
      </c>
      <c r="B178" t="s">
        <v>483</v>
      </c>
      <c r="C178" t="s">
        <v>396</v>
      </c>
      <c r="D178" t="s">
        <v>508</v>
      </c>
      <c r="E178" t="s">
        <v>397</v>
      </c>
      <c r="F178" t="s">
        <v>479</v>
      </c>
      <c r="G178" t="s">
        <v>390</v>
      </c>
      <c r="H178" t="s">
        <v>391</v>
      </c>
      <c r="I178" t="s">
        <v>535</v>
      </c>
      <c r="J178" t="s">
        <v>398</v>
      </c>
      <c r="K178" t="s">
        <v>397</v>
      </c>
      <c r="L178" t="s">
        <v>536</v>
      </c>
      <c r="M178" t="s">
        <v>672</v>
      </c>
      <c r="N178" t="s">
        <v>528</v>
      </c>
      <c r="O178" t="s">
        <v>705</v>
      </c>
      <c r="P178" t="s">
        <v>508</v>
      </c>
      <c r="Q178">
        <v>0</v>
      </c>
      <c r="R178" t="s">
        <v>480</v>
      </c>
    </row>
    <row r="179" spans="1:18" x14ac:dyDescent="0.3">
      <c r="A179" t="s">
        <v>562</v>
      </c>
      <c r="B179" t="s">
        <v>830</v>
      </c>
      <c r="C179" t="s">
        <v>396</v>
      </c>
      <c r="D179" t="s">
        <v>508</v>
      </c>
      <c r="E179" t="s">
        <v>397</v>
      </c>
      <c r="F179" t="s">
        <v>479</v>
      </c>
      <c r="G179" t="s">
        <v>390</v>
      </c>
      <c r="H179" t="s">
        <v>391</v>
      </c>
      <c r="I179" t="s">
        <v>535</v>
      </c>
      <c r="J179" t="s">
        <v>398</v>
      </c>
      <c r="K179" t="s">
        <v>397</v>
      </c>
      <c r="L179" t="s">
        <v>536</v>
      </c>
      <c r="M179" t="s">
        <v>527</v>
      </c>
      <c r="N179" t="s">
        <v>589</v>
      </c>
      <c r="O179" t="s">
        <v>707</v>
      </c>
      <c r="P179" t="s">
        <v>508</v>
      </c>
      <c r="Q179">
        <v>0</v>
      </c>
      <c r="R179" t="s">
        <v>480</v>
      </c>
    </row>
    <row r="180" spans="1:18" x14ac:dyDescent="0.3">
      <c r="A180" t="s">
        <v>562</v>
      </c>
      <c r="B180" t="s">
        <v>694</v>
      </c>
      <c r="C180" t="s">
        <v>478</v>
      </c>
      <c r="D180" t="s">
        <v>508</v>
      </c>
      <c r="E180" t="s">
        <v>493</v>
      </c>
      <c r="F180" t="s">
        <v>479</v>
      </c>
      <c r="G180" t="s">
        <v>394</v>
      </c>
      <c r="H180" t="s">
        <v>391</v>
      </c>
      <c r="I180" t="s">
        <v>514</v>
      </c>
      <c r="J180" t="s">
        <v>488</v>
      </c>
      <c r="K180" t="s">
        <v>493</v>
      </c>
      <c r="L180" t="s">
        <v>509</v>
      </c>
      <c r="M180" t="s">
        <v>530</v>
      </c>
      <c r="N180" t="s">
        <v>589</v>
      </c>
      <c r="O180" t="s">
        <v>708</v>
      </c>
      <c r="P180" t="s">
        <v>508</v>
      </c>
      <c r="Q180">
        <v>0</v>
      </c>
      <c r="R180" t="s">
        <v>480</v>
      </c>
    </row>
    <row r="181" spans="1:18" x14ac:dyDescent="0.3">
      <c r="A181" t="s">
        <v>562</v>
      </c>
      <c r="B181" t="s">
        <v>830</v>
      </c>
      <c r="C181" t="s">
        <v>396</v>
      </c>
      <c r="D181" t="s">
        <v>508</v>
      </c>
      <c r="E181" t="s">
        <v>397</v>
      </c>
      <c r="F181" t="s">
        <v>479</v>
      </c>
      <c r="G181" t="s">
        <v>390</v>
      </c>
      <c r="H181" t="s">
        <v>391</v>
      </c>
      <c r="I181" t="s">
        <v>535</v>
      </c>
      <c r="J181" t="s">
        <v>398</v>
      </c>
      <c r="K181" t="s">
        <v>397</v>
      </c>
      <c r="L181" t="s">
        <v>536</v>
      </c>
      <c r="M181" t="s">
        <v>527</v>
      </c>
      <c r="N181" t="s">
        <v>589</v>
      </c>
      <c r="O181" t="s">
        <v>710</v>
      </c>
      <c r="P181" t="s">
        <v>508</v>
      </c>
      <c r="Q181">
        <v>0</v>
      </c>
      <c r="R181" t="s">
        <v>480</v>
      </c>
    </row>
    <row r="182" spans="1:18" x14ac:dyDescent="0.3">
      <c r="A182" t="s">
        <v>562</v>
      </c>
      <c r="B182" t="s">
        <v>694</v>
      </c>
      <c r="C182" t="s">
        <v>478</v>
      </c>
      <c r="D182" t="s">
        <v>508</v>
      </c>
      <c r="E182" t="s">
        <v>493</v>
      </c>
      <c r="F182" t="s">
        <v>479</v>
      </c>
      <c r="G182" t="s">
        <v>394</v>
      </c>
      <c r="H182" t="s">
        <v>391</v>
      </c>
      <c r="I182" t="s">
        <v>514</v>
      </c>
      <c r="J182" t="s">
        <v>488</v>
      </c>
      <c r="K182" t="s">
        <v>493</v>
      </c>
      <c r="L182" t="s">
        <v>509</v>
      </c>
      <c r="M182" t="s">
        <v>530</v>
      </c>
      <c r="N182" t="s">
        <v>589</v>
      </c>
      <c r="O182" t="s">
        <v>711</v>
      </c>
      <c r="P182" t="s">
        <v>508</v>
      </c>
      <c r="Q182">
        <v>0</v>
      </c>
      <c r="R182" t="s">
        <v>480</v>
      </c>
    </row>
    <row r="183" spans="1:18" x14ac:dyDescent="0.3">
      <c r="A183" t="s">
        <v>562</v>
      </c>
      <c r="B183" t="s">
        <v>714</v>
      </c>
      <c r="C183" t="s">
        <v>478</v>
      </c>
      <c r="D183" t="s">
        <v>508</v>
      </c>
      <c r="E183" t="s">
        <v>547</v>
      </c>
      <c r="F183" t="s">
        <v>479</v>
      </c>
      <c r="G183" t="s">
        <v>394</v>
      </c>
      <c r="H183" t="s">
        <v>391</v>
      </c>
      <c r="I183" t="s">
        <v>548</v>
      </c>
      <c r="J183" t="s">
        <v>488</v>
      </c>
      <c r="K183" t="s">
        <v>547</v>
      </c>
      <c r="L183" t="s">
        <v>544</v>
      </c>
      <c r="M183" t="s">
        <v>529</v>
      </c>
      <c r="N183" t="s">
        <v>589</v>
      </c>
      <c r="O183" t="s">
        <v>715</v>
      </c>
      <c r="P183" t="s">
        <v>508</v>
      </c>
      <c r="Q183">
        <v>0</v>
      </c>
      <c r="R183" t="s">
        <v>480</v>
      </c>
    </row>
    <row r="184" spans="1:18" x14ac:dyDescent="0.3">
      <c r="A184" t="s">
        <v>562</v>
      </c>
      <c r="B184" t="s">
        <v>694</v>
      </c>
      <c r="C184" t="s">
        <v>478</v>
      </c>
      <c r="D184" t="s">
        <v>508</v>
      </c>
      <c r="E184" t="s">
        <v>493</v>
      </c>
      <c r="F184" t="s">
        <v>479</v>
      </c>
      <c r="G184" t="s">
        <v>394</v>
      </c>
      <c r="H184" t="s">
        <v>391</v>
      </c>
      <c r="I184" t="s">
        <v>514</v>
      </c>
      <c r="J184" t="s">
        <v>488</v>
      </c>
      <c r="K184" t="s">
        <v>493</v>
      </c>
      <c r="L184" t="s">
        <v>509</v>
      </c>
      <c r="M184" t="s">
        <v>531</v>
      </c>
      <c r="N184" t="s">
        <v>589</v>
      </c>
      <c r="O184" t="s">
        <v>716</v>
      </c>
      <c r="P184" t="s">
        <v>508</v>
      </c>
      <c r="Q184">
        <v>0</v>
      </c>
      <c r="R184" t="s">
        <v>480</v>
      </c>
    </row>
    <row r="185" spans="1:18" x14ac:dyDescent="0.3">
      <c r="A185" t="s">
        <v>562</v>
      </c>
      <c r="B185" t="s">
        <v>690</v>
      </c>
      <c r="C185" t="s">
        <v>478</v>
      </c>
      <c r="D185" t="s">
        <v>508</v>
      </c>
      <c r="E185" t="s">
        <v>493</v>
      </c>
      <c r="F185" t="s">
        <v>479</v>
      </c>
      <c r="G185" t="s">
        <v>394</v>
      </c>
      <c r="H185" t="s">
        <v>391</v>
      </c>
      <c r="I185" t="s">
        <v>514</v>
      </c>
      <c r="J185" t="s">
        <v>488</v>
      </c>
      <c r="K185" t="s">
        <v>493</v>
      </c>
      <c r="L185" t="s">
        <v>509</v>
      </c>
      <c r="M185" t="s">
        <v>530</v>
      </c>
      <c r="N185" t="s">
        <v>589</v>
      </c>
      <c r="O185" t="s">
        <v>717</v>
      </c>
      <c r="P185" t="s">
        <v>508</v>
      </c>
      <c r="Q185">
        <v>0</v>
      </c>
      <c r="R185" t="s">
        <v>480</v>
      </c>
    </row>
    <row r="186" spans="1:18" x14ac:dyDescent="0.3">
      <c r="A186" t="s">
        <v>562</v>
      </c>
      <c r="B186" t="s">
        <v>830</v>
      </c>
      <c r="C186" t="s">
        <v>396</v>
      </c>
      <c r="D186" t="s">
        <v>508</v>
      </c>
      <c r="E186" t="s">
        <v>397</v>
      </c>
      <c r="F186" t="s">
        <v>479</v>
      </c>
      <c r="G186" t="s">
        <v>390</v>
      </c>
      <c r="H186" t="s">
        <v>391</v>
      </c>
      <c r="I186" t="s">
        <v>535</v>
      </c>
      <c r="J186" t="s">
        <v>398</v>
      </c>
      <c r="K186" t="s">
        <v>397</v>
      </c>
      <c r="L186" t="s">
        <v>536</v>
      </c>
      <c r="M186" t="s">
        <v>672</v>
      </c>
      <c r="N186" t="s">
        <v>589</v>
      </c>
      <c r="O186" t="s">
        <v>718</v>
      </c>
      <c r="P186" t="s">
        <v>508</v>
      </c>
      <c r="Q186">
        <v>0</v>
      </c>
      <c r="R186" t="s">
        <v>480</v>
      </c>
    </row>
    <row r="187" spans="1:18" x14ac:dyDescent="0.3">
      <c r="A187" t="s">
        <v>562</v>
      </c>
      <c r="B187" t="s">
        <v>830</v>
      </c>
      <c r="C187" t="s">
        <v>396</v>
      </c>
      <c r="D187" t="s">
        <v>508</v>
      </c>
      <c r="E187" t="s">
        <v>397</v>
      </c>
      <c r="F187" t="s">
        <v>479</v>
      </c>
      <c r="G187" t="s">
        <v>390</v>
      </c>
      <c r="H187" t="s">
        <v>391</v>
      </c>
      <c r="I187" t="s">
        <v>535</v>
      </c>
      <c r="J187" t="s">
        <v>398</v>
      </c>
      <c r="K187" t="s">
        <v>397</v>
      </c>
      <c r="L187" t="s">
        <v>536</v>
      </c>
      <c r="M187" t="s">
        <v>527</v>
      </c>
      <c r="N187" t="s">
        <v>589</v>
      </c>
      <c r="O187" t="s">
        <v>719</v>
      </c>
      <c r="P187" t="s">
        <v>508</v>
      </c>
      <c r="Q187">
        <v>0</v>
      </c>
      <c r="R187" t="s">
        <v>480</v>
      </c>
    </row>
    <row r="188" spans="1:18" x14ac:dyDescent="0.3">
      <c r="A188" t="s">
        <v>562</v>
      </c>
      <c r="B188" t="s">
        <v>830</v>
      </c>
      <c r="C188" t="s">
        <v>396</v>
      </c>
      <c r="D188" t="s">
        <v>508</v>
      </c>
      <c r="E188" t="s">
        <v>397</v>
      </c>
      <c r="F188" t="s">
        <v>479</v>
      </c>
      <c r="G188" t="s">
        <v>390</v>
      </c>
      <c r="H188" t="s">
        <v>391</v>
      </c>
      <c r="I188" t="s">
        <v>535</v>
      </c>
      <c r="J188" t="s">
        <v>398</v>
      </c>
      <c r="K188" t="s">
        <v>397</v>
      </c>
      <c r="L188" t="s">
        <v>536</v>
      </c>
      <c r="M188" t="s">
        <v>527</v>
      </c>
      <c r="N188" t="s">
        <v>589</v>
      </c>
      <c r="O188" t="s">
        <v>720</v>
      </c>
      <c r="P188" t="s">
        <v>508</v>
      </c>
      <c r="Q188">
        <v>0</v>
      </c>
      <c r="R188" t="s">
        <v>480</v>
      </c>
    </row>
    <row r="189" spans="1:18" x14ac:dyDescent="0.3">
      <c r="A189" t="s">
        <v>562</v>
      </c>
      <c r="B189" t="s">
        <v>830</v>
      </c>
      <c r="C189" t="s">
        <v>396</v>
      </c>
      <c r="D189" t="s">
        <v>508</v>
      </c>
      <c r="E189" t="s">
        <v>397</v>
      </c>
      <c r="F189" t="s">
        <v>479</v>
      </c>
      <c r="G189" t="s">
        <v>390</v>
      </c>
      <c r="H189" t="s">
        <v>391</v>
      </c>
      <c r="I189" t="s">
        <v>535</v>
      </c>
      <c r="J189" t="s">
        <v>398</v>
      </c>
      <c r="K189" t="s">
        <v>397</v>
      </c>
      <c r="L189" t="s">
        <v>536</v>
      </c>
      <c r="M189" t="s">
        <v>672</v>
      </c>
      <c r="N189" t="s">
        <v>589</v>
      </c>
      <c r="O189" t="s">
        <v>721</v>
      </c>
      <c r="P189" t="s">
        <v>508</v>
      </c>
      <c r="Q189">
        <v>0</v>
      </c>
      <c r="R189" t="s">
        <v>480</v>
      </c>
    </row>
    <row r="190" spans="1:18" x14ac:dyDescent="0.3">
      <c r="A190" t="s">
        <v>562</v>
      </c>
      <c r="B190" t="s">
        <v>830</v>
      </c>
      <c r="C190" t="s">
        <v>396</v>
      </c>
      <c r="D190" t="s">
        <v>508</v>
      </c>
      <c r="E190" t="s">
        <v>397</v>
      </c>
      <c r="F190" t="s">
        <v>479</v>
      </c>
      <c r="G190" t="s">
        <v>494</v>
      </c>
      <c r="H190" t="s">
        <v>419</v>
      </c>
      <c r="I190" t="s">
        <v>430</v>
      </c>
      <c r="J190" t="s">
        <v>398</v>
      </c>
      <c r="K190" t="s">
        <v>397</v>
      </c>
      <c r="L190" t="s">
        <v>536</v>
      </c>
      <c r="M190" t="s">
        <v>533</v>
      </c>
      <c r="N190" t="s">
        <v>589</v>
      </c>
      <c r="O190" t="s">
        <v>722</v>
      </c>
      <c r="P190" t="s">
        <v>508</v>
      </c>
      <c r="Q190">
        <v>0</v>
      </c>
      <c r="R190" t="s">
        <v>480</v>
      </c>
    </row>
    <row r="191" spans="1:18" x14ac:dyDescent="0.3">
      <c r="A191" t="s">
        <v>562</v>
      </c>
      <c r="B191" t="s">
        <v>830</v>
      </c>
      <c r="C191" t="s">
        <v>396</v>
      </c>
      <c r="D191" t="s">
        <v>508</v>
      </c>
      <c r="E191" t="s">
        <v>397</v>
      </c>
      <c r="F191" t="s">
        <v>479</v>
      </c>
      <c r="G191" t="s">
        <v>390</v>
      </c>
      <c r="H191" t="s">
        <v>391</v>
      </c>
      <c r="I191" t="s">
        <v>535</v>
      </c>
      <c r="J191" t="s">
        <v>398</v>
      </c>
      <c r="K191" t="s">
        <v>397</v>
      </c>
      <c r="L191" t="s">
        <v>536</v>
      </c>
      <c r="M191" t="s">
        <v>527</v>
      </c>
      <c r="N191" t="s">
        <v>589</v>
      </c>
      <c r="O191" t="s">
        <v>723</v>
      </c>
      <c r="P191" t="s">
        <v>508</v>
      </c>
      <c r="Q191">
        <v>0</v>
      </c>
      <c r="R191" t="s">
        <v>480</v>
      </c>
    </row>
    <row r="192" spans="1:18" x14ac:dyDescent="0.3">
      <c r="A192" t="s">
        <v>562</v>
      </c>
      <c r="B192" t="s">
        <v>830</v>
      </c>
      <c r="C192" t="s">
        <v>396</v>
      </c>
      <c r="D192" t="s">
        <v>508</v>
      </c>
      <c r="E192" t="s">
        <v>397</v>
      </c>
      <c r="F192" t="s">
        <v>479</v>
      </c>
      <c r="G192" t="s">
        <v>390</v>
      </c>
      <c r="H192" t="s">
        <v>391</v>
      </c>
      <c r="I192" t="s">
        <v>535</v>
      </c>
      <c r="J192" t="s">
        <v>398</v>
      </c>
      <c r="K192" t="s">
        <v>397</v>
      </c>
      <c r="L192" t="s">
        <v>536</v>
      </c>
      <c r="M192" t="s">
        <v>672</v>
      </c>
      <c r="N192" t="s">
        <v>589</v>
      </c>
      <c r="O192" t="s">
        <v>724</v>
      </c>
      <c r="P192" t="s">
        <v>508</v>
      </c>
      <c r="Q192">
        <v>0</v>
      </c>
      <c r="R192" t="s">
        <v>480</v>
      </c>
    </row>
    <row r="193" spans="1:18" x14ac:dyDescent="0.3">
      <c r="A193" t="s">
        <v>562</v>
      </c>
      <c r="B193" t="s">
        <v>714</v>
      </c>
      <c r="C193" t="s">
        <v>478</v>
      </c>
      <c r="D193" t="s">
        <v>508</v>
      </c>
      <c r="E193" t="s">
        <v>547</v>
      </c>
      <c r="F193" t="s">
        <v>479</v>
      </c>
      <c r="G193" t="s">
        <v>394</v>
      </c>
      <c r="H193" t="s">
        <v>391</v>
      </c>
      <c r="I193" t="s">
        <v>548</v>
      </c>
      <c r="J193" t="s">
        <v>488</v>
      </c>
      <c r="K193" t="s">
        <v>547</v>
      </c>
      <c r="L193" t="s">
        <v>544</v>
      </c>
      <c r="M193" t="s">
        <v>529</v>
      </c>
      <c r="N193" t="s">
        <v>589</v>
      </c>
      <c r="O193" t="s">
        <v>725</v>
      </c>
      <c r="P193" t="s">
        <v>508</v>
      </c>
      <c r="Q193">
        <v>0</v>
      </c>
      <c r="R193" t="s">
        <v>480</v>
      </c>
    </row>
    <row r="194" spans="1:18" x14ac:dyDescent="0.3">
      <c r="A194" t="s">
        <v>562</v>
      </c>
      <c r="B194" t="s">
        <v>690</v>
      </c>
      <c r="C194" t="s">
        <v>478</v>
      </c>
      <c r="D194" t="s">
        <v>508</v>
      </c>
      <c r="E194" t="s">
        <v>493</v>
      </c>
      <c r="F194" t="s">
        <v>479</v>
      </c>
      <c r="G194" t="s">
        <v>394</v>
      </c>
      <c r="H194" t="s">
        <v>391</v>
      </c>
      <c r="I194" t="s">
        <v>514</v>
      </c>
      <c r="J194" t="s">
        <v>488</v>
      </c>
      <c r="K194" t="s">
        <v>493</v>
      </c>
      <c r="L194" t="s">
        <v>509</v>
      </c>
      <c r="M194" t="s">
        <v>530</v>
      </c>
      <c r="N194" t="s">
        <v>589</v>
      </c>
      <c r="O194" t="s">
        <v>726</v>
      </c>
      <c r="P194" t="s">
        <v>508</v>
      </c>
      <c r="Q194">
        <v>0</v>
      </c>
      <c r="R194" t="s">
        <v>480</v>
      </c>
    </row>
    <row r="195" spans="1:18" x14ac:dyDescent="0.3">
      <c r="A195" t="s">
        <v>562</v>
      </c>
      <c r="B195" t="s">
        <v>830</v>
      </c>
      <c r="C195" t="s">
        <v>396</v>
      </c>
      <c r="D195" t="s">
        <v>508</v>
      </c>
      <c r="E195" t="s">
        <v>397</v>
      </c>
      <c r="F195" t="s">
        <v>479</v>
      </c>
      <c r="G195" t="s">
        <v>390</v>
      </c>
      <c r="H195" t="s">
        <v>391</v>
      </c>
      <c r="I195" t="s">
        <v>535</v>
      </c>
      <c r="J195" t="s">
        <v>398</v>
      </c>
      <c r="K195" t="s">
        <v>397</v>
      </c>
      <c r="L195" t="s">
        <v>536</v>
      </c>
      <c r="M195" t="s">
        <v>527</v>
      </c>
      <c r="N195" t="s">
        <v>589</v>
      </c>
      <c r="O195" t="s">
        <v>727</v>
      </c>
      <c r="P195" t="s">
        <v>508</v>
      </c>
      <c r="Q195">
        <v>0</v>
      </c>
      <c r="R195" t="s">
        <v>480</v>
      </c>
    </row>
    <row r="196" spans="1:18" x14ac:dyDescent="0.3">
      <c r="A196" t="s">
        <v>562</v>
      </c>
      <c r="B196" t="s">
        <v>831</v>
      </c>
      <c r="C196" t="s">
        <v>396</v>
      </c>
      <c r="D196" t="s">
        <v>508</v>
      </c>
      <c r="E196" t="s">
        <v>397</v>
      </c>
      <c r="F196" t="s">
        <v>479</v>
      </c>
      <c r="G196" t="s">
        <v>494</v>
      </c>
      <c r="H196" t="s">
        <v>419</v>
      </c>
      <c r="I196" t="s">
        <v>430</v>
      </c>
      <c r="J196" t="s">
        <v>398</v>
      </c>
      <c r="K196" t="s">
        <v>397</v>
      </c>
      <c r="L196" t="s">
        <v>536</v>
      </c>
      <c r="M196" t="s">
        <v>533</v>
      </c>
      <c r="N196" t="s">
        <v>589</v>
      </c>
      <c r="O196" t="s">
        <v>728</v>
      </c>
      <c r="P196" t="s">
        <v>508</v>
      </c>
      <c r="Q196">
        <v>0</v>
      </c>
      <c r="R196" t="s">
        <v>480</v>
      </c>
    </row>
    <row r="197" spans="1:18" x14ac:dyDescent="0.3">
      <c r="A197" t="s">
        <v>562</v>
      </c>
      <c r="B197" t="s">
        <v>714</v>
      </c>
      <c r="C197" t="s">
        <v>478</v>
      </c>
      <c r="D197" t="s">
        <v>508</v>
      </c>
      <c r="E197" t="s">
        <v>547</v>
      </c>
      <c r="F197" t="s">
        <v>479</v>
      </c>
      <c r="G197" t="s">
        <v>394</v>
      </c>
      <c r="H197" t="s">
        <v>391</v>
      </c>
      <c r="I197" t="s">
        <v>548</v>
      </c>
      <c r="J197" t="s">
        <v>488</v>
      </c>
      <c r="K197" t="s">
        <v>547</v>
      </c>
      <c r="L197" t="s">
        <v>544</v>
      </c>
      <c r="M197" t="s">
        <v>530</v>
      </c>
      <c r="N197" t="s">
        <v>589</v>
      </c>
      <c r="O197" t="s">
        <v>729</v>
      </c>
      <c r="P197" t="s">
        <v>508</v>
      </c>
      <c r="Q197">
        <v>0</v>
      </c>
      <c r="R197" t="s">
        <v>480</v>
      </c>
    </row>
    <row r="198" spans="1:18" x14ac:dyDescent="0.3">
      <c r="A198" t="s">
        <v>562</v>
      </c>
      <c r="B198" t="s">
        <v>690</v>
      </c>
      <c r="C198" t="s">
        <v>478</v>
      </c>
      <c r="D198" t="s">
        <v>508</v>
      </c>
      <c r="E198" t="s">
        <v>493</v>
      </c>
      <c r="F198" t="s">
        <v>479</v>
      </c>
      <c r="G198" t="s">
        <v>394</v>
      </c>
      <c r="H198" t="s">
        <v>391</v>
      </c>
      <c r="I198" t="s">
        <v>514</v>
      </c>
      <c r="J198" t="s">
        <v>488</v>
      </c>
      <c r="K198" t="s">
        <v>493</v>
      </c>
      <c r="L198" t="s">
        <v>509</v>
      </c>
      <c r="M198" t="s">
        <v>531</v>
      </c>
      <c r="N198" t="s">
        <v>589</v>
      </c>
      <c r="O198" t="s">
        <v>730</v>
      </c>
      <c r="P198" t="s">
        <v>508</v>
      </c>
      <c r="Q198">
        <v>0</v>
      </c>
      <c r="R198" t="s">
        <v>480</v>
      </c>
    </row>
    <row r="199" spans="1:18" x14ac:dyDescent="0.3">
      <c r="A199" t="s">
        <v>562</v>
      </c>
      <c r="B199" t="s">
        <v>714</v>
      </c>
      <c r="C199" t="s">
        <v>478</v>
      </c>
      <c r="D199" t="s">
        <v>508</v>
      </c>
      <c r="E199" t="s">
        <v>547</v>
      </c>
      <c r="F199" t="s">
        <v>479</v>
      </c>
      <c r="G199" t="s">
        <v>394</v>
      </c>
      <c r="H199" t="s">
        <v>391</v>
      </c>
      <c r="I199" t="s">
        <v>548</v>
      </c>
      <c r="J199" t="s">
        <v>488</v>
      </c>
      <c r="K199" t="s">
        <v>547</v>
      </c>
      <c r="L199" t="s">
        <v>544</v>
      </c>
      <c r="M199" t="s">
        <v>529</v>
      </c>
      <c r="N199" t="s">
        <v>589</v>
      </c>
      <c r="O199" t="s">
        <v>731</v>
      </c>
      <c r="P199" t="s">
        <v>508</v>
      </c>
      <c r="Q199">
        <v>0</v>
      </c>
      <c r="R199" t="s">
        <v>480</v>
      </c>
    </row>
    <row r="200" spans="1:18" x14ac:dyDescent="0.3">
      <c r="A200" t="s">
        <v>562</v>
      </c>
      <c r="B200" t="s">
        <v>714</v>
      </c>
      <c r="C200" t="s">
        <v>478</v>
      </c>
      <c r="D200" t="s">
        <v>508</v>
      </c>
      <c r="E200" t="s">
        <v>547</v>
      </c>
      <c r="F200" t="s">
        <v>479</v>
      </c>
      <c r="G200" t="s">
        <v>394</v>
      </c>
      <c r="H200" t="s">
        <v>391</v>
      </c>
      <c r="I200" t="s">
        <v>548</v>
      </c>
      <c r="J200" t="s">
        <v>488</v>
      </c>
      <c r="K200" t="s">
        <v>547</v>
      </c>
      <c r="L200" t="s">
        <v>544</v>
      </c>
      <c r="M200" t="s">
        <v>530</v>
      </c>
      <c r="N200" t="s">
        <v>589</v>
      </c>
      <c r="O200" t="s">
        <v>732</v>
      </c>
      <c r="P200" t="s">
        <v>508</v>
      </c>
      <c r="Q200">
        <v>0</v>
      </c>
      <c r="R200" t="s">
        <v>480</v>
      </c>
    </row>
    <row r="201" spans="1:18" x14ac:dyDescent="0.3">
      <c r="A201" t="s">
        <v>625</v>
      </c>
      <c r="B201" t="s">
        <v>831</v>
      </c>
      <c r="C201" t="s">
        <v>396</v>
      </c>
      <c r="D201" t="s">
        <v>508</v>
      </c>
      <c r="E201" t="s">
        <v>397</v>
      </c>
      <c r="F201" t="s">
        <v>479</v>
      </c>
      <c r="G201" t="s">
        <v>390</v>
      </c>
      <c r="H201" t="s">
        <v>391</v>
      </c>
      <c r="I201" t="s">
        <v>535</v>
      </c>
      <c r="J201" t="s">
        <v>398</v>
      </c>
      <c r="K201" t="s">
        <v>397</v>
      </c>
      <c r="L201" t="s">
        <v>536</v>
      </c>
      <c r="M201" t="s">
        <v>527</v>
      </c>
      <c r="N201" t="s">
        <v>589</v>
      </c>
      <c r="O201" t="s">
        <v>733</v>
      </c>
      <c r="P201" t="s">
        <v>508</v>
      </c>
      <c r="Q201">
        <v>0</v>
      </c>
      <c r="R201" t="s">
        <v>480</v>
      </c>
    </row>
    <row r="202" spans="1:18" x14ac:dyDescent="0.3">
      <c r="A202" t="s">
        <v>562</v>
      </c>
      <c r="B202" t="s">
        <v>831</v>
      </c>
      <c r="C202" t="s">
        <v>396</v>
      </c>
      <c r="D202" t="s">
        <v>508</v>
      </c>
      <c r="E202" t="s">
        <v>397</v>
      </c>
      <c r="F202" t="s">
        <v>479</v>
      </c>
      <c r="G202" t="s">
        <v>494</v>
      </c>
      <c r="H202" t="s">
        <v>419</v>
      </c>
      <c r="I202" t="s">
        <v>430</v>
      </c>
      <c r="J202" t="s">
        <v>398</v>
      </c>
      <c r="K202" t="s">
        <v>397</v>
      </c>
      <c r="L202" t="s">
        <v>536</v>
      </c>
      <c r="M202" t="s">
        <v>534</v>
      </c>
      <c r="N202" t="s">
        <v>589</v>
      </c>
      <c r="O202" t="s">
        <v>734</v>
      </c>
      <c r="P202" t="s">
        <v>508</v>
      </c>
      <c r="Q202">
        <v>0</v>
      </c>
      <c r="R202" t="s">
        <v>480</v>
      </c>
    </row>
    <row r="203" spans="1:18" x14ac:dyDescent="0.3">
      <c r="A203" t="s">
        <v>562</v>
      </c>
      <c r="B203" t="s">
        <v>831</v>
      </c>
      <c r="C203" t="s">
        <v>396</v>
      </c>
      <c r="D203" t="s">
        <v>508</v>
      </c>
      <c r="E203" t="s">
        <v>397</v>
      </c>
      <c r="F203" t="s">
        <v>479</v>
      </c>
      <c r="G203" t="s">
        <v>390</v>
      </c>
      <c r="H203" t="s">
        <v>391</v>
      </c>
      <c r="I203" t="s">
        <v>535</v>
      </c>
      <c r="J203" t="s">
        <v>398</v>
      </c>
      <c r="K203" t="s">
        <v>397</v>
      </c>
      <c r="L203" t="s">
        <v>536</v>
      </c>
      <c r="M203" t="s">
        <v>672</v>
      </c>
      <c r="N203" t="s">
        <v>589</v>
      </c>
      <c r="O203" t="s">
        <v>735</v>
      </c>
      <c r="P203" t="s">
        <v>508</v>
      </c>
      <c r="Q203">
        <v>0</v>
      </c>
      <c r="R203" t="s">
        <v>480</v>
      </c>
    </row>
    <row r="204" spans="1:18" x14ac:dyDescent="0.3">
      <c r="A204" t="s">
        <v>562</v>
      </c>
      <c r="B204" t="s">
        <v>831</v>
      </c>
      <c r="C204" t="s">
        <v>396</v>
      </c>
      <c r="D204" t="s">
        <v>508</v>
      </c>
      <c r="E204" t="s">
        <v>397</v>
      </c>
      <c r="F204" t="s">
        <v>479</v>
      </c>
      <c r="G204" t="s">
        <v>390</v>
      </c>
      <c r="H204" t="s">
        <v>391</v>
      </c>
      <c r="I204" t="s">
        <v>535</v>
      </c>
      <c r="J204" t="s">
        <v>398</v>
      </c>
      <c r="K204" t="s">
        <v>397</v>
      </c>
      <c r="L204" t="s">
        <v>536</v>
      </c>
      <c r="M204" t="s">
        <v>527</v>
      </c>
      <c r="N204" t="s">
        <v>589</v>
      </c>
      <c r="O204" t="s">
        <v>736</v>
      </c>
      <c r="P204" t="s">
        <v>508</v>
      </c>
      <c r="Q204">
        <v>0</v>
      </c>
      <c r="R204" t="s">
        <v>480</v>
      </c>
    </row>
    <row r="205" spans="1:18" x14ac:dyDescent="0.3">
      <c r="A205" t="s">
        <v>562</v>
      </c>
      <c r="B205" t="s">
        <v>831</v>
      </c>
      <c r="C205" t="s">
        <v>396</v>
      </c>
      <c r="D205" t="s">
        <v>508</v>
      </c>
      <c r="E205" t="s">
        <v>397</v>
      </c>
      <c r="F205" t="s">
        <v>479</v>
      </c>
      <c r="G205" t="s">
        <v>390</v>
      </c>
      <c r="H205" t="s">
        <v>391</v>
      </c>
      <c r="I205" t="s">
        <v>535</v>
      </c>
      <c r="J205" t="s">
        <v>398</v>
      </c>
      <c r="K205" t="s">
        <v>397</v>
      </c>
      <c r="L205" t="s">
        <v>536</v>
      </c>
      <c r="M205" t="s">
        <v>527</v>
      </c>
      <c r="N205" t="s">
        <v>589</v>
      </c>
      <c r="O205" t="s">
        <v>737</v>
      </c>
      <c r="P205" t="s">
        <v>508</v>
      </c>
      <c r="Q205">
        <v>0</v>
      </c>
      <c r="R205" t="s">
        <v>480</v>
      </c>
    </row>
    <row r="206" spans="1:18" x14ac:dyDescent="0.3">
      <c r="A206" t="s">
        <v>562</v>
      </c>
      <c r="B206" t="s">
        <v>831</v>
      </c>
      <c r="C206" t="s">
        <v>396</v>
      </c>
      <c r="D206" t="s">
        <v>508</v>
      </c>
      <c r="E206" t="s">
        <v>397</v>
      </c>
      <c r="F206" t="s">
        <v>479</v>
      </c>
      <c r="G206" t="s">
        <v>390</v>
      </c>
      <c r="H206" t="s">
        <v>391</v>
      </c>
      <c r="I206" t="s">
        <v>535</v>
      </c>
      <c r="J206" t="s">
        <v>398</v>
      </c>
      <c r="K206" t="s">
        <v>397</v>
      </c>
      <c r="L206" t="s">
        <v>536</v>
      </c>
      <c r="M206" t="s">
        <v>672</v>
      </c>
      <c r="N206" t="s">
        <v>589</v>
      </c>
      <c r="O206" t="s">
        <v>738</v>
      </c>
      <c r="P206" t="s">
        <v>508</v>
      </c>
      <c r="Q206">
        <v>0</v>
      </c>
      <c r="R206" t="s">
        <v>480</v>
      </c>
    </row>
    <row r="207" spans="1:18" x14ac:dyDescent="0.3">
      <c r="A207" t="s">
        <v>562</v>
      </c>
      <c r="B207" t="s">
        <v>831</v>
      </c>
      <c r="C207" t="s">
        <v>396</v>
      </c>
      <c r="D207" t="s">
        <v>508</v>
      </c>
      <c r="E207" t="s">
        <v>397</v>
      </c>
      <c r="F207" t="s">
        <v>479</v>
      </c>
      <c r="G207" t="s">
        <v>390</v>
      </c>
      <c r="H207" t="s">
        <v>391</v>
      </c>
      <c r="I207" t="s">
        <v>535</v>
      </c>
      <c r="J207" t="s">
        <v>398</v>
      </c>
      <c r="K207" t="s">
        <v>397</v>
      </c>
      <c r="L207" t="s">
        <v>536</v>
      </c>
      <c r="M207" t="s">
        <v>672</v>
      </c>
      <c r="N207" t="s">
        <v>589</v>
      </c>
      <c r="O207" t="s">
        <v>739</v>
      </c>
      <c r="P207" t="s">
        <v>508</v>
      </c>
      <c r="Q207">
        <v>0</v>
      </c>
      <c r="R207" t="s">
        <v>480</v>
      </c>
    </row>
    <row r="208" spans="1:18" x14ac:dyDescent="0.3">
      <c r="A208" t="s">
        <v>625</v>
      </c>
      <c r="B208" t="s">
        <v>483</v>
      </c>
      <c r="C208" t="s">
        <v>478</v>
      </c>
      <c r="D208" t="s">
        <v>508</v>
      </c>
      <c r="E208" t="s">
        <v>547</v>
      </c>
      <c r="F208" t="s">
        <v>479</v>
      </c>
      <c r="G208" t="s">
        <v>394</v>
      </c>
      <c r="H208" t="s">
        <v>391</v>
      </c>
      <c r="I208" t="s">
        <v>548</v>
      </c>
      <c r="J208" t="s">
        <v>488</v>
      </c>
      <c r="K208" t="s">
        <v>547</v>
      </c>
      <c r="L208" t="s">
        <v>544</v>
      </c>
      <c r="M208" t="s">
        <v>530</v>
      </c>
      <c r="N208" t="s">
        <v>589</v>
      </c>
      <c r="O208" t="s">
        <v>740</v>
      </c>
      <c r="P208" t="s">
        <v>508</v>
      </c>
      <c r="Q208">
        <v>0</v>
      </c>
      <c r="R208" t="s">
        <v>480</v>
      </c>
    </row>
    <row r="209" spans="1:18" x14ac:dyDescent="0.3">
      <c r="A209" t="s">
        <v>625</v>
      </c>
      <c r="B209" t="s">
        <v>483</v>
      </c>
      <c r="C209" t="s">
        <v>478</v>
      </c>
      <c r="D209" t="s">
        <v>508</v>
      </c>
      <c r="E209" t="s">
        <v>547</v>
      </c>
      <c r="F209" t="s">
        <v>479</v>
      </c>
      <c r="G209" t="s">
        <v>394</v>
      </c>
      <c r="H209" t="s">
        <v>391</v>
      </c>
      <c r="I209" t="s">
        <v>548</v>
      </c>
      <c r="J209" t="s">
        <v>488</v>
      </c>
      <c r="K209" t="s">
        <v>547</v>
      </c>
      <c r="L209" t="s">
        <v>544</v>
      </c>
      <c r="M209" t="s">
        <v>530</v>
      </c>
      <c r="N209" t="s">
        <v>589</v>
      </c>
      <c r="O209" t="s">
        <v>741</v>
      </c>
      <c r="P209" t="s">
        <v>508</v>
      </c>
      <c r="Q209">
        <v>0</v>
      </c>
      <c r="R209" t="s">
        <v>480</v>
      </c>
    </row>
    <row r="210" spans="1:18" x14ac:dyDescent="0.3">
      <c r="A210" t="s">
        <v>625</v>
      </c>
      <c r="B210" t="s">
        <v>483</v>
      </c>
      <c r="C210" t="s">
        <v>478</v>
      </c>
      <c r="D210" t="s">
        <v>508</v>
      </c>
      <c r="E210" t="s">
        <v>547</v>
      </c>
      <c r="F210" t="s">
        <v>479</v>
      </c>
      <c r="G210" t="s">
        <v>394</v>
      </c>
      <c r="H210" t="s">
        <v>391</v>
      </c>
      <c r="I210" t="s">
        <v>548</v>
      </c>
      <c r="J210" t="s">
        <v>488</v>
      </c>
      <c r="K210" t="s">
        <v>547</v>
      </c>
      <c r="L210" t="s">
        <v>544</v>
      </c>
      <c r="M210" t="s">
        <v>529</v>
      </c>
      <c r="N210" t="s">
        <v>589</v>
      </c>
      <c r="O210" t="s">
        <v>742</v>
      </c>
      <c r="P210" t="s">
        <v>508</v>
      </c>
      <c r="Q210">
        <v>0</v>
      </c>
      <c r="R210" t="s">
        <v>480</v>
      </c>
    </row>
    <row r="211" spans="1:18" x14ac:dyDescent="0.3">
      <c r="A211" t="s">
        <v>625</v>
      </c>
      <c r="B211" t="s">
        <v>483</v>
      </c>
      <c r="C211" t="s">
        <v>478</v>
      </c>
      <c r="D211" t="s">
        <v>508</v>
      </c>
      <c r="E211" t="s">
        <v>547</v>
      </c>
      <c r="F211" t="s">
        <v>479</v>
      </c>
      <c r="G211" t="s">
        <v>394</v>
      </c>
      <c r="H211" t="s">
        <v>391</v>
      </c>
      <c r="I211" t="s">
        <v>548</v>
      </c>
      <c r="J211" t="s">
        <v>488</v>
      </c>
      <c r="K211" t="s">
        <v>547</v>
      </c>
      <c r="L211" t="s">
        <v>544</v>
      </c>
      <c r="M211" t="s">
        <v>530</v>
      </c>
      <c r="N211" t="s">
        <v>589</v>
      </c>
      <c r="O211" t="s">
        <v>755</v>
      </c>
      <c r="P211" t="s">
        <v>508</v>
      </c>
      <c r="Q211">
        <v>0</v>
      </c>
      <c r="R211" t="s">
        <v>480</v>
      </c>
    </row>
    <row r="212" spans="1:18" x14ac:dyDescent="0.3">
      <c r="A212" t="s">
        <v>562</v>
      </c>
      <c r="B212" t="s">
        <v>812</v>
      </c>
      <c r="C212" t="s">
        <v>478</v>
      </c>
      <c r="D212" t="s">
        <v>508</v>
      </c>
      <c r="E212" t="s">
        <v>493</v>
      </c>
      <c r="F212" t="s">
        <v>479</v>
      </c>
      <c r="G212" t="s">
        <v>394</v>
      </c>
      <c r="H212" t="s">
        <v>391</v>
      </c>
      <c r="I212" t="s">
        <v>512</v>
      </c>
      <c r="J212" t="s">
        <v>488</v>
      </c>
      <c r="K212" t="s">
        <v>493</v>
      </c>
      <c r="L212" t="s">
        <v>509</v>
      </c>
      <c r="M212" t="s">
        <v>531</v>
      </c>
      <c r="N212" t="s">
        <v>528</v>
      </c>
      <c r="O212" t="s">
        <v>813</v>
      </c>
      <c r="P212" t="s">
        <v>508</v>
      </c>
      <c r="Q212">
        <v>0</v>
      </c>
      <c r="R212" t="s">
        <v>480</v>
      </c>
    </row>
    <row r="213" spans="1:18" x14ac:dyDescent="0.3">
      <c r="A213" t="s">
        <v>562</v>
      </c>
      <c r="B213" t="s">
        <v>812</v>
      </c>
      <c r="C213" t="s">
        <v>478</v>
      </c>
      <c r="D213" t="s">
        <v>508</v>
      </c>
      <c r="E213" t="s">
        <v>493</v>
      </c>
      <c r="F213" t="s">
        <v>479</v>
      </c>
      <c r="G213" t="s">
        <v>394</v>
      </c>
      <c r="H213" t="s">
        <v>391</v>
      </c>
      <c r="I213" t="s">
        <v>512</v>
      </c>
      <c r="J213" t="s">
        <v>488</v>
      </c>
      <c r="K213" t="s">
        <v>493</v>
      </c>
      <c r="L213" t="s">
        <v>509</v>
      </c>
      <c r="M213" t="s">
        <v>530</v>
      </c>
      <c r="N213" t="s">
        <v>528</v>
      </c>
      <c r="O213" t="s">
        <v>814</v>
      </c>
      <c r="P213" t="s">
        <v>508</v>
      </c>
      <c r="Q213">
        <v>0</v>
      </c>
      <c r="R213" t="s">
        <v>480</v>
      </c>
    </row>
    <row r="214" spans="1:18" x14ac:dyDescent="0.3">
      <c r="A214" t="s">
        <v>625</v>
      </c>
      <c r="B214" t="s">
        <v>832</v>
      </c>
      <c r="C214" t="s">
        <v>396</v>
      </c>
      <c r="D214" t="s">
        <v>508</v>
      </c>
      <c r="E214" t="s">
        <v>397</v>
      </c>
      <c r="F214" t="s">
        <v>479</v>
      </c>
      <c r="G214" t="s">
        <v>390</v>
      </c>
      <c r="H214" t="s">
        <v>391</v>
      </c>
      <c r="I214" t="s">
        <v>535</v>
      </c>
      <c r="J214" t="s">
        <v>398</v>
      </c>
      <c r="K214" t="s">
        <v>397</v>
      </c>
      <c r="L214" t="s">
        <v>536</v>
      </c>
      <c r="M214" t="s">
        <v>527</v>
      </c>
      <c r="N214" t="s">
        <v>589</v>
      </c>
      <c r="O214" t="s">
        <v>758</v>
      </c>
      <c r="P214" t="s">
        <v>508</v>
      </c>
      <c r="Q214">
        <v>0</v>
      </c>
      <c r="R214" t="s">
        <v>480</v>
      </c>
    </row>
    <row r="215" spans="1:18" x14ac:dyDescent="0.3">
      <c r="A215" t="s">
        <v>625</v>
      </c>
      <c r="B215" t="s">
        <v>832</v>
      </c>
      <c r="C215" t="s">
        <v>396</v>
      </c>
      <c r="D215" t="s">
        <v>508</v>
      </c>
      <c r="E215" t="s">
        <v>397</v>
      </c>
      <c r="F215" t="s">
        <v>479</v>
      </c>
      <c r="G215" t="s">
        <v>390</v>
      </c>
      <c r="H215" t="s">
        <v>391</v>
      </c>
      <c r="I215" t="s">
        <v>535</v>
      </c>
      <c r="J215" t="s">
        <v>398</v>
      </c>
      <c r="K215" t="s">
        <v>397</v>
      </c>
      <c r="L215" t="s">
        <v>536</v>
      </c>
      <c r="M215" t="s">
        <v>672</v>
      </c>
      <c r="N215" t="s">
        <v>589</v>
      </c>
      <c r="O215" t="s">
        <v>759</v>
      </c>
      <c r="P215" t="s">
        <v>508</v>
      </c>
      <c r="Q215">
        <v>0</v>
      </c>
      <c r="R215" t="s">
        <v>480</v>
      </c>
    </row>
    <row r="216" spans="1:18" x14ac:dyDescent="0.3">
      <c r="A216" t="s">
        <v>625</v>
      </c>
      <c r="B216" t="s">
        <v>832</v>
      </c>
      <c r="C216" t="s">
        <v>396</v>
      </c>
      <c r="D216" t="s">
        <v>508</v>
      </c>
      <c r="E216" t="s">
        <v>397</v>
      </c>
      <c r="F216" t="s">
        <v>479</v>
      </c>
      <c r="G216" t="s">
        <v>390</v>
      </c>
      <c r="H216" t="s">
        <v>391</v>
      </c>
      <c r="I216" t="s">
        <v>535</v>
      </c>
      <c r="J216" t="s">
        <v>398</v>
      </c>
      <c r="K216" t="s">
        <v>397</v>
      </c>
      <c r="L216" t="s">
        <v>536</v>
      </c>
      <c r="M216" t="s">
        <v>527</v>
      </c>
      <c r="N216" t="s">
        <v>589</v>
      </c>
      <c r="O216" t="s">
        <v>760</v>
      </c>
      <c r="P216" t="s">
        <v>508</v>
      </c>
      <c r="Q216">
        <v>0</v>
      </c>
      <c r="R216" t="s">
        <v>480</v>
      </c>
    </row>
    <row r="217" spans="1:18" x14ac:dyDescent="0.3">
      <c r="A217" t="s">
        <v>562</v>
      </c>
      <c r="B217" t="s">
        <v>832</v>
      </c>
      <c r="C217" t="s">
        <v>396</v>
      </c>
      <c r="D217" t="s">
        <v>508</v>
      </c>
      <c r="E217" t="s">
        <v>397</v>
      </c>
      <c r="F217" t="s">
        <v>479</v>
      </c>
      <c r="G217" t="s">
        <v>494</v>
      </c>
      <c r="H217" t="s">
        <v>419</v>
      </c>
      <c r="I217" t="s">
        <v>430</v>
      </c>
      <c r="J217" t="s">
        <v>398</v>
      </c>
      <c r="K217" t="s">
        <v>397</v>
      </c>
      <c r="L217" t="s">
        <v>536</v>
      </c>
      <c r="M217" t="s">
        <v>533</v>
      </c>
      <c r="N217" t="s">
        <v>589</v>
      </c>
      <c r="O217" t="s">
        <v>761</v>
      </c>
      <c r="P217" t="s">
        <v>508</v>
      </c>
      <c r="Q217">
        <v>0</v>
      </c>
      <c r="R217" t="s">
        <v>480</v>
      </c>
    </row>
    <row r="218" spans="1:18" x14ac:dyDescent="0.3">
      <c r="A218" t="s">
        <v>562</v>
      </c>
      <c r="B218" t="s">
        <v>832</v>
      </c>
      <c r="C218" t="s">
        <v>396</v>
      </c>
      <c r="D218" t="s">
        <v>508</v>
      </c>
      <c r="E218" t="s">
        <v>397</v>
      </c>
      <c r="F218" t="s">
        <v>479</v>
      </c>
      <c r="G218" t="s">
        <v>390</v>
      </c>
      <c r="H218" t="s">
        <v>391</v>
      </c>
      <c r="I218" t="s">
        <v>535</v>
      </c>
      <c r="J218" t="s">
        <v>398</v>
      </c>
      <c r="K218" t="s">
        <v>397</v>
      </c>
      <c r="L218" t="s">
        <v>536</v>
      </c>
      <c r="M218" t="s">
        <v>527</v>
      </c>
      <c r="N218" t="s">
        <v>589</v>
      </c>
      <c r="O218" t="s">
        <v>762</v>
      </c>
      <c r="P218" t="s">
        <v>508</v>
      </c>
      <c r="Q218">
        <v>0</v>
      </c>
      <c r="R218" t="s">
        <v>480</v>
      </c>
    </row>
    <row r="219" spans="1:18" x14ac:dyDescent="0.3">
      <c r="A219" t="s">
        <v>625</v>
      </c>
      <c r="B219" t="s">
        <v>483</v>
      </c>
      <c r="C219" t="s">
        <v>478</v>
      </c>
      <c r="D219" t="s">
        <v>508</v>
      </c>
      <c r="E219" t="s">
        <v>547</v>
      </c>
      <c r="F219" t="s">
        <v>479</v>
      </c>
      <c r="G219" t="s">
        <v>394</v>
      </c>
      <c r="H219" t="s">
        <v>391</v>
      </c>
      <c r="I219" t="s">
        <v>548</v>
      </c>
      <c r="J219" t="s">
        <v>488</v>
      </c>
      <c r="K219" t="s">
        <v>547</v>
      </c>
      <c r="L219" t="s">
        <v>544</v>
      </c>
      <c r="M219" t="s">
        <v>529</v>
      </c>
      <c r="N219" t="s">
        <v>589</v>
      </c>
      <c r="O219" t="s">
        <v>763</v>
      </c>
      <c r="P219" t="s">
        <v>508</v>
      </c>
      <c r="Q219">
        <v>0</v>
      </c>
      <c r="R219" t="s">
        <v>480</v>
      </c>
    </row>
    <row r="220" spans="1:18" x14ac:dyDescent="0.3">
      <c r="A220" t="s">
        <v>625</v>
      </c>
      <c r="B220" t="s">
        <v>483</v>
      </c>
      <c r="C220" t="s">
        <v>478</v>
      </c>
      <c r="D220" t="s">
        <v>508</v>
      </c>
      <c r="E220" t="s">
        <v>547</v>
      </c>
      <c r="F220" t="s">
        <v>479</v>
      </c>
      <c r="G220" t="s">
        <v>394</v>
      </c>
      <c r="H220" t="s">
        <v>391</v>
      </c>
      <c r="I220" t="s">
        <v>548</v>
      </c>
      <c r="J220" t="s">
        <v>488</v>
      </c>
      <c r="K220" t="s">
        <v>547</v>
      </c>
      <c r="L220" t="s">
        <v>544</v>
      </c>
      <c r="M220" t="s">
        <v>530</v>
      </c>
      <c r="N220" t="s">
        <v>589</v>
      </c>
      <c r="O220" t="s">
        <v>766</v>
      </c>
      <c r="P220" t="s">
        <v>508</v>
      </c>
      <c r="Q220">
        <v>0</v>
      </c>
      <c r="R220" t="s">
        <v>480</v>
      </c>
    </row>
    <row r="221" spans="1:18" x14ac:dyDescent="0.3">
      <c r="A221" t="s">
        <v>625</v>
      </c>
      <c r="B221" t="s">
        <v>832</v>
      </c>
      <c r="C221" t="s">
        <v>396</v>
      </c>
      <c r="D221" t="s">
        <v>508</v>
      </c>
      <c r="E221" t="s">
        <v>397</v>
      </c>
      <c r="F221" t="s">
        <v>479</v>
      </c>
      <c r="G221" t="s">
        <v>390</v>
      </c>
      <c r="H221" t="s">
        <v>391</v>
      </c>
      <c r="I221" t="s">
        <v>535</v>
      </c>
      <c r="J221" t="s">
        <v>398</v>
      </c>
      <c r="K221" t="s">
        <v>397</v>
      </c>
      <c r="L221" t="s">
        <v>536</v>
      </c>
      <c r="M221" t="s">
        <v>527</v>
      </c>
      <c r="N221" t="s">
        <v>589</v>
      </c>
      <c r="O221" t="s">
        <v>774</v>
      </c>
      <c r="P221" t="s">
        <v>508</v>
      </c>
      <c r="Q221">
        <v>0</v>
      </c>
      <c r="R221" t="s">
        <v>480</v>
      </c>
    </row>
    <row r="222" spans="1:18" x14ac:dyDescent="0.3">
      <c r="A222" t="s">
        <v>625</v>
      </c>
      <c r="B222" t="s">
        <v>832</v>
      </c>
      <c r="C222" t="s">
        <v>396</v>
      </c>
      <c r="D222" t="s">
        <v>508</v>
      </c>
      <c r="E222" t="s">
        <v>397</v>
      </c>
      <c r="F222" t="s">
        <v>479</v>
      </c>
      <c r="G222" t="s">
        <v>390</v>
      </c>
      <c r="H222" t="s">
        <v>391</v>
      </c>
      <c r="I222" t="s">
        <v>535</v>
      </c>
      <c r="J222" t="s">
        <v>398</v>
      </c>
      <c r="K222" t="s">
        <v>397</v>
      </c>
      <c r="L222" t="s">
        <v>536</v>
      </c>
      <c r="M222" t="s">
        <v>527</v>
      </c>
      <c r="N222" t="s">
        <v>589</v>
      </c>
      <c r="O222" t="s">
        <v>775</v>
      </c>
      <c r="P222" t="s">
        <v>508</v>
      </c>
      <c r="Q222">
        <v>0</v>
      </c>
      <c r="R222" t="s">
        <v>480</v>
      </c>
    </row>
    <row r="223" spans="1:18" x14ac:dyDescent="0.3">
      <c r="A223" t="s">
        <v>625</v>
      </c>
      <c r="B223" t="s">
        <v>832</v>
      </c>
      <c r="C223" t="s">
        <v>396</v>
      </c>
      <c r="D223" t="s">
        <v>508</v>
      </c>
      <c r="E223" t="s">
        <v>397</v>
      </c>
      <c r="F223" t="s">
        <v>479</v>
      </c>
      <c r="G223" t="s">
        <v>390</v>
      </c>
      <c r="H223" t="s">
        <v>391</v>
      </c>
      <c r="I223" t="s">
        <v>535</v>
      </c>
      <c r="J223" t="s">
        <v>398</v>
      </c>
      <c r="K223" t="s">
        <v>397</v>
      </c>
      <c r="L223" t="s">
        <v>536</v>
      </c>
      <c r="M223" t="s">
        <v>672</v>
      </c>
      <c r="N223" t="s">
        <v>589</v>
      </c>
      <c r="O223" t="s">
        <v>776</v>
      </c>
      <c r="P223" t="s">
        <v>508</v>
      </c>
      <c r="Q223">
        <v>0</v>
      </c>
      <c r="R223" t="s">
        <v>480</v>
      </c>
    </row>
    <row r="224" spans="1:18" x14ac:dyDescent="0.3">
      <c r="A224" t="s">
        <v>625</v>
      </c>
      <c r="B224" t="s">
        <v>483</v>
      </c>
      <c r="C224" t="s">
        <v>478</v>
      </c>
      <c r="D224" t="s">
        <v>508</v>
      </c>
      <c r="E224" t="s">
        <v>547</v>
      </c>
      <c r="F224" t="s">
        <v>479</v>
      </c>
      <c r="G224" t="s">
        <v>394</v>
      </c>
      <c r="H224" t="s">
        <v>391</v>
      </c>
      <c r="I224" t="s">
        <v>548</v>
      </c>
      <c r="J224" t="s">
        <v>488</v>
      </c>
      <c r="K224" t="s">
        <v>547</v>
      </c>
      <c r="L224" t="s">
        <v>544</v>
      </c>
      <c r="M224" t="s">
        <v>530</v>
      </c>
      <c r="N224" t="s">
        <v>589</v>
      </c>
      <c r="O224" t="s">
        <v>784</v>
      </c>
      <c r="P224" t="s">
        <v>508</v>
      </c>
      <c r="Q224">
        <v>0</v>
      </c>
      <c r="R224" t="s">
        <v>480</v>
      </c>
    </row>
    <row r="225" spans="1:18" x14ac:dyDescent="0.3">
      <c r="A225" t="s">
        <v>625</v>
      </c>
      <c r="B225" t="s">
        <v>832</v>
      </c>
      <c r="C225" t="s">
        <v>396</v>
      </c>
      <c r="D225" t="s">
        <v>508</v>
      </c>
      <c r="E225" t="s">
        <v>397</v>
      </c>
      <c r="F225" t="s">
        <v>479</v>
      </c>
      <c r="G225" t="s">
        <v>390</v>
      </c>
      <c r="H225" t="s">
        <v>391</v>
      </c>
      <c r="I225" t="s">
        <v>535</v>
      </c>
      <c r="J225" t="s">
        <v>398</v>
      </c>
      <c r="K225" t="s">
        <v>397</v>
      </c>
      <c r="L225" t="s">
        <v>536</v>
      </c>
      <c r="M225" t="s">
        <v>529</v>
      </c>
      <c r="N225" t="s">
        <v>589</v>
      </c>
      <c r="O225" t="s">
        <v>787</v>
      </c>
      <c r="P225" t="s">
        <v>508</v>
      </c>
      <c r="Q225">
        <v>0</v>
      </c>
      <c r="R225" t="s">
        <v>480</v>
      </c>
    </row>
    <row r="226" spans="1:18" x14ac:dyDescent="0.3">
      <c r="A226" t="s">
        <v>625</v>
      </c>
      <c r="B226" t="s">
        <v>832</v>
      </c>
      <c r="C226" t="s">
        <v>396</v>
      </c>
      <c r="D226" t="s">
        <v>508</v>
      </c>
      <c r="E226" t="s">
        <v>397</v>
      </c>
      <c r="F226" t="s">
        <v>479</v>
      </c>
      <c r="G226" t="s">
        <v>494</v>
      </c>
      <c r="H226" t="s">
        <v>419</v>
      </c>
      <c r="I226" t="s">
        <v>430</v>
      </c>
      <c r="J226" t="s">
        <v>398</v>
      </c>
      <c r="K226" t="s">
        <v>397</v>
      </c>
      <c r="L226" t="s">
        <v>536</v>
      </c>
      <c r="M226" t="s">
        <v>533</v>
      </c>
      <c r="N226" t="s">
        <v>589</v>
      </c>
      <c r="O226" t="s">
        <v>788</v>
      </c>
      <c r="P226" t="s">
        <v>508</v>
      </c>
      <c r="Q226">
        <v>0</v>
      </c>
      <c r="R226" t="s">
        <v>480</v>
      </c>
    </row>
    <row r="227" spans="1:18" x14ac:dyDescent="0.3">
      <c r="A227" t="s">
        <v>625</v>
      </c>
      <c r="B227" t="s">
        <v>483</v>
      </c>
      <c r="C227" t="s">
        <v>478</v>
      </c>
      <c r="D227" t="s">
        <v>508</v>
      </c>
      <c r="E227" t="s">
        <v>547</v>
      </c>
      <c r="F227" t="s">
        <v>479</v>
      </c>
      <c r="G227" t="s">
        <v>394</v>
      </c>
      <c r="H227" t="s">
        <v>391</v>
      </c>
      <c r="I227" t="s">
        <v>548</v>
      </c>
      <c r="J227" t="s">
        <v>488</v>
      </c>
      <c r="K227" t="s">
        <v>547</v>
      </c>
      <c r="L227" t="s">
        <v>544</v>
      </c>
      <c r="M227" t="s">
        <v>530</v>
      </c>
      <c r="N227" t="s">
        <v>589</v>
      </c>
      <c r="O227" t="s">
        <v>793</v>
      </c>
      <c r="P227" t="s">
        <v>508</v>
      </c>
      <c r="Q227">
        <v>0</v>
      </c>
      <c r="R227" t="s">
        <v>480</v>
      </c>
    </row>
    <row r="228" spans="1:18" x14ac:dyDescent="0.3">
      <c r="A228" t="s">
        <v>625</v>
      </c>
      <c r="B228" t="s">
        <v>483</v>
      </c>
      <c r="C228" t="s">
        <v>478</v>
      </c>
      <c r="D228" t="s">
        <v>508</v>
      </c>
      <c r="E228" t="s">
        <v>547</v>
      </c>
      <c r="F228" t="s">
        <v>479</v>
      </c>
      <c r="G228" t="s">
        <v>394</v>
      </c>
      <c r="H228" t="s">
        <v>391</v>
      </c>
      <c r="I228" t="s">
        <v>548</v>
      </c>
      <c r="J228" t="s">
        <v>488</v>
      </c>
      <c r="K228" t="s">
        <v>547</v>
      </c>
      <c r="L228" t="s">
        <v>544</v>
      </c>
      <c r="M228" t="s">
        <v>529</v>
      </c>
      <c r="N228" t="s">
        <v>589</v>
      </c>
      <c r="O228" t="s">
        <v>794</v>
      </c>
      <c r="P228" t="s">
        <v>508</v>
      </c>
      <c r="Q228">
        <v>0</v>
      </c>
      <c r="R228" t="s">
        <v>480</v>
      </c>
    </row>
    <row r="229" spans="1:18" x14ac:dyDescent="0.3">
      <c r="A229" t="s">
        <v>625</v>
      </c>
      <c r="B229" t="s">
        <v>483</v>
      </c>
      <c r="C229" t="s">
        <v>396</v>
      </c>
      <c r="D229" t="s">
        <v>508</v>
      </c>
      <c r="E229" t="s">
        <v>397</v>
      </c>
      <c r="F229" t="s">
        <v>479</v>
      </c>
      <c r="G229" t="s">
        <v>390</v>
      </c>
      <c r="H229" t="s">
        <v>391</v>
      </c>
      <c r="I229" t="s">
        <v>535</v>
      </c>
      <c r="J229" t="s">
        <v>398</v>
      </c>
      <c r="K229" t="s">
        <v>397</v>
      </c>
      <c r="L229" t="s">
        <v>536</v>
      </c>
      <c r="M229" t="s">
        <v>527</v>
      </c>
      <c r="N229" t="s">
        <v>589</v>
      </c>
      <c r="O229" t="s">
        <v>803</v>
      </c>
      <c r="P229" t="s">
        <v>508</v>
      </c>
      <c r="Q229">
        <v>0</v>
      </c>
      <c r="R229" t="s">
        <v>480</v>
      </c>
    </row>
    <row r="230" spans="1:18" x14ac:dyDescent="0.3">
      <c r="A230" t="s">
        <v>625</v>
      </c>
      <c r="B230" t="s">
        <v>483</v>
      </c>
      <c r="C230" t="s">
        <v>396</v>
      </c>
      <c r="D230" t="s">
        <v>508</v>
      </c>
      <c r="E230" t="s">
        <v>397</v>
      </c>
      <c r="F230" t="s">
        <v>479</v>
      </c>
      <c r="G230" t="s">
        <v>390</v>
      </c>
      <c r="H230" t="s">
        <v>391</v>
      </c>
      <c r="I230" t="s">
        <v>535</v>
      </c>
      <c r="J230" t="s">
        <v>398</v>
      </c>
      <c r="K230" t="s">
        <v>397</v>
      </c>
      <c r="L230" t="s">
        <v>536</v>
      </c>
      <c r="M230" t="s">
        <v>529</v>
      </c>
      <c r="N230" t="s">
        <v>589</v>
      </c>
      <c r="O230" t="s">
        <v>804</v>
      </c>
      <c r="P230" t="s">
        <v>508</v>
      </c>
      <c r="Q230">
        <v>0</v>
      </c>
      <c r="R230" t="s">
        <v>480</v>
      </c>
    </row>
    <row r="231" spans="1:18" x14ac:dyDescent="0.3">
      <c r="A231" t="s">
        <v>625</v>
      </c>
      <c r="B231" t="s">
        <v>483</v>
      </c>
      <c r="C231" t="s">
        <v>396</v>
      </c>
      <c r="D231" t="s">
        <v>508</v>
      </c>
      <c r="E231" t="s">
        <v>397</v>
      </c>
      <c r="F231" t="s">
        <v>479</v>
      </c>
      <c r="G231" t="s">
        <v>390</v>
      </c>
      <c r="H231" t="s">
        <v>391</v>
      </c>
      <c r="I231" t="s">
        <v>535</v>
      </c>
      <c r="J231" t="s">
        <v>398</v>
      </c>
      <c r="K231" t="s">
        <v>397</v>
      </c>
      <c r="L231" t="s">
        <v>536</v>
      </c>
      <c r="M231" t="s">
        <v>527</v>
      </c>
      <c r="N231" t="s">
        <v>589</v>
      </c>
      <c r="O231" t="s">
        <v>805</v>
      </c>
      <c r="P231" t="s">
        <v>508</v>
      </c>
      <c r="Q231">
        <v>0</v>
      </c>
      <c r="R231" t="s">
        <v>480</v>
      </c>
    </row>
    <row r="232" spans="1:18" x14ac:dyDescent="0.3">
      <c r="A232" t="s">
        <v>625</v>
      </c>
      <c r="B232" t="s">
        <v>483</v>
      </c>
      <c r="C232" t="s">
        <v>396</v>
      </c>
      <c r="D232" t="s">
        <v>508</v>
      </c>
      <c r="E232" t="s">
        <v>397</v>
      </c>
      <c r="F232" t="s">
        <v>479</v>
      </c>
      <c r="G232" t="s">
        <v>390</v>
      </c>
      <c r="H232" t="s">
        <v>391</v>
      </c>
      <c r="I232" t="s">
        <v>535</v>
      </c>
      <c r="J232" t="s">
        <v>398</v>
      </c>
      <c r="K232" t="s">
        <v>397</v>
      </c>
      <c r="L232" t="s">
        <v>536</v>
      </c>
      <c r="M232" t="s">
        <v>529</v>
      </c>
      <c r="N232" t="s">
        <v>589</v>
      </c>
      <c r="O232" t="s">
        <v>806</v>
      </c>
      <c r="P232" t="s">
        <v>508</v>
      </c>
      <c r="Q232">
        <v>0</v>
      </c>
      <c r="R232" t="s">
        <v>480</v>
      </c>
    </row>
    <row r="233" spans="1:18" x14ac:dyDescent="0.3">
      <c r="A233" t="s">
        <v>625</v>
      </c>
      <c r="B233" t="s">
        <v>483</v>
      </c>
      <c r="C233" t="s">
        <v>478</v>
      </c>
      <c r="D233" t="s">
        <v>508</v>
      </c>
      <c r="E233" t="s">
        <v>547</v>
      </c>
      <c r="F233" t="s">
        <v>479</v>
      </c>
      <c r="G233" t="s">
        <v>394</v>
      </c>
      <c r="H233" t="s">
        <v>391</v>
      </c>
      <c r="I233" t="s">
        <v>548</v>
      </c>
      <c r="J233" t="s">
        <v>488</v>
      </c>
      <c r="K233" t="s">
        <v>547</v>
      </c>
      <c r="L233" t="s">
        <v>544</v>
      </c>
      <c r="M233" t="s">
        <v>530</v>
      </c>
      <c r="N233" t="s">
        <v>589</v>
      </c>
      <c r="O233" t="s">
        <v>807</v>
      </c>
      <c r="P233" t="s">
        <v>508</v>
      </c>
      <c r="Q233">
        <v>0</v>
      </c>
      <c r="R233" t="s">
        <v>480</v>
      </c>
    </row>
    <row r="234" spans="1:18" x14ac:dyDescent="0.3">
      <c r="A234" t="s">
        <v>625</v>
      </c>
      <c r="B234" t="s">
        <v>483</v>
      </c>
      <c r="C234" t="s">
        <v>478</v>
      </c>
      <c r="D234" t="s">
        <v>508</v>
      </c>
      <c r="E234" t="s">
        <v>547</v>
      </c>
      <c r="F234" t="s">
        <v>479</v>
      </c>
      <c r="G234" t="s">
        <v>394</v>
      </c>
      <c r="H234" t="s">
        <v>391</v>
      </c>
      <c r="I234" t="s">
        <v>548</v>
      </c>
      <c r="J234" t="s">
        <v>488</v>
      </c>
      <c r="K234" t="s">
        <v>547</v>
      </c>
      <c r="L234" t="s">
        <v>544</v>
      </c>
      <c r="M234" t="s">
        <v>529</v>
      </c>
      <c r="N234" t="s">
        <v>589</v>
      </c>
      <c r="O234" t="s">
        <v>810</v>
      </c>
      <c r="P234" t="s">
        <v>508</v>
      </c>
      <c r="Q234">
        <v>0</v>
      </c>
      <c r="R234" t="s">
        <v>480</v>
      </c>
    </row>
    <row r="235" spans="1:18" x14ac:dyDescent="0.3">
      <c r="A235" t="s">
        <v>625</v>
      </c>
      <c r="B235" t="s">
        <v>483</v>
      </c>
      <c r="C235" t="s">
        <v>396</v>
      </c>
      <c r="D235" t="s">
        <v>508</v>
      </c>
      <c r="E235" t="s">
        <v>397</v>
      </c>
      <c r="F235" t="s">
        <v>479</v>
      </c>
      <c r="G235" t="s">
        <v>390</v>
      </c>
      <c r="H235" t="s">
        <v>391</v>
      </c>
      <c r="I235" t="s">
        <v>535</v>
      </c>
      <c r="J235" t="s">
        <v>398</v>
      </c>
      <c r="K235" t="s">
        <v>397</v>
      </c>
      <c r="L235" t="s">
        <v>536</v>
      </c>
      <c r="M235" t="s">
        <v>529</v>
      </c>
      <c r="N235" t="s">
        <v>589</v>
      </c>
      <c r="O235" t="s">
        <v>833</v>
      </c>
      <c r="P235" t="s">
        <v>508</v>
      </c>
      <c r="Q235">
        <v>0</v>
      </c>
      <c r="R235" t="s">
        <v>480</v>
      </c>
    </row>
    <row r="236" spans="1:18" x14ac:dyDescent="0.3">
      <c r="A236" t="s">
        <v>824</v>
      </c>
      <c r="B236" t="s">
        <v>483</v>
      </c>
      <c r="C236" t="s">
        <v>396</v>
      </c>
      <c r="D236" t="s">
        <v>508</v>
      </c>
      <c r="E236" t="s">
        <v>397</v>
      </c>
      <c r="F236" t="s">
        <v>479</v>
      </c>
      <c r="G236" t="s">
        <v>390</v>
      </c>
      <c r="H236" t="s">
        <v>391</v>
      </c>
      <c r="I236" t="s">
        <v>535</v>
      </c>
      <c r="J236" t="s">
        <v>398</v>
      </c>
      <c r="K236" t="s">
        <v>397</v>
      </c>
      <c r="L236" t="s">
        <v>536</v>
      </c>
      <c r="M236" t="s">
        <v>527</v>
      </c>
      <c r="N236" t="s">
        <v>528</v>
      </c>
      <c r="O236" t="s">
        <v>834</v>
      </c>
      <c r="P236" t="s">
        <v>508</v>
      </c>
      <c r="Q236">
        <v>0</v>
      </c>
      <c r="R236" t="s">
        <v>480</v>
      </c>
    </row>
    <row r="237" spans="1:18" x14ac:dyDescent="0.3">
      <c r="A237" t="s">
        <v>625</v>
      </c>
      <c r="B237" t="s">
        <v>483</v>
      </c>
      <c r="C237" t="s">
        <v>478</v>
      </c>
      <c r="D237" t="s">
        <v>508</v>
      </c>
      <c r="E237" t="s">
        <v>547</v>
      </c>
      <c r="F237" t="s">
        <v>479</v>
      </c>
      <c r="G237" t="s">
        <v>394</v>
      </c>
      <c r="H237" t="s">
        <v>391</v>
      </c>
      <c r="I237" t="s">
        <v>548</v>
      </c>
      <c r="J237" t="s">
        <v>488</v>
      </c>
      <c r="K237" t="s">
        <v>547</v>
      </c>
      <c r="L237" t="s">
        <v>544</v>
      </c>
      <c r="M237" t="s">
        <v>530</v>
      </c>
      <c r="N237" t="s">
        <v>589</v>
      </c>
      <c r="O237" t="s">
        <v>835</v>
      </c>
      <c r="P237" t="s">
        <v>508</v>
      </c>
      <c r="Q237">
        <v>0</v>
      </c>
      <c r="R237" t="s">
        <v>480</v>
      </c>
    </row>
    <row r="238" spans="1:18" x14ac:dyDescent="0.3">
      <c r="A238" t="s">
        <v>625</v>
      </c>
      <c r="B238" t="s">
        <v>483</v>
      </c>
      <c r="C238" t="s">
        <v>396</v>
      </c>
      <c r="D238" t="s">
        <v>508</v>
      </c>
      <c r="E238" t="s">
        <v>397</v>
      </c>
      <c r="F238" t="s">
        <v>479</v>
      </c>
      <c r="G238" t="s">
        <v>390</v>
      </c>
      <c r="H238" t="s">
        <v>391</v>
      </c>
      <c r="I238" t="s">
        <v>535</v>
      </c>
      <c r="J238" t="s">
        <v>398</v>
      </c>
      <c r="K238" t="s">
        <v>397</v>
      </c>
      <c r="L238" t="s">
        <v>536</v>
      </c>
      <c r="M238" t="s">
        <v>672</v>
      </c>
      <c r="N238" t="s">
        <v>589</v>
      </c>
      <c r="O238" t="s">
        <v>836</v>
      </c>
      <c r="P238" t="s">
        <v>508</v>
      </c>
      <c r="Q238">
        <v>0</v>
      </c>
      <c r="R238" t="s">
        <v>480</v>
      </c>
    </row>
    <row r="239" spans="1:18" x14ac:dyDescent="0.3">
      <c r="A239" t="s">
        <v>824</v>
      </c>
      <c r="B239" t="s">
        <v>483</v>
      </c>
      <c r="C239" t="s">
        <v>396</v>
      </c>
      <c r="D239" t="s">
        <v>508</v>
      </c>
      <c r="E239" t="s">
        <v>397</v>
      </c>
      <c r="F239" t="s">
        <v>479</v>
      </c>
      <c r="G239" t="s">
        <v>390</v>
      </c>
      <c r="H239" t="s">
        <v>391</v>
      </c>
      <c r="I239" t="s">
        <v>535</v>
      </c>
      <c r="J239" t="s">
        <v>398</v>
      </c>
      <c r="K239" t="s">
        <v>397</v>
      </c>
      <c r="L239" t="s">
        <v>536</v>
      </c>
      <c r="M239" t="s">
        <v>527</v>
      </c>
      <c r="N239" t="s">
        <v>528</v>
      </c>
      <c r="O239" t="s">
        <v>837</v>
      </c>
      <c r="P239" t="s">
        <v>508</v>
      </c>
      <c r="Q239">
        <v>0</v>
      </c>
      <c r="R239" t="s">
        <v>480</v>
      </c>
    </row>
    <row r="240" spans="1:18" x14ac:dyDescent="0.3">
      <c r="A240" t="s">
        <v>824</v>
      </c>
      <c r="B240" t="s">
        <v>483</v>
      </c>
      <c r="C240" t="s">
        <v>396</v>
      </c>
      <c r="D240" t="s">
        <v>508</v>
      </c>
      <c r="E240" t="s">
        <v>397</v>
      </c>
      <c r="F240" t="s">
        <v>479</v>
      </c>
      <c r="G240" t="s">
        <v>390</v>
      </c>
      <c r="H240" t="s">
        <v>391</v>
      </c>
      <c r="I240" t="s">
        <v>535</v>
      </c>
      <c r="J240" t="s">
        <v>398</v>
      </c>
      <c r="K240" t="s">
        <v>397</v>
      </c>
      <c r="L240" t="s">
        <v>536</v>
      </c>
      <c r="M240" t="s">
        <v>527</v>
      </c>
      <c r="N240" t="s">
        <v>528</v>
      </c>
      <c r="O240" t="s">
        <v>838</v>
      </c>
      <c r="P240" t="s">
        <v>508</v>
      </c>
      <c r="Q240">
        <v>0</v>
      </c>
      <c r="R240" t="s">
        <v>480</v>
      </c>
    </row>
    <row r="241" spans="1:18" x14ac:dyDescent="0.3">
      <c r="A241" t="s">
        <v>824</v>
      </c>
      <c r="B241" t="s">
        <v>483</v>
      </c>
      <c r="C241" t="s">
        <v>396</v>
      </c>
      <c r="D241" t="s">
        <v>508</v>
      </c>
      <c r="E241" t="s">
        <v>397</v>
      </c>
      <c r="F241" t="s">
        <v>479</v>
      </c>
      <c r="G241" t="s">
        <v>390</v>
      </c>
      <c r="H241" t="s">
        <v>391</v>
      </c>
      <c r="I241" t="s">
        <v>535</v>
      </c>
      <c r="J241" t="s">
        <v>398</v>
      </c>
      <c r="K241" t="s">
        <v>397</v>
      </c>
      <c r="L241" t="s">
        <v>536</v>
      </c>
      <c r="M241" t="s">
        <v>529</v>
      </c>
      <c r="N241" t="s">
        <v>589</v>
      </c>
      <c r="O241" t="s">
        <v>839</v>
      </c>
      <c r="P241" t="s">
        <v>508</v>
      </c>
      <c r="Q241">
        <v>0</v>
      </c>
      <c r="R241" t="s">
        <v>480</v>
      </c>
    </row>
    <row r="242" spans="1:18" x14ac:dyDescent="0.3">
      <c r="A242" t="s">
        <v>824</v>
      </c>
      <c r="B242" t="s">
        <v>483</v>
      </c>
      <c r="C242" t="s">
        <v>396</v>
      </c>
      <c r="D242" t="s">
        <v>508</v>
      </c>
      <c r="E242" t="s">
        <v>397</v>
      </c>
      <c r="F242" t="s">
        <v>479</v>
      </c>
      <c r="G242" t="s">
        <v>390</v>
      </c>
      <c r="H242" t="s">
        <v>391</v>
      </c>
      <c r="I242" t="s">
        <v>535</v>
      </c>
      <c r="J242" t="s">
        <v>398</v>
      </c>
      <c r="K242" t="s">
        <v>397</v>
      </c>
      <c r="L242" t="s">
        <v>536</v>
      </c>
      <c r="M242" t="s">
        <v>527</v>
      </c>
      <c r="N242" t="s">
        <v>528</v>
      </c>
      <c r="O242" t="s">
        <v>843</v>
      </c>
      <c r="P242" t="s">
        <v>508</v>
      </c>
      <c r="Q242">
        <v>0</v>
      </c>
      <c r="R242" t="s">
        <v>480</v>
      </c>
    </row>
    <row r="243" spans="1:18" x14ac:dyDescent="0.3">
      <c r="A243" t="s">
        <v>824</v>
      </c>
      <c r="B243" t="s">
        <v>483</v>
      </c>
      <c r="C243" t="s">
        <v>478</v>
      </c>
      <c r="D243" t="s">
        <v>508</v>
      </c>
      <c r="E243" t="s">
        <v>547</v>
      </c>
      <c r="F243" t="s">
        <v>479</v>
      </c>
      <c r="G243" t="s">
        <v>394</v>
      </c>
      <c r="H243" t="s">
        <v>391</v>
      </c>
      <c r="I243" t="s">
        <v>548</v>
      </c>
      <c r="J243" t="s">
        <v>488</v>
      </c>
      <c r="K243" t="s">
        <v>547</v>
      </c>
      <c r="L243" t="s">
        <v>544</v>
      </c>
      <c r="M243" t="s">
        <v>529</v>
      </c>
      <c r="N243" t="s">
        <v>589</v>
      </c>
      <c r="O243" t="s">
        <v>844</v>
      </c>
      <c r="P243" t="s">
        <v>508</v>
      </c>
      <c r="Q243">
        <v>0</v>
      </c>
      <c r="R243" t="s">
        <v>480</v>
      </c>
    </row>
    <row r="244" spans="1:18" x14ac:dyDescent="0.3">
      <c r="A244" t="s">
        <v>824</v>
      </c>
      <c r="B244" t="s">
        <v>483</v>
      </c>
      <c r="C244" t="s">
        <v>478</v>
      </c>
      <c r="D244" t="s">
        <v>508</v>
      </c>
      <c r="E244" t="s">
        <v>547</v>
      </c>
      <c r="F244" t="s">
        <v>479</v>
      </c>
      <c r="G244" t="s">
        <v>394</v>
      </c>
      <c r="H244" t="s">
        <v>391</v>
      </c>
      <c r="I244" t="s">
        <v>548</v>
      </c>
      <c r="J244" t="s">
        <v>488</v>
      </c>
      <c r="K244" t="s">
        <v>547</v>
      </c>
      <c r="L244" t="s">
        <v>544</v>
      </c>
      <c r="M244" t="s">
        <v>530</v>
      </c>
      <c r="N244" t="s">
        <v>589</v>
      </c>
      <c r="O244" t="s">
        <v>845</v>
      </c>
      <c r="P244" t="s">
        <v>508</v>
      </c>
      <c r="Q244">
        <v>0</v>
      </c>
      <c r="R244" t="s">
        <v>480</v>
      </c>
    </row>
    <row r="245" spans="1:18" x14ac:dyDescent="0.3">
      <c r="A245" t="s">
        <v>824</v>
      </c>
      <c r="B245" t="s">
        <v>483</v>
      </c>
      <c r="C245" t="s">
        <v>396</v>
      </c>
      <c r="D245" t="s">
        <v>508</v>
      </c>
      <c r="E245" t="s">
        <v>397</v>
      </c>
      <c r="F245" t="s">
        <v>479</v>
      </c>
      <c r="G245" t="s">
        <v>390</v>
      </c>
      <c r="H245" t="s">
        <v>391</v>
      </c>
      <c r="I245" t="s">
        <v>535</v>
      </c>
      <c r="J245" t="s">
        <v>398</v>
      </c>
      <c r="K245" t="s">
        <v>397</v>
      </c>
      <c r="L245" t="s">
        <v>536</v>
      </c>
      <c r="M245" t="s">
        <v>527</v>
      </c>
      <c r="N245" t="s">
        <v>528</v>
      </c>
      <c r="O245" t="s">
        <v>846</v>
      </c>
      <c r="P245" t="s">
        <v>508</v>
      </c>
      <c r="Q245">
        <v>0</v>
      </c>
      <c r="R245" t="s">
        <v>480</v>
      </c>
    </row>
    <row r="246" spans="1:18" x14ac:dyDescent="0.3">
      <c r="A246" t="s">
        <v>824</v>
      </c>
      <c r="B246" t="s">
        <v>483</v>
      </c>
      <c r="C246" t="s">
        <v>396</v>
      </c>
      <c r="D246" t="s">
        <v>508</v>
      </c>
      <c r="E246" t="s">
        <v>397</v>
      </c>
      <c r="F246" t="s">
        <v>479</v>
      </c>
      <c r="G246" t="s">
        <v>390</v>
      </c>
      <c r="H246" t="s">
        <v>391</v>
      </c>
      <c r="I246" t="s">
        <v>535</v>
      </c>
      <c r="J246" t="s">
        <v>398</v>
      </c>
      <c r="K246" t="s">
        <v>397</v>
      </c>
      <c r="L246" t="s">
        <v>536</v>
      </c>
      <c r="M246" t="s">
        <v>527</v>
      </c>
      <c r="N246" t="s">
        <v>528</v>
      </c>
      <c r="O246" t="s">
        <v>847</v>
      </c>
      <c r="P246" t="s">
        <v>508</v>
      </c>
      <c r="Q246">
        <v>0</v>
      </c>
      <c r="R246" t="s">
        <v>480</v>
      </c>
    </row>
    <row r="247" spans="1:18" x14ac:dyDescent="0.3">
      <c r="A247" t="s">
        <v>824</v>
      </c>
      <c r="B247" t="s">
        <v>483</v>
      </c>
      <c r="C247" t="s">
        <v>396</v>
      </c>
      <c r="D247" t="s">
        <v>508</v>
      </c>
      <c r="E247" t="s">
        <v>397</v>
      </c>
      <c r="F247" t="s">
        <v>479</v>
      </c>
      <c r="G247" t="s">
        <v>390</v>
      </c>
      <c r="H247" t="s">
        <v>391</v>
      </c>
      <c r="I247" t="s">
        <v>535</v>
      </c>
      <c r="J247" t="s">
        <v>398</v>
      </c>
      <c r="K247" t="s">
        <v>397</v>
      </c>
      <c r="L247" t="s">
        <v>536</v>
      </c>
      <c r="M247" t="s">
        <v>529</v>
      </c>
      <c r="N247" t="s">
        <v>528</v>
      </c>
      <c r="O247" t="s">
        <v>848</v>
      </c>
      <c r="P247" t="s">
        <v>508</v>
      </c>
      <c r="Q247">
        <v>0</v>
      </c>
      <c r="R247" t="s">
        <v>480</v>
      </c>
    </row>
    <row r="248" spans="1:18" x14ac:dyDescent="0.3">
      <c r="A248" t="s">
        <v>824</v>
      </c>
      <c r="B248" t="s">
        <v>483</v>
      </c>
      <c r="C248" t="s">
        <v>396</v>
      </c>
      <c r="D248" t="s">
        <v>508</v>
      </c>
      <c r="E248" t="s">
        <v>397</v>
      </c>
      <c r="F248" t="s">
        <v>479</v>
      </c>
      <c r="G248" t="s">
        <v>390</v>
      </c>
      <c r="H248" t="s">
        <v>391</v>
      </c>
      <c r="I248" t="s">
        <v>535</v>
      </c>
      <c r="J248" t="s">
        <v>398</v>
      </c>
      <c r="K248" t="s">
        <v>397</v>
      </c>
      <c r="L248" t="s">
        <v>536</v>
      </c>
      <c r="M248" t="s">
        <v>527</v>
      </c>
      <c r="N248" t="s">
        <v>528</v>
      </c>
      <c r="O248" t="s">
        <v>849</v>
      </c>
      <c r="P248" t="s">
        <v>508</v>
      </c>
      <c r="Q248">
        <v>0</v>
      </c>
      <c r="R248" t="s">
        <v>480</v>
      </c>
    </row>
    <row r="249" spans="1:18" x14ac:dyDescent="0.3">
      <c r="A249" t="s">
        <v>824</v>
      </c>
      <c r="B249" t="s">
        <v>483</v>
      </c>
      <c r="C249" t="s">
        <v>396</v>
      </c>
      <c r="D249" t="s">
        <v>508</v>
      </c>
      <c r="E249" t="s">
        <v>397</v>
      </c>
      <c r="F249" t="s">
        <v>479</v>
      </c>
      <c r="G249" t="s">
        <v>390</v>
      </c>
      <c r="H249" t="s">
        <v>391</v>
      </c>
      <c r="I249" t="s">
        <v>535</v>
      </c>
      <c r="J249" t="s">
        <v>398</v>
      </c>
      <c r="K249" t="s">
        <v>397</v>
      </c>
      <c r="L249" t="s">
        <v>536</v>
      </c>
      <c r="M249" t="s">
        <v>527</v>
      </c>
      <c r="N249" t="s">
        <v>528</v>
      </c>
      <c r="O249" t="s">
        <v>850</v>
      </c>
      <c r="P249" t="s">
        <v>508</v>
      </c>
      <c r="Q249">
        <v>0</v>
      </c>
      <c r="R249" t="s">
        <v>480</v>
      </c>
    </row>
    <row r="250" spans="1:18" x14ac:dyDescent="0.3">
      <c r="A250" t="s">
        <v>824</v>
      </c>
      <c r="B250" t="s">
        <v>483</v>
      </c>
      <c r="C250" t="s">
        <v>396</v>
      </c>
      <c r="D250" t="s">
        <v>508</v>
      </c>
      <c r="E250" t="s">
        <v>397</v>
      </c>
      <c r="F250" t="s">
        <v>479</v>
      </c>
      <c r="G250" t="s">
        <v>390</v>
      </c>
      <c r="H250" t="s">
        <v>391</v>
      </c>
      <c r="I250" t="s">
        <v>535</v>
      </c>
      <c r="J250" t="s">
        <v>398</v>
      </c>
      <c r="K250" t="s">
        <v>397</v>
      </c>
      <c r="L250" t="s">
        <v>536</v>
      </c>
      <c r="M250" t="s">
        <v>529</v>
      </c>
      <c r="N250" t="s">
        <v>589</v>
      </c>
      <c r="O250" t="s">
        <v>851</v>
      </c>
      <c r="P250" t="s">
        <v>508</v>
      </c>
      <c r="Q250">
        <v>0</v>
      </c>
      <c r="R250" t="s">
        <v>480</v>
      </c>
    </row>
    <row r="251" spans="1:18" x14ac:dyDescent="0.3">
      <c r="A251" t="s">
        <v>824</v>
      </c>
      <c r="B251" t="s">
        <v>483</v>
      </c>
      <c r="C251" t="s">
        <v>478</v>
      </c>
      <c r="D251" t="s">
        <v>508</v>
      </c>
      <c r="E251" t="s">
        <v>547</v>
      </c>
      <c r="F251" t="s">
        <v>479</v>
      </c>
      <c r="G251" t="s">
        <v>394</v>
      </c>
      <c r="H251" t="s">
        <v>391</v>
      </c>
      <c r="I251" t="s">
        <v>548</v>
      </c>
      <c r="J251" t="s">
        <v>488</v>
      </c>
      <c r="K251" t="s">
        <v>547</v>
      </c>
      <c r="L251" t="s">
        <v>544</v>
      </c>
      <c r="M251" t="s">
        <v>530</v>
      </c>
      <c r="N251" t="s">
        <v>528</v>
      </c>
      <c r="O251" t="s">
        <v>860</v>
      </c>
      <c r="P251" t="s">
        <v>508</v>
      </c>
      <c r="Q251">
        <v>0</v>
      </c>
      <c r="R251" t="s">
        <v>480</v>
      </c>
    </row>
    <row r="252" spans="1:18" x14ac:dyDescent="0.3">
      <c r="A252" t="s">
        <v>824</v>
      </c>
      <c r="B252" t="s">
        <v>483</v>
      </c>
      <c r="C252" t="s">
        <v>396</v>
      </c>
      <c r="D252" t="s">
        <v>508</v>
      </c>
      <c r="E252" t="s">
        <v>397</v>
      </c>
      <c r="F252" t="s">
        <v>479</v>
      </c>
      <c r="G252" t="s">
        <v>390</v>
      </c>
      <c r="H252" t="s">
        <v>391</v>
      </c>
      <c r="I252" t="s">
        <v>535</v>
      </c>
      <c r="J252" t="s">
        <v>398</v>
      </c>
      <c r="K252" t="s">
        <v>397</v>
      </c>
      <c r="L252" t="s">
        <v>536</v>
      </c>
      <c r="M252" t="s">
        <v>529</v>
      </c>
      <c r="N252" t="s">
        <v>528</v>
      </c>
      <c r="O252" t="s">
        <v>861</v>
      </c>
      <c r="P252" t="s">
        <v>508</v>
      </c>
      <c r="Q252">
        <v>0</v>
      </c>
      <c r="R252" t="s">
        <v>480</v>
      </c>
    </row>
    <row r="253" spans="1:18" x14ac:dyDescent="0.3">
      <c r="A253" t="s">
        <v>824</v>
      </c>
      <c r="B253" t="s">
        <v>483</v>
      </c>
      <c r="C253" t="s">
        <v>396</v>
      </c>
      <c r="D253" t="s">
        <v>508</v>
      </c>
      <c r="E253" t="s">
        <v>397</v>
      </c>
      <c r="F253" t="s">
        <v>479</v>
      </c>
      <c r="G253" t="s">
        <v>390</v>
      </c>
      <c r="H253" t="s">
        <v>391</v>
      </c>
      <c r="I253" t="s">
        <v>535</v>
      </c>
      <c r="J253" t="s">
        <v>398</v>
      </c>
      <c r="K253" t="s">
        <v>397</v>
      </c>
      <c r="L253" t="s">
        <v>536</v>
      </c>
      <c r="M253" t="s">
        <v>529</v>
      </c>
      <c r="N253" t="s">
        <v>528</v>
      </c>
      <c r="O253" t="s">
        <v>862</v>
      </c>
      <c r="P253" t="s">
        <v>508</v>
      </c>
      <c r="Q253">
        <v>0</v>
      </c>
      <c r="R253" t="s">
        <v>480</v>
      </c>
    </row>
    <row r="254" spans="1:18" x14ac:dyDescent="0.3">
      <c r="A254" t="s">
        <v>824</v>
      </c>
      <c r="B254" t="s">
        <v>483</v>
      </c>
      <c r="C254" t="s">
        <v>396</v>
      </c>
      <c r="D254" t="s">
        <v>508</v>
      </c>
      <c r="E254" t="s">
        <v>397</v>
      </c>
      <c r="F254" t="s">
        <v>479</v>
      </c>
      <c r="G254" t="s">
        <v>390</v>
      </c>
      <c r="H254" t="s">
        <v>391</v>
      </c>
      <c r="I254" t="s">
        <v>535</v>
      </c>
      <c r="J254" t="s">
        <v>398</v>
      </c>
      <c r="K254" t="s">
        <v>397</v>
      </c>
      <c r="L254" t="s">
        <v>536</v>
      </c>
      <c r="M254" t="s">
        <v>529</v>
      </c>
      <c r="N254" t="s">
        <v>528</v>
      </c>
      <c r="O254" t="s">
        <v>863</v>
      </c>
      <c r="P254" t="s">
        <v>508</v>
      </c>
      <c r="Q254">
        <v>0</v>
      </c>
      <c r="R254" t="s">
        <v>480</v>
      </c>
    </row>
    <row r="255" spans="1:18" x14ac:dyDescent="0.3">
      <c r="A255" t="s">
        <v>824</v>
      </c>
      <c r="B255" t="s">
        <v>483</v>
      </c>
      <c r="C255" t="s">
        <v>396</v>
      </c>
      <c r="D255" t="s">
        <v>508</v>
      </c>
      <c r="E255" t="s">
        <v>397</v>
      </c>
      <c r="F255" t="s">
        <v>479</v>
      </c>
      <c r="G255" t="s">
        <v>390</v>
      </c>
      <c r="H255" t="s">
        <v>391</v>
      </c>
      <c r="I255" t="s">
        <v>535</v>
      </c>
      <c r="J255" t="s">
        <v>398</v>
      </c>
      <c r="K255" t="s">
        <v>397</v>
      </c>
      <c r="L255" t="s">
        <v>536</v>
      </c>
      <c r="M255" t="s">
        <v>527</v>
      </c>
      <c r="N255" t="s">
        <v>528</v>
      </c>
      <c r="O255" t="s">
        <v>864</v>
      </c>
      <c r="P255" t="s">
        <v>508</v>
      </c>
      <c r="Q255">
        <v>0</v>
      </c>
      <c r="R255" t="s">
        <v>480</v>
      </c>
    </row>
    <row r="256" spans="1:18" x14ac:dyDescent="0.3">
      <c r="A256" t="s">
        <v>562</v>
      </c>
      <c r="B256" t="s">
        <v>678</v>
      </c>
      <c r="C256" t="s">
        <v>396</v>
      </c>
      <c r="D256" t="s">
        <v>508</v>
      </c>
      <c r="E256" t="s">
        <v>397</v>
      </c>
      <c r="F256" t="s">
        <v>479</v>
      </c>
      <c r="G256" t="s">
        <v>390</v>
      </c>
      <c r="H256" t="s">
        <v>391</v>
      </c>
      <c r="I256" t="s">
        <v>535</v>
      </c>
      <c r="J256" t="s">
        <v>398</v>
      </c>
      <c r="K256" t="s">
        <v>397</v>
      </c>
      <c r="L256" t="s">
        <v>536</v>
      </c>
      <c r="M256" t="s">
        <v>527</v>
      </c>
      <c r="N256" t="s">
        <v>528</v>
      </c>
      <c r="O256" t="s">
        <v>679</v>
      </c>
      <c r="P256" t="s">
        <v>508</v>
      </c>
      <c r="Q256">
        <v>0</v>
      </c>
      <c r="R256" t="s">
        <v>680</v>
      </c>
    </row>
    <row r="257" spans="1:18" x14ac:dyDescent="0.3">
      <c r="A257" t="s">
        <v>562</v>
      </c>
      <c r="B257" t="s">
        <v>678</v>
      </c>
      <c r="C257" t="s">
        <v>396</v>
      </c>
      <c r="D257" t="s">
        <v>508</v>
      </c>
      <c r="E257" t="s">
        <v>397</v>
      </c>
      <c r="F257" t="s">
        <v>479</v>
      </c>
      <c r="G257" t="s">
        <v>390</v>
      </c>
      <c r="H257" t="s">
        <v>391</v>
      </c>
      <c r="I257" t="s">
        <v>535</v>
      </c>
      <c r="J257" t="s">
        <v>398</v>
      </c>
      <c r="K257" t="s">
        <v>397</v>
      </c>
      <c r="L257" t="s">
        <v>536</v>
      </c>
      <c r="M257" t="s">
        <v>672</v>
      </c>
      <c r="N257" t="s">
        <v>528</v>
      </c>
      <c r="O257" t="s">
        <v>681</v>
      </c>
      <c r="P257" t="s">
        <v>508</v>
      </c>
      <c r="Q257">
        <v>0</v>
      </c>
      <c r="R257" t="s">
        <v>680</v>
      </c>
    </row>
    <row r="258" spans="1:18" x14ac:dyDescent="0.3">
      <c r="A258" t="s">
        <v>562</v>
      </c>
      <c r="B258" t="s">
        <v>678</v>
      </c>
      <c r="C258" t="s">
        <v>396</v>
      </c>
      <c r="D258" t="s">
        <v>508</v>
      </c>
      <c r="E258" t="s">
        <v>397</v>
      </c>
      <c r="F258" t="s">
        <v>479</v>
      </c>
      <c r="G258" t="s">
        <v>390</v>
      </c>
      <c r="H258" t="s">
        <v>391</v>
      </c>
      <c r="I258" t="s">
        <v>535</v>
      </c>
      <c r="J258" t="s">
        <v>398</v>
      </c>
      <c r="K258" t="s">
        <v>397</v>
      </c>
      <c r="L258" t="s">
        <v>536</v>
      </c>
      <c r="M258" t="s">
        <v>527</v>
      </c>
      <c r="N258" t="s">
        <v>528</v>
      </c>
      <c r="O258" t="s">
        <v>682</v>
      </c>
      <c r="P258" t="s">
        <v>508</v>
      </c>
      <c r="Q258">
        <v>0</v>
      </c>
      <c r="R258" t="s">
        <v>680</v>
      </c>
    </row>
    <row r="259" spans="1:18" x14ac:dyDescent="0.3">
      <c r="A259" t="s">
        <v>562</v>
      </c>
      <c r="B259" t="s">
        <v>683</v>
      </c>
      <c r="C259" t="s">
        <v>478</v>
      </c>
      <c r="D259" t="s">
        <v>508</v>
      </c>
      <c r="E259" t="s">
        <v>493</v>
      </c>
      <c r="F259" t="s">
        <v>479</v>
      </c>
      <c r="G259" t="s">
        <v>394</v>
      </c>
      <c r="H259" t="s">
        <v>391</v>
      </c>
      <c r="I259" t="s">
        <v>512</v>
      </c>
      <c r="J259" t="s">
        <v>488</v>
      </c>
      <c r="K259" t="s">
        <v>493</v>
      </c>
      <c r="L259" t="s">
        <v>509</v>
      </c>
      <c r="M259" t="s">
        <v>531</v>
      </c>
      <c r="N259" t="s">
        <v>528</v>
      </c>
      <c r="O259" t="s">
        <v>684</v>
      </c>
      <c r="P259" t="s">
        <v>508</v>
      </c>
      <c r="Q259">
        <v>0</v>
      </c>
      <c r="R259" t="s">
        <v>811</v>
      </c>
    </row>
    <row r="260" spans="1:18" x14ac:dyDescent="0.3">
      <c r="A260" t="s">
        <v>562</v>
      </c>
      <c r="B260" t="s">
        <v>678</v>
      </c>
      <c r="C260" t="s">
        <v>396</v>
      </c>
      <c r="D260" t="s">
        <v>508</v>
      </c>
      <c r="E260" t="s">
        <v>397</v>
      </c>
      <c r="F260" t="s">
        <v>479</v>
      </c>
      <c r="G260" t="s">
        <v>390</v>
      </c>
      <c r="H260" t="s">
        <v>391</v>
      </c>
      <c r="I260" t="s">
        <v>535</v>
      </c>
      <c r="J260" t="s">
        <v>398</v>
      </c>
      <c r="K260" t="s">
        <v>397</v>
      </c>
      <c r="L260" t="s">
        <v>536</v>
      </c>
      <c r="M260" t="s">
        <v>527</v>
      </c>
      <c r="N260" t="s">
        <v>528</v>
      </c>
      <c r="O260" t="s">
        <v>685</v>
      </c>
      <c r="P260" t="s">
        <v>508</v>
      </c>
      <c r="Q260">
        <v>0</v>
      </c>
      <c r="R260" t="s">
        <v>680</v>
      </c>
    </row>
    <row r="261" spans="1:18" x14ac:dyDescent="0.3">
      <c r="A261" t="s">
        <v>562</v>
      </c>
      <c r="B261" t="s">
        <v>678</v>
      </c>
      <c r="C261" t="s">
        <v>396</v>
      </c>
      <c r="D261" t="s">
        <v>508</v>
      </c>
      <c r="E261" t="s">
        <v>397</v>
      </c>
      <c r="F261" t="s">
        <v>479</v>
      </c>
      <c r="G261" t="s">
        <v>390</v>
      </c>
      <c r="H261" t="s">
        <v>391</v>
      </c>
      <c r="I261" t="s">
        <v>535</v>
      </c>
      <c r="J261" t="s">
        <v>398</v>
      </c>
      <c r="K261" t="s">
        <v>397</v>
      </c>
      <c r="L261" t="s">
        <v>536</v>
      </c>
      <c r="M261" t="s">
        <v>527</v>
      </c>
      <c r="N261" t="s">
        <v>528</v>
      </c>
      <c r="O261" t="s">
        <v>686</v>
      </c>
      <c r="P261" t="s">
        <v>508</v>
      </c>
      <c r="Q261">
        <v>0</v>
      </c>
      <c r="R261" t="s">
        <v>680</v>
      </c>
    </row>
    <row r="262" spans="1:18" x14ac:dyDescent="0.3">
      <c r="A262" t="s">
        <v>562</v>
      </c>
      <c r="B262" t="s">
        <v>678</v>
      </c>
      <c r="C262" t="s">
        <v>396</v>
      </c>
      <c r="D262" t="s">
        <v>508</v>
      </c>
      <c r="E262" t="s">
        <v>397</v>
      </c>
      <c r="F262" t="s">
        <v>479</v>
      </c>
      <c r="G262" t="s">
        <v>390</v>
      </c>
      <c r="H262" t="s">
        <v>391</v>
      </c>
      <c r="I262" t="s">
        <v>535</v>
      </c>
      <c r="J262" t="s">
        <v>398</v>
      </c>
      <c r="K262" t="s">
        <v>397</v>
      </c>
      <c r="L262" t="s">
        <v>536</v>
      </c>
      <c r="M262" t="s">
        <v>672</v>
      </c>
      <c r="N262" t="s">
        <v>528</v>
      </c>
      <c r="O262" t="s">
        <v>687</v>
      </c>
      <c r="P262" t="s">
        <v>508</v>
      </c>
      <c r="Q262">
        <v>0</v>
      </c>
      <c r="R262" t="s">
        <v>680</v>
      </c>
    </row>
    <row r="263" spans="1:18" x14ac:dyDescent="0.3">
      <c r="A263" t="s">
        <v>562</v>
      </c>
      <c r="B263" t="s">
        <v>678</v>
      </c>
      <c r="C263" t="s">
        <v>396</v>
      </c>
      <c r="D263" t="s">
        <v>508</v>
      </c>
      <c r="E263" t="s">
        <v>397</v>
      </c>
      <c r="F263" t="s">
        <v>479</v>
      </c>
      <c r="G263" t="s">
        <v>390</v>
      </c>
      <c r="H263" t="s">
        <v>391</v>
      </c>
      <c r="I263" t="s">
        <v>535</v>
      </c>
      <c r="J263" t="s">
        <v>398</v>
      </c>
      <c r="K263" t="s">
        <v>397</v>
      </c>
      <c r="L263" t="s">
        <v>536</v>
      </c>
      <c r="M263" t="s">
        <v>527</v>
      </c>
      <c r="N263" t="s">
        <v>528</v>
      </c>
      <c r="O263" t="s">
        <v>688</v>
      </c>
      <c r="P263" t="s">
        <v>508</v>
      </c>
      <c r="Q263">
        <v>0</v>
      </c>
      <c r="R263" t="s">
        <v>680</v>
      </c>
    </row>
    <row r="264" spans="1:18" x14ac:dyDescent="0.3">
      <c r="A264" t="s">
        <v>562</v>
      </c>
      <c r="B264" t="s">
        <v>683</v>
      </c>
      <c r="C264" t="s">
        <v>478</v>
      </c>
      <c r="D264" t="s">
        <v>508</v>
      </c>
      <c r="E264" t="s">
        <v>493</v>
      </c>
      <c r="F264" t="s">
        <v>479</v>
      </c>
      <c r="G264" t="s">
        <v>394</v>
      </c>
      <c r="H264" t="s">
        <v>391</v>
      </c>
      <c r="I264" t="s">
        <v>512</v>
      </c>
      <c r="J264" t="s">
        <v>488</v>
      </c>
      <c r="K264" t="s">
        <v>493</v>
      </c>
      <c r="L264" t="s">
        <v>509</v>
      </c>
      <c r="M264" t="s">
        <v>530</v>
      </c>
      <c r="N264" t="s">
        <v>528</v>
      </c>
      <c r="O264" t="s">
        <v>689</v>
      </c>
      <c r="P264" t="s">
        <v>508</v>
      </c>
      <c r="Q264">
        <v>0</v>
      </c>
      <c r="R264" t="s">
        <v>811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11"/>
  <sheetViews>
    <sheetView tabSelected="1" zoomScale="70" zoomScaleNormal="70" workbookViewId="0">
      <selection activeCell="P1" sqref="P1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539</v>
      </c>
      <c r="C1" s="31"/>
      <c r="N1" s="102"/>
      <c r="O1" s="32"/>
      <c r="S1" s="103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4" t="s">
        <v>504</v>
      </c>
      <c r="R3" s="104" t="s">
        <v>505</v>
      </c>
      <c r="S3" s="104" t="s">
        <v>506</v>
      </c>
      <c r="T3" s="104" t="s">
        <v>507</v>
      </c>
      <c r="U3" s="104">
        <v>64</v>
      </c>
      <c r="V3" s="105">
        <v>72</v>
      </c>
      <c r="W3" s="105">
        <v>88</v>
      </c>
      <c r="X3" s="105">
        <v>105</v>
      </c>
      <c r="Y3" s="105" t="s">
        <v>388</v>
      </c>
      <c r="Z3" s="73" t="s">
        <v>404</v>
      </c>
      <c r="AA3" s="74" t="s">
        <v>405</v>
      </c>
    </row>
    <row r="4" spans="1:31" ht="15.6" x14ac:dyDescent="0.3">
      <c r="A4" s="149" t="s">
        <v>449</v>
      </c>
      <c r="B4" s="149" t="s">
        <v>485</v>
      </c>
      <c r="C4" s="113" t="s">
        <v>478</v>
      </c>
      <c r="D4" s="113" t="s">
        <v>508</v>
      </c>
      <c r="E4" s="113" t="s">
        <v>450</v>
      </c>
      <c r="F4" s="113">
        <v>1</v>
      </c>
      <c r="G4" s="113" t="s">
        <v>394</v>
      </c>
      <c r="H4" s="113" t="s">
        <v>391</v>
      </c>
      <c r="I4" s="150" t="s">
        <v>495</v>
      </c>
      <c r="J4" s="113" t="s">
        <v>439</v>
      </c>
      <c r="K4" s="113" t="s">
        <v>450</v>
      </c>
      <c r="L4" s="113" t="s">
        <v>484</v>
      </c>
      <c r="M4" s="113" t="s">
        <v>393</v>
      </c>
      <c r="N4" s="113">
        <f>+Y4/80</f>
        <v>3</v>
      </c>
      <c r="O4" s="113"/>
      <c r="P4" s="113" t="s">
        <v>509</v>
      </c>
      <c r="Q4" s="151"/>
      <c r="R4" s="151"/>
      <c r="S4" s="151"/>
      <c r="T4" s="151"/>
      <c r="U4" s="152"/>
      <c r="V4" s="151">
        <f>2*80</f>
        <v>160</v>
      </c>
      <c r="W4" s="151"/>
      <c r="X4" s="151">
        <f>1*80</f>
        <v>80</v>
      </c>
      <c r="Y4" s="151">
        <f>SUM(Q4:X4)</f>
        <v>240</v>
      </c>
      <c r="Z4" s="153" t="s">
        <v>489</v>
      </c>
      <c r="AA4" s="113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3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1</v>
      </c>
      <c r="Y5" s="11"/>
      <c r="Z5" s="160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1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1</v>
      </c>
      <c r="Y6" s="11"/>
      <c r="Z6" s="160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62">
        <f>SUM(Q7:X7)</f>
        <v>0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60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62">
        <f>SUM(Q9:X9)</f>
        <v>2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2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9" t="s">
        <v>492</v>
      </c>
      <c r="B10" s="149" t="s">
        <v>485</v>
      </c>
      <c r="C10" s="113" t="s">
        <v>478</v>
      </c>
      <c r="D10" s="113" t="s">
        <v>508</v>
      </c>
      <c r="E10" s="113" t="s">
        <v>493</v>
      </c>
      <c r="F10" s="113">
        <v>1</v>
      </c>
      <c r="G10" s="113" t="s">
        <v>394</v>
      </c>
      <c r="H10" s="113" t="s">
        <v>391</v>
      </c>
      <c r="I10" s="150" t="s">
        <v>512</v>
      </c>
      <c r="J10" s="113" t="s">
        <v>488</v>
      </c>
      <c r="K10" s="113" t="s">
        <v>493</v>
      </c>
      <c r="L10" s="113" t="s">
        <v>392</v>
      </c>
      <c r="M10" s="113" t="s">
        <v>393</v>
      </c>
      <c r="N10" s="113">
        <f>+Y10/80</f>
        <v>4</v>
      </c>
      <c r="O10" s="113"/>
      <c r="P10" s="113" t="s">
        <v>509</v>
      </c>
      <c r="Q10" s="151"/>
      <c r="R10" s="151"/>
      <c r="S10" s="151"/>
      <c r="T10" s="151"/>
      <c r="U10" s="151"/>
      <c r="V10" s="151">
        <f>2*80</f>
        <v>160</v>
      </c>
      <c r="W10" s="151">
        <f>2*80</f>
        <v>160</v>
      </c>
      <c r="X10" s="113"/>
      <c r="Y10" s="151">
        <f>SUM(Q10:X10)</f>
        <v>320</v>
      </c>
      <c r="Z10" s="153" t="s">
        <v>489</v>
      </c>
      <c r="AA10" s="113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4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2</v>
      </c>
      <c r="X11" s="11">
        <f t="shared" si="3"/>
        <v>0</v>
      </c>
      <c r="Y11" s="11"/>
      <c r="Z11" s="160" t="s">
        <v>559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0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0</v>
      </c>
      <c r="X12" s="11">
        <f t="shared" si="4"/>
        <v>0</v>
      </c>
      <c r="Y12" s="11"/>
      <c r="Z12" s="160" t="s">
        <v>522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62">
        <f>SUM(Q13:X13)</f>
        <v>4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2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2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60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62">
        <f>SUM(Q15:X15)</f>
        <v>0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0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0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9"/>
      <c r="B16" s="149"/>
      <c r="C16" s="113" t="s">
        <v>478</v>
      </c>
      <c r="D16" s="113" t="s">
        <v>508</v>
      </c>
      <c r="E16" s="113" t="s">
        <v>493</v>
      </c>
      <c r="F16" s="113">
        <v>1</v>
      </c>
      <c r="G16" s="113" t="s">
        <v>394</v>
      </c>
      <c r="H16" s="113" t="s">
        <v>391</v>
      </c>
      <c r="I16" s="150" t="s">
        <v>514</v>
      </c>
      <c r="J16" s="113" t="s">
        <v>488</v>
      </c>
      <c r="K16" s="113" t="s">
        <v>493</v>
      </c>
      <c r="L16" s="113" t="s">
        <v>392</v>
      </c>
      <c r="M16" s="113" t="s">
        <v>393</v>
      </c>
      <c r="N16" s="113">
        <f>+Y16/80</f>
        <v>8</v>
      </c>
      <c r="O16" s="113"/>
      <c r="P16" s="113" t="s">
        <v>509</v>
      </c>
      <c r="Q16" s="151"/>
      <c r="R16" s="151"/>
      <c r="S16" s="151"/>
      <c r="T16" s="151"/>
      <c r="U16" s="151"/>
      <c r="V16" s="151">
        <f>3*80</f>
        <v>240</v>
      </c>
      <c r="W16" s="154">
        <f>1*80</f>
        <v>80</v>
      </c>
      <c r="X16" s="113">
        <f>4*80</f>
        <v>320</v>
      </c>
      <c r="Y16" s="151">
        <f>SUM(Q16:X16)</f>
        <v>640</v>
      </c>
      <c r="Z16" s="153" t="s">
        <v>489</v>
      </c>
      <c r="AA16" s="113"/>
      <c r="AE16" s="84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60" t="s">
        <v>559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60" t="s">
        <v>522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62">
        <f>SUM(Q19:X19)</f>
        <v>8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6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2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60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62">
        <f>SUM(Q21:X21)</f>
        <v>0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0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0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542</v>
      </c>
      <c r="B22" s="106" t="s">
        <v>485</v>
      </c>
      <c r="C22" s="107" t="s">
        <v>478</v>
      </c>
      <c r="D22" s="107" t="s">
        <v>508</v>
      </c>
      <c r="E22" s="107" t="s">
        <v>543</v>
      </c>
      <c r="F22" s="107">
        <v>1</v>
      </c>
      <c r="G22" s="107" t="s">
        <v>394</v>
      </c>
      <c r="H22" s="107" t="s">
        <v>391</v>
      </c>
      <c r="I22" s="109"/>
      <c r="J22" s="107" t="s">
        <v>488</v>
      </c>
      <c r="K22" s="107" t="s">
        <v>543</v>
      </c>
      <c r="L22" s="107" t="s">
        <v>392</v>
      </c>
      <c r="M22" s="107" t="s">
        <v>393</v>
      </c>
      <c r="N22" s="107">
        <f>+Y22/80</f>
        <v>20</v>
      </c>
      <c r="O22" s="62"/>
      <c r="P22" s="62" t="s">
        <v>544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60" t="s">
        <v>560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13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8</v>
      </c>
      <c r="X24" s="11">
        <f t="shared" si="10"/>
        <v>5</v>
      </c>
      <c r="Y24" s="11"/>
      <c r="Z24" s="160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62">
        <f>SUM(Q25:X25)</f>
        <v>7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4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3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62">
        <f>SUM(Q27:X27)</f>
        <v>0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0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0</v>
      </c>
      <c r="Y27" s="11"/>
      <c r="Z27" s="11"/>
      <c r="AA27" s="11">
        <v>80</v>
      </c>
    </row>
    <row r="28" spans="1:27" ht="15.6" x14ac:dyDescent="0.3">
      <c r="A28" s="155" t="s">
        <v>546</v>
      </c>
      <c r="B28" s="155" t="s">
        <v>485</v>
      </c>
      <c r="C28" s="156" t="s">
        <v>478</v>
      </c>
      <c r="D28" s="156" t="s">
        <v>508</v>
      </c>
      <c r="E28" s="156" t="s">
        <v>547</v>
      </c>
      <c r="F28" s="156">
        <v>1</v>
      </c>
      <c r="G28" s="156" t="s">
        <v>394</v>
      </c>
      <c r="H28" s="156" t="s">
        <v>391</v>
      </c>
      <c r="I28" s="157" t="s">
        <v>548</v>
      </c>
      <c r="J28" s="156" t="s">
        <v>488</v>
      </c>
      <c r="K28" s="156" t="s">
        <v>547</v>
      </c>
      <c r="L28" s="156" t="s">
        <v>392</v>
      </c>
      <c r="M28" s="156" t="s">
        <v>393</v>
      </c>
      <c r="N28" s="156">
        <f>+Y28/80</f>
        <v>20</v>
      </c>
      <c r="O28" s="156"/>
      <c r="P28" s="156" t="s">
        <v>544</v>
      </c>
      <c r="Q28" s="158"/>
      <c r="R28" s="158"/>
      <c r="S28" s="158"/>
      <c r="T28" s="158"/>
      <c r="U28" s="158">
        <f>8*80</f>
        <v>640</v>
      </c>
      <c r="V28" s="158">
        <f>12*80</f>
        <v>960</v>
      </c>
      <c r="W28" s="158"/>
      <c r="X28" s="158"/>
      <c r="Y28" s="158">
        <f>SUM(Q28:X28)</f>
        <v>1600</v>
      </c>
      <c r="Z28" s="159" t="s">
        <v>489</v>
      </c>
      <c r="AA28" s="156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60" t="s">
        <v>560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0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0</v>
      </c>
      <c r="W30" s="11">
        <f t="shared" si="13"/>
        <v>0</v>
      </c>
      <c r="X30" s="11">
        <f t="shared" si="13"/>
        <v>0</v>
      </c>
      <c r="Y30" s="11"/>
      <c r="Z30" s="160" t="s">
        <v>550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62">
        <f>SUM(Q31:X31)</f>
        <v>20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8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12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60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31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62">
        <f>SUM(Q33:X33)</f>
        <v>0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0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0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31" ht="15.6" x14ac:dyDescent="0.3">
      <c r="A34" s="64" t="s">
        <v>449</v>
      </c>
      <c r="B34" s="106" t="s">
        <v>485</v>
      </c>
      <c r="C34" s="107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8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544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31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60" t="s">
        <v>560</v>
      </c>
      <c r="AA35" s="11"/>
    </row>
    <row r="36" spans="1:31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20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15</v>
      </c>
      <c r="W36" s="11">
        <f t="shared" si="16"/>
        <v>5</v>
      </c>
      <c r="X36" s="11">
        <f t="shared" si="16"/>
        <v>0</v>
      </c>
      <c r="Y36" s="11"/>
      <c r="Z36" s="160" t="s">
        <v>511</v>
      </c>
      <c r="AA36" s="11"/>
    </row>
    <row r="37" spans="1:31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62">
        <f>SUM(Q37:X37)</f>
        <v>0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60"/>
      <c r="AA37" s="11"/>
    </row>
    <row r="38" spans="1:31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31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62">
        <f>SUM(Q39:X39)</f>
        <v>0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31" ht="15.6" x14ac:dyDescent="0.3">
      <c r="A40" s="64" t="s">
        <v>492</v>
      </c>
      <c r="B40" s="106" t="s">
        <v>485</v>
      </c>
      <c r="C40" s="107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9" t="s">
        <v>551</v>
      </c>
      <c r="J40" s="107" t="s">
        <v>488</v>
      </c>
      <c r="K40" s="107" t="s">
        <v>493</v>
      </c>
      <c r="L40" s="107" t="s">
        <v>392</v>
      </c>
      <c r="M40" s="107" t="s">
        <v>393</v>
      </c>
      <c r="N40" s="62">
        <f>+Y40/80</f>
        <v>20</v>
      </c>
      <c r="O40" s="62"/>
      <c r="P40" s="62" t="s">
        <v>544</v>
      </c>
      <c r="Q40" s="63"/>
      <c r="R40" s="63"/>
      <c r="S40" s="63"/>
      <c r="T40" s="63"/>
      <c r="U40" s="63"/>
      <c r="V40" s="63">
        <f>10*80</f>
        <v>800</v>
      </c>
      <c r="W40" s="63">
        <f>10*80</f>
        <v>800</v>
      </c>
      <c r="X40" s="62"/>
      <c r="Y40" s="63">
        <f>SUM(Q40:X40)</f>
        <v>1600</v>
      </c>
      <c r="Z40" s="65" t="s">
        <v>489</v>
      </c>
      <c r="AA40" s="62" t="s">
        <v>482</v>
      </c>
    </row>
    <row r="41" spans="1:31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10</v>
      </c>
      <c r="W41" s="11">
        <f t="shared" si="18"/>
        <v>10</v>
      </c>
      <c r="X41" s="11">
        <f t="shared" si="18"/>
        <v>0</v>
      </c>
      <c r="Y41" s="11"/>
      <c r="Z41" s="160" t="s">
        <v>521</v>
      </c>
      <c r="AA41" s="11"/>
    </row>
    <row r="42" spans="1:31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20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10</v>
      </c>
      <c r="W42" s="11">
        <f t="shared" si="19"/>
        <v>10</v>
      </c>
      <c r="X42" s="11">
        <f t="shared" si="19"/>
        <v>0</v>
      </c>
      <c r="Y42" s="11"/>
      <c r="Z42" s="160" t="s">
        <v>522</v>
      </c>
      <c r="AA42" s="11"/>
    </row>
    <row r="43" spans="1:31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62">
        <f>SUM(Q43:X43)</f>
        <v>0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60"/>
      <c r="AA43" s="11"/>
    </row>
    <row r="44" spans="1:31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31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62">
        <f>SUM(Q45:X45)</f>
        <v>0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31" ht="15.6" x14ac:dyDescent="0.3">
      <c r="A46" s="64"/>
      <c r="B46" s="106"/>
      <c r="C46" s="107" t="s">
        <v>478</v>
      </c>
      <c r="D46" s="62" t="s">
        <v>508</v>
      </c>
      <c r="E46" s="62" t="s">
        <v>493</v>
      </c>
      <c r="F46" s="62">
        <v>1</v>
      </c>
      <c r="G46" s="62" t="s">
        <v>394</v>
      </c>
      <c r="H46" s="62" t="s">
        <v>391</v>
      </c>
      <c r="I46" s="109" t="s">
        <v>552</v>
      </c>
      <c r="J46" s="107" t="s">
        <v>488</v>
      </c>
      <c r="K46" s="107" t="s">
        <v>493</v>
      </c>
      <c r="L46" s="107" t="s">
        <v>392</v>
      </c>
      <c r="M46" s="107" t="s">
        <v>393</v>
      </c>
      <c r="N46" s="62">
        <f>+Y46/80</f>
        <v>20</v>
      </c>
      <c r="O46" s="62"/>
      <c r="P46" s="62" t="s">
        <v>544</v>
      </c>
      <c r="Q46" s="63"/>
      <c r="R46" s="63"/>
      <c r="S46" s="63"/>
      <c r="T46" s="63"/>
      <c r="U46" s="63"/>
      <c r="V46" s="63">
        <f>8*80</f>
        <v>640</v>
      </c>
      <c r="W46" s="63">
        <f>7*80</f>
        <v>560</v>
      </c>
      <c r="X46" s="62">
        <f>5*80</f>
        <v>400</v>
      </c>
      <c r="Y46" s="63">
        <f>SUM(Q46:X46)</f>
        <v>1600</v>
      </c>
      <c r="Z46" s="65" t="s">
        <v>489</v>
      </c>
      <c r="AA46" s="62"/>
      <c r="AE46" s="84"/>
    </row>
    <row r="47" spans="1:31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20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0</v>
      </c>
      <c r="V47" s="11">
        <f t="shared" si="21"/>
        <v>8</v>
      </c>
      <c r="W47" s="11">
        <f t="shared" si="21"/>
        <v>7</v>
      </c>
      <c r="X47" s="11">
        <f t="shared" si="21"/>
        <v>5</v>
      </c>
      <c r="Y47" s="11"/>
      <c r="Z47" s="160" t="s">
        <v>521</v>
      </c>
      <c r="AA47" s="11"/>
    </row>
    <row r="48" spans="1:31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20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8</v>
      </c>
      <c r="W48" s="11">
        <f t="shared" si="22"/>
        <v>7</v>
      </c>
      <c r="X48" s="11">
        <f t="shared" si="22"/>
        <v>5</v>
      </c>
      <c r="Y48" s="11"/>
      <c r="Z48" s="160" t="s">
        <v>522</v>
      </c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62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IF(NOT(ISBLANK(U46)),COUNTIFS(Data!$C:$C,$C46,Data!$P:$P,"VAL",Data!$E:$E,$E46,Data!$F:$F,$F46,Data!$I:$I,IF(ISBLANK($I46),"",$I46),Data!$J:$J,$J46,Data!$K:$K,$K46,Data!$R:$R,"",Data!$L:$L,IF(ISBLANK($P46),"",$P46),Data!$G:$G,"MAHEL",Data!$H:$H,"A15C",Data!$M:$M,64),0)-U51</f>
        <v>0</v>
      </c>
      <c r="V49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IF(NOT(ISBLANK(V46)),COUNTIFS(Data!$C:$C,$C46,Data!$P:$P,"VAL",Data!$E:$E,$E46,Data!$F:$F,$F46,Data!$I:$I,IF(ISBLANK($I46),"",$I46),Data!$J:$J,$J46,Data!$K:$K,$K46,Data!$R:$R,"",Data!$L:$L,IF(ISBLANK($P46),"",$P46),Data!$G:$G,"MAHEL",Data!$H:$H,"A15C",Data!$M:$M,72),0)-V51</f>
        <v>0</v>
      </c>
      <c r="W49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IF(NOT(ISBLANK(W46)),COUNTIFS(Data!$C:$C,$C46,Data!$P:$P,"VAL",Data!$E:$E,$E46,Data!$F:$F,$F46,Data!$I:$I,IF(ISBLANK($I46),"",$I46),Data!$J:$J,$J46,Data!$K:$K,$K46,Data!$R:$R,"",Data!$L:$L,IF(ISBLANK($P46),"",$P46),Data!$G:$G,"MAHEL",Data!$H:$H,"A15C",Data!$M:$M,88),0)-W51</f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60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 t="shared" ref="Q50:X50" si="23">IF(Q48&lt;0,-Q48,IF((Q49+Q51)-Q47&gt;0,(Q49+Q51)-Q47,0))</f>
        <v>0</v>
      </c>
      <c r="R50" s="11">
        <f t="shared" si="23"/>
        <v>0</v>
      </c>
      <c r="S50" s="11">
        <f t="shared" si="23"/>
        <v>0</v>
      </c>
      <c r="T50" s="11">
        <f t="shared" si="23"/>
        <v>0</v>
      </c>
      <c r="U50" s="11">
        <f t="shared" si="23"/>
        <v>0</v>
      </c>
      <c r="V50" s="11">
        <f t="shared" si="23"/>
        <v>0</v>
      </c>
      <c r="W50" s="11">
        <f t="shared" si="23"/>
        <v>0</v>
      </c>
      <c r="X50" s="11">
        <f t="shared" si="23"/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62">
        <f>SUM(Q51:X51)</f>
        <v>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IF(NOT(ISBLANK(U46)),COUNTIFS(Data!$C:$C,$C46,Data!$P:$P,"VAL",Data!$E:$E,$E46,Data!$F:$F,$F46,Data!$I:$I,IF(ISBLANK($I46),"",$I46),Data!$J:$J,$J46,Data!$K:$K,$K46,Data!$R:$R,"",Data!$L:$L,IF(ISBLANK($P46),"",$P46),Data!$G:$G,"MAHEL",Data!$H:$H,"A15C",Data!$M:$M,64, Data!$Q:$Q,1),0)</f>
        <v>0</v>
      </c>
      <c r="V51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IF(NOT(ISBLANK(V46)),COUNTIFS(Data!$C:$C,$C46,Data!$P:$P,"VAL",Data!$E:$E,$E46,Data!$F:$F,$F46,Data!$I:$I,IF(ISBLANK($I46),"",$I46),Data!$J:$J,$J46,Data!$K:$K,$K46,Data!$R:$R,"",Data!$L:$L,IF(ISBLANK($P46),"",$P46),Data!$G:$G,"MAHEL",Data!$H:$H,"A15C",Data!$M:$M,72, Data!$Q:$Q,1),0)</f>
        <v>0</v>
      </c>
      <c r="W51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IF(NOT(ISBLANK(W46)),COUNTIFS(Data!$C:$C,$C46,Data!$P:$P,"VAL",Data!$E:$E,$E46,Data!$F:$F,$F46,Data!$I:$I,IF(ISBLANK($I46),"",$I46),Data!$J:$J,$J46,Data!$K:$K,$K46,Data!$R:$R,"",Data!$L:$L,IF(ISBLANK($P46),"",$P46),Data!$G:$G,"MAHEL",Data!$H:$H,"A15C",Data!$M:$M,88, Data!$Q:$Q,1),0)</f>
        <v>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 t="s">
        <v>486</v>
      </c>
      <c r="B52" s="106" t="s">
        <v>485</v>
      </c>
      <c r="C52" s="107" t="s">
        <v>478</v>
      </c>
      <c r="D52" s="62" t="s">
        <v>508</v>
      </c>
      <c r="E52" s="62" t="s">
        <v>487</v>
      </c>
      <c r="F52" s="62">
        <v>1</v>
      </c>
      <c r="G52" s="62" t="s">
        <v>394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50</v>
      </c>
      <c r="O52" s="62"/>
      <c r="P52" s="62" t="s">
        <v>553</v>
      </c>
      <c r="Q52" s="64"/>
      <c r="R52" s="64"/>
      <c r="S52" s="64"/>
      <c r="T52" s="63"/>
      <c r="U52" s="63">
        <f>10*80</f>
        <v>800</v>
      </c>
      <c r="V52" s="63">
        <f>20*80</f>
        <v>1600</v>
      </c>
      <c r="W52" s="63">
        <f>20*80</f>
        <v>1600</v>
      </c>
      <c r="X52" s="63"/>
      <c r="Y52" s="63">
        <f>SUM(Q52:X52)</f>
        <v>4000</v>
      </c>
      <c r="Z52" s="110" t="s">
        <v>489</v>
      </c>
      <c r="AA52" s="107" t="s">
        <v>482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50</v>
      </c>
      <c r="Q53" s="11">
        <f t="shared" ref="Q53:X53" si="24">IFERROR(Q52/80,0)</f>
        <v>0</v>
      </c>
      <c r="R53" s="11">
        <f t="shared" si="24"/>
        <v>0</v>
      </c>
      <c r="S53" s="11">
        <f t="shared" si="24"/>
        <v>0</v>
      </c>
      <c r="T53" s="11">
        <f t="shared" si="24"/>
        <v>0</v>
      </c>
      <c r="U53" s="11">
        <f t="shared" si="24"/>
        <v>10</v>
      </c>
      <c r="V53" s="11">
        <f t="shared" si="24"/>
        <v>20</v>
      </c>
      <c r="W53" s="11">
        <f t="shared" si="24"/>
        <v>20</v>
      </c>
      <c r="X53" s="11">
        <f t="shared" si="24"/>
        <v>0</v>
      </c>
      <c r="Y53" s="11"/>
      <c r="Z53" s="160" t="s">
        <v>561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5">IFERROR(Q53-(Q55+Q57),0)</f>
        <v>0</v>
      </c>
      <c r="R54" s="11">
        <f t="shared" si="25"/>
        <v>0</v>
      </c>
      <c r="S54" s="11">
        <f t="shared" si="25"/>
        <v>0</v>
      </c>
      <c r="T54" s="11">
        <f t="shared" si="25"/>
        <v>0</v>
      </c>
      <c r="U54" s="11">
        <f t="shared" si="25"/>
        <v>0</v>
      </c>
      <c r="V54" s="11">
        <f t="shared" si="25"/>
        <v>-9</v>
      </c>
      <c r="W54" s="11">
        <f t="shared" si="25"/>
        <v>9</v>
      </c>
      <c r="X54" s="11">
        <f t="shared" si="25"/>
        <v>0</v>
      </c>
      <c r="Y54" s="11"/>
      <c r="Z54" s="160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62">
        <f>SUM(Q55:X55)</f>
        <v>13</v>
      </c>
      <c r="Q55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IF(NOT(ISBLANK(T52)),COUNTIFS(Data!$C:$C,$C52,Data!$P:$P,"VAL",Data!$E:$E,$E52,Data!$F:$F,$F52,Data!$I:$I,IF(ISBLANK($I52),"",$I52),Data!$J:$J,$J52,Data!$K:$K,$K52,Data!$R:$R,"",Data!$L:$L,IF(ISBLANK($P52),"",$P52),Data!$G:$G,"MAHEL",Data!$H:$H,"A15C",Data!$M:$M,56),0)-T57</f>
        <v>0</v>
      </c>
      <c r="U55" s="57">
        <v>0</v>
      </c>
      <c r="V55" s="57">
        <v>12</v>
      </c>
      <c r="W55" s="57">
        <v>1</v>
      </c>
      <c r="X55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IF(NOT(ISBLANK(X52)),COUNTIFS(Data!$C:$C,$C52,Data!$P:$P,"VAL",Data!$E:$E,$E52,Data!$F:$F,$F52,Data!$I:$I,IF(ISBLANK($I52),"",$I52),Data!$J:$J,$J52,Data!$K:$K,$K52,Data!$R:$R,"",Data!$L:$L,IF(ISBLANK($P52),"",$P52),Data!$G:$G,"MAHEL",Data!$H:$H,"A15C",Data!$M:$M,105),0)-X57</f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>IF(($P55+$P57)&gt;$P53,IF((Q55+Q57)-Q53&gt;0,(Q55+Q57)-Q53,0),0)</f>
        <v>0</v>
      </c>
      <c r="R56" s="11">
        <f>IF(($P55+$P57)&gt;$P53,IF((R55+R57)-R53&gt;0,(R55+R57)-R53,0),0)</f>
        <v>0</v>
      </c>
      <c r="S56" s="11">
        <f>IF(($P55+$P57)&gt;$P53,IF((S55+S57)-S53&gt;0,(S55+S57)-S53,0),0)</f>
        <v>0</v>
      </c>
      <c r="T56" s="11">
        <f>IF(($P55+$P57)&gt;$P53,IF((T55+T57)-T53&gt;0,(T55+T57)-T53,0),0)</f>
        <v>0</v>
      </c>
      <c r="U56" s="11">
        <f>IF(U54&lt;0,-U54,IF((U55+U57)-U53&gt;0,(U55+U57)-U53,0))</f>
        <v>0</v>
      </c>
      <c r="V56" s="11">
        <f>IF(($P55+$P57)&gt;$P53,IF((V55+V57)-V53&gt;0,(V55+V57)-V53,0),0)</f>
        <v>0</v>
      </c>
      <c r="W56" s="11">
        <f>IF(($P55+$P57)&gt;$P53,IF((W55+W57)-W53&gt;0,(W55+W57)-W53,0),0)</f>
        <v>0</v>
      </c>
      <c r="X56" s="11">
        <f>IF(($P55+$P57)&gt;$P53,IF((X55+X57)-X53&gt;0,(X55+X57)-X53,0),0)</f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62">
        <f>SUM(Q57:X57)</f>
        <v>37</v>
      </c>
      <c r="Q57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IF(NOT(ISBLANK(U52)),COUNTIFS(Data!$C:$C,$C52,Data!$P:$P,"VAL",Data!$E:$E,$E52,Data!$F:$F,$F52,Data!$I:$I,IF(ISBLANK($I52),"",$I52),Data!$J:$J,$J52,Data!$K:$K,$K52,Data!$R:$R,"",Data!$L:$L,IF(ISBLANK($P52),"",$P52),Data!$G:$G,"MAHEL",Data!$H:$H,"A15C",Data!$M:$M,64, Data!$Q:$Q,1),0)</f>
        <v>10</v>
      </c>
      <c r="V57" s="57">
        <f>IF(NOT(ISBLANK(V52)),COUNTIFS(Data!$C:$C,$C52,Data!$P:$P,"VAL",Data!$E:$E,$E52,Data!$F:$F,$F52,Data!$I:$I,IF(ISBLANK($I52),"",$I52),Data!$J:$J,$J52,Data!$K:$K,$K52,Data!$R:$R,"",Data!$L:$L,IF(ISBLANK($P52),"",$P52),Data!$G:$G,"MAHEL",Data!$H:$H,"A15C",Data!$M:$M,72, Data!$Q:$Q,1),0)</f>
        <v>17</v>
      </c>
      <c r="W57" s="57">
        <f>IF(NOT(ISBLANK(W52)),COUNTIFS(Data!$C:$C,$C52,Data!$P:$P,"VAL",Data!$E:$E,$E52,Data!$F:$F,$F52,Data!$I:$I,IF(ISBLANK($I52),"",$I52),Data!$J:$J,$J52,Data!$K:$K,$K52,Data!$R:$R,"",Data!$L:$L,IF(ISBLANK($P52),"",$P52),Data!$G:$G,"MAHEL",Data!$H:$H,"A15C",Data!$M:$M,88, Data!$Q:$Q,1),0)</f>
        <v>10</v>
      </c>
      <c r="X57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IF(NOT(ISBLANK(X52)),COUNTIFS(Data!$C:$C,$C52,Data!$P:$P,"VAL",Data!$E:$E,$E52,Data!$F:$F,$F52,Data!$I:$I,IF(ISBLANK($I52),"",$I52),Data!$J:$J,$J52,Data!$K:$K,$K52,Data!$R:$R,"",Data!$L:$L,IF(ISBLANK($P52),"",$P52),Data!$G:$G,"MAHEL",Data!$H:$H,"A15C",Data!$M:$M,105, Data!$Q:$Q,1),0)</f>
        <v>0</v>
      </c>
      <c r="Y57" s="11"/>
      <c r="Z57" s="11"/>
      <c r="AA57" s="11">
        <v>80</v>
      </c>
    </row>
    <row r="58" spans="1:27" ht="15.6" x14ac:dyDescent="0.3">
      <c r="A58" s="64"/>
      <c r="B58" s="106" t="s">
        <v>389</v>
      </c>
      <c r="C58" s="107" t="s">
        <v>396</v>
      </c>
      <c r="D58" s="62" t="s">
        <v>508</v>
      </c>
      <c r="E58" s="62" t="s">
        <v>487</v>
      </c>
      <c r="F58" s="62">
        <v>1</v>
      </c>
      <c r="G58" s="62" t="s">
        <v>390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536</v>
      </c>
      <c r="Q58" s="64"/>
      <c r="R58" s="64"/>
      <c r="S58" s="64"/>
      <c r="T58" s="63"/>
      <c r="U58" s="66"/>
      <c r="V58" s="63">
        <f>10*80</f>
        <v>800</v>
      </c>
      <c r="W58" s="63">
        <f>10*80</f>
        <v>800</v>
      </c>
      <c r="X58" s="63">
        <f>10*80</f>
        <v>800</v>
      </c>
      <c r="Y58" s="63">
        <f>SUM(Q58:X58)</f>
        <v>2400</v>
      </c>
      <c r="Z58" s="110" t="s">
        <v>490</v>
      </c>
      <c r="AA58" s="107" t="s">
        <v>406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10</v>
      </c>
      <c r="W59" s="11">
        <f t="shared" si="26"/>
        <v>10</v>
      </c>
      <c r="X59" s="11">
        <f t="shared" si="26"/>
        <v>10</v>
      </c>
      <c r="Y59" s="11"/>
      <c r="Z59" s="160" t="s">
        <v>523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0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6</v>
      </c>
      <c r="W60" s="11">
        <f t="shared" si="27"/>
        <v>9</v>
      </c>
      <c r="X60" s="11">
        <f t="shared" si="27"/>
        <v>-15</v>
      </c>
      <c r="Y60" s="11"/>
      <c r="Z60" s="160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62">
        <f>SUM(Q61:X61)</f>
        <v>24</v>
      </c>
      <c r="Q61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IF(NOT(ISBLANK(U58)),COUNTIFS(Data!$C:$C,$C58,Data!$P:$P,"VAL",Data!$E:$E,$E58,Data!$F:$F,$F58,Data!$I:$I,IF(ISBLANK($I58),"",$I58),Data!$J:$J,$J58,Data!$K:$K,$K58,Data!$R:$R,"",Data!$L:$L,IF(ISBLANK($P58),"",$P58),Data!$G:$G,"ZF",Data!$H:$H,"A15C",Data!$M:$M,64),0)-U63</f>
        <v>0</v>
      </c>
      <c r="V61" s="57">
        <v>4</v>
      </c>
      <c r="W61" s="57">
        <v>1</v>
      </c>
      <c r="X61" s="57">
        <v>19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62">
        <f>SUM(Q63:X63)</f>
        <v>6</v>
      </c>
      <c r="Q63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IF(NOT(ISBLANK(U58)),COUNTIFS(Data!$C:$C,$C58,Data!$P:$P,"VAL",Data!$E:$E,$E58,Data!$F:$F,$F58,Data!$I:$I,IF(ISBLANK($I58),"",$I58),Data!$J:$J,$J58,Data!$K:$K,$K58,Data!$R:$R,"",Data!$L:$L,IF(ISBLANK($P58),"",$P58),Data!$G:$G,"ZF",Data!$H:$H,"A15C",Data!$M:$M,64, Data!$Q:$Q,1),0)</f>
        <v>0</v>
      </c>
      <c r="V63" s="57">
        <f>IF(NOT(ISBLANK(V58)),COUNTIFS(Data!$C:$C,$C58,Data!$P:$P,"VAL",Data!$E:$E,$E58,Data!$F:$F,$F58,Data!$I:$I,IF(ISBLANK($I58),"",$I58),Data!$J:$J,$J58,Data!$K:$K,$K58,Data!$R:$R,"",Data!$L:$L,IF(ISBLANK($P58),"",$P58),Data!$G:$G,"ZF",Data!$H:$H,"A15C",Data!$M:$M,72, Data!$Q:$Q,1),0)</f>
        <v>0</v>
      </c>
      <c r="W63" s="57">
        <f>IF(NOT(ISBLANK(W58)),COUNTIFS(Data!$C:$C,$C58,Data!$P:$P,"VAL",Data!$E:$E,$E58,Data!$F:$F,$F58,Data!$I:$I,IF(ISBLANK($I58),"",$I58),Data!$J:$J,$J58,Data!$K:$K,$K58,Data!$R:$R,"",Data!$L:$L,IF(ISBLANK($P58),"",$P58),Data!$G:$G,"ZF",Data!$H:$H,"A15C",Data!$M:$M,88, Data!$Q:$Q,1),0)</f>
        <v>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IF(NOT(ISBLANK(X58)),COUNTIFS(Data!$C:$C,$C58,Data!$P:$P,"VAL",Data!$E:$E,$E58,Data!$F:$F,$F58,Data!$I:$I,IF(ISBLANK($I58),"",$I58),Data!$J:$J,$J58,Data!$K:$K,$K58,Data!$R:$R,"",Data!$L:$L,IF(ISBLANK($P58),"",$P58),Data!$G:$G,"ZF",Data!$H:$H,"A15C",Data!$M:$M,105, Data!$Q:$Q,1),0)</f>
        <v>6</v>
      </c>
      <c r="Y63" s="11"/>
      <c r="Z63" s="11"/>
      <c r="AA63" s="11">
        <v>80</v>
      </c>
    </row>
    <row r="64" spans="1:27" ht="15.6" x14ac:dyDescent="0.3">
      <c r="A64" s="64"/>
      <c r="B64" s="106" t="s">
        <v>485</v>
      </c>
      <c r="C64" s="107" t="s">
        <v>478</v>
      </c>
      <c r="D64" s="62" t="s">
        <v>508</v>
      </c>
      <c r="E64" s="62" t="s">
        <v>487</v>
      </c>
      <c r="F64" s="62">
        <v>1</v>
      </c>
      <c r="G64" s="62" t="s">
        <v>411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30</v>
      </c>
      <c r="O64" s="62"/>
      <c r="P64" s="62" t="s">
        <v>544</v>
      </c>
      <c r="Q64" s="64"/>
      <c r="R64" s="64"/>
      <c r="S64" s="64"/>
      <c r="T64" s="63"/>
      <c r="U64" s="63"/>
      <c r="V64" s="63">
        <f>20*80</f>
        <v>1600</v>
      </c>
      <c r="W64" s="63">
        <f>10*80</f>
        <v>800</v>
      </c>
      <c r="X64" s="63"/>
      <c r="Y64" s="63">
        <f>SUM(Q64:X64)</f>
        <v>2400</v>
      </c>
      <c r="Z64" s="110" t="s">
        <v>489</v>
      </c>
      <c r="AA64" s="107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30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0</v>
      </c>
      <c r="V65" s="11">
        <f t="shared" si="29"/>
        <v>20</v>
      </c>
      <c r="W65" s="11">
        <f t="shared" si="29"/>
        <v>10</v>
      </c>
      <c r="X65" s="11">
        <f t="shared" si="29"/>
        <v>0</v>
      </c>
      <c r="Y65" s="11"/>
      <c r="Z65" s="160" t="s">
        <v>524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3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1</v>
      </c>
      <c r="W66" s="11">
        <f t="shared" si="30"/>
        <v>2</v>
      </c>
      <c r="X66" s="11">
        <f t="shared" si="30"/>
        <v>0</v>
      </c>
      <c r="Y66" s="11"/>
      <c r="Z66" s="160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62">
        <f>SUM(Q67:X67)</f>
        <v>27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IF(NOT(ISBLANK(U64)),COUNTIFS(Data!$C:$C,$C64,Data!$P:$P,"VAL",Data!$E:$E,$E64,Data!$F:$F,$F64,Data!$I:$I,IF(ISBLANK($I64),"",$I64),Data!$J:$J,$J64,Data!$K:$K,$K64,Data!$R:$R,"",Data!$L:$L,IF(ISBLANK($P64),"",$P64),Data!$G:$G,"MALA",Data!$H:$H,"A15C",Data!$M:$M,64),0)-U69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IF(NOT(ISBLANK(V64)),COUNTIFS(Data!$C:$C,$C64,Data!$P:$P,"VAL",Data!$E:$E,$E64,Data!$F:$F,$F64,Data!$I:$I,IF(ISBLANK($I64),"",$I64),Data!$J:$J,$J64,Data!$K:$K,$K64,Data!$R:$R,"",Data!$L:$L,IF(ISBLANK($P64),"",$P64),Data!$G:$G,"MALA",Data!$H:$H,"A15C",Data!$M:$M,72),0)-V69</f>
        <v>19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IF(NOT(ISBLANK(W64)),COUNTIFS(Data!$C:$C,$C64,Data!$P:$P,"VAL",Data!$E:$E,$E64,Data!$F:$F,$F64,Data!$I:$I,IF(ISBLANK($I64),"",$I64),Data!$J:$J,$J64,Data!$K:$K,$K64,Data!$R:$R,"",Data!$L:$L,IF(ISBLANK($P64),"",$P64),Data!$G:$G,"MALA",Data!$H:$H,"A15C",Data!$M:$M,88),0)-W69</f>
        <v>8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 t="shared" ref="Q68:W68" si="31">IF(($P67+$P69)&gt;$P65,IF((Q67+Q69)-Q65&gt;0,(Q67+Q69)-Q65,0),0)</f>
        <v>0</v>
      </c>
      <c r="R68" s="11">
        <f t="shared" si="31"/>
        <v>0</v>
      </c>
      <c r="S68" s="11">
        <f t="shared" si="31"/>
        <v>0</v>
      </c>
      <c r="T68" s="11">
        <f t="shared" si="31"/>
        <v>0</v>
      </c>
      <c r="U68" s="11">
        <f t="shared" si="31"/>
        <v>0</v>
      </c>
      <c r="V68" s="11">
        <f t="shared" si="31"/>
        <v>0</v>
      </c>
      <c r="W68" s="11">
        <f t="shared" si="31"/>
        <v>0</v>
      </c>
      <c r="X68" s="11">
        <f>IF(X66&lt;0,-X66,IF((X67+X69)-X65&gt;0,(X67+X69)-X65,0))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62">
        <f>SUM(Q69:X69)</f>
        <v>0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IF(NOT(ISBLANK(U64)),COUNTIFS(Data!$C:$C,$C64,Data!$P:$P,"VAL",Data!$E:$E,$E64,Data!$F:$F,$F64,Data!$I:$I,IF(ISBLANK($I64),"",$I64),Data!$J:$J,$J64,Data!$K:$K,$K64,Data!$R:$R,"",Data!$L:$L,IF(ISBLANK($P64),"",$P64),Data!$G:$G,"MALA",Data!$H:$H,"A15C",Data!$M:$M,64, Data!$Q:$Q,1),0)</f>
        <v>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IF(NOT(ISBLANK(V64)),COUNTIFS(Data!$C:$C,$C64,Data!$P:$P,"VAL",Data!$E:$E,$E64,Data!$F:$F,$F64,Data!$I:$I,IF(ISBLANK($I64),"",$I64),Data!$J:$J,$J64,Data!$K:$K,$K64,Data!$R:$R,"",Data!$L:$L,IF(ISBLANK($P64),"",$P64),Data!$G:$G,"MALA",Data!$H:$H,"A15C",Data!$M:$M,72, Data!$Q:$Q,1),0)</f>
        <v>0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IF(NOT(ISBLANK(W64)),COUNTIFS(Data!$C:$C,$C64,Data!$P:$P,"VAL",Data!$E:$E,$E64,Data!$F:$F,$F64,Data!$I:$I,IF(ISBLANK($I64),"",$I64),Data!$J:$J,$J64,Data!$K:$K,$K64,Data!$R:$R,"",Data!$L:$L,IF(ISBLANK($P64),"",$P64),Data!$G:$G,"MALA",Data!$H:$H,"A15C",Data!$M:$M,88, Data!$Q:$Q,1),0)</f>
        <v>0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 t="s">
        <v>486</v>
      </c>
      <c r="B70" s="106" t="s">
        <v>485</v>
      </c>
      <c r="C70" s="107" t="s">
        <v>478</v>
      </c>
      <c r="D70" s="62" t="s">
        <v>508</v>
      </c>
      <c r="E70" s="62" t="s">
        <v>487</v>
      </c>
      <c r="F70" s="62">
        <v>1</v>
      </c>
      <c r="G70" s="62" t="s">
        <v>394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50</v>
      </c>
      <c r="O70" s="62"/>
      <c r="P70" s="62" t="s">
        <v>553</v>
      </c>
      <c r="Q70" s="64"/>
      <c r="R70" s="64"/>
      <c r="S70" s="64"/>
      <c r="T70" s="63"/>
      <c r="U70" s="63">
        <f>10*80</f>
        <v>800</v>
      </c>
      <c r="V70" s="63">
        <f>20*80</f>
        <v>1600</v>
      </c>
      <c r="W70" s="63">
        <f>20*80</f>
        <v>1600</v>
      </c>
      <c r="X70" s="63"/>
      <c r="Y70" s="63">
        <f>SUM(Q70:X70)</f>
        <v>4000</v>
      </c>
      <c r="Z70" s="110" t="s">
        <v>489</v>
      </c>
      <c r="AA70" s="107" t="s">
        <v>482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50</v>
      </c>
      <c r="Q71" s="11">
        <f t="shared" ref="Q71:X71" si="32">IFERROR(Q70/80,0)</f>
        <v>0</v>
      </c>
      <c r="R71" s="11">
        <f t="shared" si="32"/>
        <v>0</v>
      </c>
      <c r="S71" s="11">
        <f t="shared" si="32"/>
        <v>0</v>
      </c>
      <c r="T71" s="11">
        <f t="shared" si="32"/>
        <v>0</v>
      </c>
      <c r="U71" s="11">
        <f t="shared" si="32"/>
        <v>10</v>
      </c>
      <c r="V71" s="11">
        <f t="shared" si="32"/>
        <v>20</v>
      </c>
      <c r="W71" s="11">
        <f t="shared" si="32"/>
        <v>20</v>
      </c>
      <c r="X71" s="11">
        <f t="shared" si="32"/>
        <v>0</v>
      </c>
      <c r="Y71" s="11"/>
      <c r="Z71" s="160" t="s">
        <v>561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18</v>
      </c>
      <c r="Q72" s="11">
        <f t="shared" ref="Q72:X72" si="33">IFERROR(Q71-(Q73+Q75),0)</f>
        <v>0</v>
      </c>
      <c r="R72" s="11">
        <f t="shared" si="33"/>
        <v>0</v>
      </c>
      <c r="S72" s="11">
        <f t="shared" si="33"/>
        <v>0</v>
      </c>
      <c r="T72" s="11">
        <f t="shared" si="33"/>
        <v>0</v>
      </c>
      <c r="U72" s="11">
        <f t="shared" si="33"/>
        <v>0</v>
      </c>
      <c r="V72" s="11">
        <f t="shared" si="33"/>
        <v>9</v>
      </c>
      <c r="W72" s="11">
        <f t="shared" si="33"/>
        <v>9</v>
      </c>
      <c r="X72" s="11">
        <f t="shared" si="33"/>
        <v>0</v>
      </c>
      <c r="Y72" s="11"/>
      <c r="Z72" s="160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62">
        <f>SUM(Q73:X73)</f>
        <v>32</v>
      </c>
      <c r="Q73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64),0)-U75-U55-U57</f>
        <v>10</v>
      </c>
      <c r="V73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72),0)-V75-V55-V57</f>
        <v>11</v>
      </c>
      <c r="W73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88),0)-W75-W55-W57</f>
        <v>11</v>
      </c>
      <c r="X73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IF(NOT(ISBLANK(X70)),COUNTIFS(Data!$C:$C,$C70,Data!$P:$P,"VAL",Data!$E:$E,$E70,Data!$F:$F,$F70,Data!$I:$I,IF(ISBLANK($I70),"",$I70),Data!$J:$J,$J70,Data!$K:$K,$K70,Data!$R:$R,"",Data!$L:$L,IF(ISBLANK($P70),"",$P70),Data!$G:$G,"MAHEL",Data!$H:$H,"A15C",Data!$M:$M,105),0)-X75</f>
        <v>0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>IF(($P73+$P75)&gt;$P71,IF((Q73+Q75)-Q71&gt;0,(Q73+Q75)-Q71,0),0)</f>
        <v>0</v>
      </c>
      <c r="R74" s="11">
        <f>IF(($P73+$P75)&gt;$P71,IF((R73+R75)-R71&gt;0,(R73+R75)-R71,0),0)</f>
        <v>0</v>
      </c>
      <c r="S74" s="11">
        <f>IF(($P73+$P75)&gt;$P71,IF((S73+S75)-S71&gt;0,(S73+S75)-S71,0),0)</f>
        <v>0</v>
      </c>
      <c r="T74" s="11">
        <f>IF(($P73+$P75)&gt;$P71,IF((T73+T75)-T71&gt;0,(T73+T75)-T71,0),0)</f>
        <v>0</v>
      </c>
      <c r="U74" s="11">
        <f>IF(U72&lt;0,-U72,IF((U73+U75)-U71&gt;0,(U73+U75)-U71,0))</f>
        <v>0</v>
      </c>
      <c r="V74" s="11">
        <f>IF(($P73+$P75)&gt;$P71,IF((V73+V75)-V71&gt;0,(V73+V75)-V71,0),0)</f>
        <v>0</v>
      </c>
      <c r="W74" s="11">
        <f>IF(($P73+$P75)&gt;$P71,IF((W73+W75)-W71&gt;0,(W73+W75)-W71,0),0)</f>
        <v>0</v>
      </c>
      <c r="X74" s="11">
        <f>IF(($P73+$P75)&gt;$P71,IF((X73+X75)-X71&gt;0,(X73+X75)-X71,0),0)</f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62">
        <f>SUM(Q75:X75)</f>
        <v>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IF(NOT(ISBLANK(U70)),COUNTIFS(Data!$C:$C,$C70,Data!$P:$P,"VAL",Data!$E:$E,$E70,Data!$F:$F,$F70,Data!$I:$I,IF(ISBLANK($I70),"",$I70),Data!$J:$J,$J70,Data!$K:$K,$K70,Data!$R:$R,"",Data!$L:$L,IF(ISBLANK($P70),"",$P70),Data!$G:$G,"MAHEL",Data!$H:$H,"A15C",Data!$M:$M,64, Data!$Q:$Q,1),0)-U57</f>
        <v>0</v>
      </c>
      <c r="V75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IF(NOT(ISBLANK(V70)),COUNTIFS(Data!$C:$C,$C70,Data!$P:$P,"VAL",Data!$E:$E,$E70,Data!$F:$F,$F70,Data!$I:$I,IF(ISBLANK($I70),"",$I70),Data!$J:$J,$J70,Data!$K:$K,$K70,Data!$R:$R,"",Data!$L:$L,IF(ISBLANK($P70),"",$P70),Data!$G:$G,"MAHEL",Data!$H:$H,"A15C",Data!$M:$M,72, Data!$Q:$Q,1),0)-V57</f>
        <v>0</v>
      </c>
      <c r="W75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IF(NOT(ISBLANK(W70)),COUNTIFS(Data!$C:$C,$C70,Data!$P:$P,"VAL",Data!$E:$E,$E70,Data!$F:$F,$F70,Data!$I:$I,IF(ISBLANK($I70),"",$I70),Data!$J:$J,$J70,Data!$K:$K,$K70,Data!$R:$R,"",Data!$L:$L,IF(ISBLANK($P70),"",$P70),Data!$G:$G,"MAHEL",Data!$H:$H,"A15C",Data!$M:$M,88, Data!$Q:$Q,1),0)-W57</f>
        <v>0</v>
      </c>
      <c r="X75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IF(NOT(ISBLANK(X70)),COUNTIFS(Data!$C:$C,$C70,Data!$P:$P,"VAL",Data!$E:$E,$E70,Data!$F:$F,$F70,Data!$I:$I,IF(ISBLANK($I70),"",$I70),Data!$J:$J,$J70,Data!$K:$K,$K70,Data!$R:$R,"",Data!$L:$L,IF(ISBLANK($P70),"",$P70),Data!$G:$G,"MAHEL",Data!$H:$H,"A15C",Data!$M:$M,105, Data!$Q:$Q,1),0)</f>
        <v>0</v>
      </c>
      <c r="Y75" s="11"/>
      <c r="Z75" s="11"/>
      <c r="AA75" s="11">
        <v>80</v>
      </c>
    </row>
    <row r="76" spans="1:27" ht="15.6" x14ac:dyDescent="0.3">
      <c r="A76" s="64"/>
      <c r="B76" s="106" t="s">
        <v>389</v>
      </c>
      <c r="C76" s="107" t="s">
        <v>396</v>
      </c>
      <c r="D76" s="62" t="s">
        <v>508</v>
      </c>
      <c r="E76" s="62" t="s">
        <v>487</v>
      </c>
      <c r="F76" s="62">
        <v>1</v>
      </c>
      <c r="G76" s="62" t="s">
        <v>390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536</v>
      </c>
      <c r="Q76" s="64"/>
      <c r="R76" s="64"/>
      <c r="S76" s="64"/>
      <c r="T76" s="63"/>
      <c r="U76" s="66"/>
      <c r="V76" s="63">
        <f>10*80</f>
        <v>800</v>
      </c>
      <c r="W76" s="63">
        <f>10*80</f>
        <v>800</v>
      </c>
      <c r="X76" s="63">
        <f>10*80</f>
        <v>800</v>
      </c>
      <c r="Y76" s="63">
        <f>SUM(Q76:X76)</f>
        <v>2400</v>
      </c>
      <c r="Z76" s="110" t="s">
        <v>490</v>
      </c>
      <c r="AA76" s="107" t="s">
        <v>406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10</v>
      </c>
      <c r="W77" s="11">
        <f t="shared" si="34"/>
        <v>10</v>
      </c>
      <c r="X77" s="11">
        <f t="shared" si="34"/>
        <v>10</v>
      </c>
      <c r="Y77" s="11"/>
      <c r="Z77" s="160" t="s">
        <v>523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23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7</v>
      </c>
      <c r="W78" s="11">
        <f t="shared" si="35"/>
        <v>8</v>
      </c>
      <c r="X78" s="11">
        <f t="shared" si="35"/>
        <v>8</v>
      </c>
      <c r="Y78" s="11"/>
      <c r="Z78" s="160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62">
        <f>SUM(Q79:X79)</f>
        <v>7</v>
      </c>
      <c r="Q79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IF(NOT(ISBLANK(U76)),COUNTIFS(Data!$C:$C,$C76,Data!$P:$P,"VAL",Data!$E:$E,$E76,Data!$F:$F,$F76,Data!$I:$I,IF(ISBLANK($I76),"",$I76),Data!$J:$J,$J76,Data!$K:$K,$K76,Data!$R:$R,"",Data!$L:$L,IF(ISBLANK($P76),"",$P76),Data!$G:$G,"ZF",Data!$H:$H,"A15C",Data!$M:$M,64),0)-U81</f>
        <v>0</v>
      </c>
      <c r="V79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IF(NOT(ISBLANK(V76)),COUNTIFS(Data!$C:$C,$C76,Data!$P:$P,"VAL",Data!$E:$E,$E76,Data!$F:$F,$F76,Data!$I:$I,IF(ISBLANK($I76),"",$I76),Data!$J:$J,$J76,Data!$K:$K,$K76,Data!$R:$R,"",Data!$L:$L,IF(ISBLANK($P76),"",$P76),Data!$G:$G,"ZF",Data!$H:$H,"A15C",Data!$M:$M,72),0)-V81-V61-V63</f>
        <v>3</v>
      </c>
      <c r="W79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IF(NOT(ISBLANK(W76)),COUNTIFS(Data!$C:$C,$C76,Data!$P:$P,"VAL",Data!$E:$E,$E76,Data!$F:$F,$F76,Data!$I:$I,IF(ISBLANK($I76),"",$I76),Data!$J:$J,$J76,Data!$K:$K,$K76,Data!$R:$R,"",Data!$L:$L,IF(ISBLANK($P76),"",$P76),Data!$G:$G,"ZF",Data!$H:$H,"A15C",Data!$M:$M,88),0)-W81-W61-W63</f>
        <v>2</v>
      </c>
      <c r="X79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IF(NOT(ISBLANK(X76)),COUNTIFS(Data!$C:$C,$C76,Data!$P:$P,"VAL",Data!$E:$E,$E76,Data!$F:$F,$F76,Data!$I:$I,IF(ISBLANK($I76),"",$I76),Data!$J:$J,$J76,Data!$K:$K,$K76,Data!$R:$R,"",Data!$L:$L,IF(ISBLANK($P76),"",$P76),Data!$G:$G,"ZF",Data!$H:$H,"A15C",Data!$M:$M,105),0)-X81-X61-X63</f>
        <v>2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62">
        <f>SUM(Q81:X81)</f>
        <v>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IF(NOT(ISBLANK(U76)),COUNTIFS(Data!$C:$C,$C76,Data!$P:$P,"VAL",Data!$E:$E,$E76,Data!$F:$F,$F76,Data!$I:$I,IF(ISBLANK($I76),"",$I76),Data!$J:$J,$J76,Data!$K:$K,$K76,Data!$R:$R,"",Data!$L:$L,IF(ISBLANK($P76),"",$P76),Data!$G:$G,"ZF",Data!$H:$H,"A15C",Data!$M:$M,64, Data!$Q:$Q,1),0)</f>
        <v>0</v>
      </c>
      <c r="V81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IF(NOT(ISBLANK(V76)),COUNTIFS(Data!$C:$C,$C76,Data!$P:$P,"VAL",Data!$E:$E,$E76,Data!$F:$F,$F76,Data!$I:$I,IF(ISBLANK($I76),"",$I76),Data!$J:$J,$J76,Data!$K:$K,$K76,Data!$R:$R,"",Data!$L:$L,IF(ISBLANK($P76),"",$P76),Data!$G:$G,"ZF",Data!$H:$H,"A15C",Data!$M:$M,72, Data!$Q:$Q,1),0)-V63</f>
        <v>0</v>
      </c>
      <c r="W81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IF(NOT(ISBLANK(W76)),COUNTIFS(Data!$C:$C,$C76,Data!$P:$P,"VAL",Data!$E:$E,$E76,Data!$F:$F,$F76,Data!$I:$I,IF(ISBLANK($I76),"",$I76),Data!$J:$J,$J76,Data!$K:$K,$K76,Data!$R:$R,"",Data!$L:$L,IF(ISBLANK($P76),"",$P76),Data!$G:$G,"ZF",Data!$H:$H,"A15C",Data!$M:$M,88, Data!$Q:$Q,1),0)-W63</f>
        <v>0</v>
      </c>
      <c r="X81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IF(NOT(ISBLANK(X76)),COUNTIFS(Data!$C:$C,$C76,Data!$P:$P,"VAL",Data!$E:$E,$E76,Data!$F:$F,$F76,Data!$I:$I,IF(ISBLANK($I76),"",$I76),Data!$J:$J,$J76,Data!$K:$K,$K76,Data!$R:$R,"",Data!$L:$L,IF(ISBLANK($P76),"",$P76),Data!$G:$G,"ZF",Data!$H:$H,"A15C",Data!$M:$M,105, Data!$Q:$Q,1),0)-X63</f>
        <v>0</v>
      </c>
      <c r="Y81" s="11"/>
      <c r="Z81" s="11"/>
      <c r="AA81" s="11">
        <v>80</v>
      </c>
    </row>
    <row r="82" spans="1:27" ht="15.6" x14ac:dyDescent="0.3">
      <c r="A82" s="64"/>
      <c r="B82" s="106" t="s">
        <v>485</v>
      </c>
      <c r="C82" s="107" t="s">
        <v>478</v>
      </c>
      <c r="D82" s="62" t="s">
        <v>508</v>
      </c>
      <c r="E82" s="62" t="s">
        <v>487</v>
      </c>
      <c r="F82" s="62">
        <v>1</v>
      </c>
      <c r="G82" s="62" t="s">
        <v>411</v>
      </c>
      <c r="H82" s="62" t="s">
        <v>391</v>
      </c>
      <c r="I82" s="62"/>
      <c r="J82" s="62" t="s">
        <v>488</v>
      </c>
      <c r="K82" s="62" t="s">
        <v>487</v>
      </c>
      <c r="L82" s="62" t="s">
        <v>481</v>
      </c>
      <c r="M82" s="62" t="s">
        <v>393</v>
      </c>
      <c r="N82" s="62">
        <f>+Y82/80</f>
        <v>30</v>
      </c>
      <c r="O82" s="62"/>
      <c r="P82" s="62" t="s">
        <v>544</v>
      </c>
      <c r="Q82" s="64"/>
      <c r="R82" s="64"/>
      <c r="S82" s="64"/>
      <c r="T82" s="63"/>
      <c r="U82" s="63"/>
      <c r="V82" s="63">
        <f>20*80</f>
        <v>1600</v>
      </c>
      <c r="W82" s="63">
        <f>10*80</f>
        <v>800</v>
      </c>
      <c r="X82" s="63"/>
      <c r="Y82" s="63">
        <f>SUM(Q82:X82)</f>
        <v>2400</v>
      </c>
      <c r="Z82" s="110" t="s">
        <v>489</v>
      </c>
      <c r="AA82" s="107" t="s">
        <v>482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30</v>
      </c>
      <c r="Q83" s="11">
        <f t="shared" ref="Q83:X83" si="37">IFERROR(Q82/80,0)</f>
        <v>0</v>
      </c>
      <c r="R83" s="11">
        <f t="shared" si="37"/>
        <v>0</v>
      </c>
      <c r="S83" s="11">
        <f t="shared" si="37"/>
        <v>0</v>
      </c>
      <c r="T83" s="11">
        <f t="shared" si="37"/>
        <v>0</v>
      </c>
      <c r="U83" s="11">
        <f t="shared" si="37"/>
        <v>0</v>
      </c>
      <c r="V83" s="11">
        <f t="shared" si="37"/>
        <v>20</v>
      </c>
      <c r="W83" s="11">
        <f t="shared" si="37"/>
        <v>10</v>
      </c>
      <c r="X83" s="11">
        <f t="shared" si="37"/>
        <v>0</v>
      </c>
      <c r="Y83" s="11"/>
      <c r="Z83" s="160" t="s">
        <v>524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30</v>
      </c>
      <c r="Q84" s="11">
        <f t="shared" ref="Q84:X84" si="38">IFERROR(Q83-(Q85+Q87),0)</f>
        <v>0</v>
      </c>
      <c r="R84" s="11">
        <f t="shared" si="38"/>
        <v>0</v>
      </c>
      <c r="S84" s="11">
        <f t="shared" si="38"/>
        <v>0</v>
      </c>
      <c r="T84" s="11">
        <f t="shared" si="38"/>
        <v>0</v>
      </c>
      <c r="U84" s="11">
        <f t="shared" si="38"/>
        <v>0</v>
      </c>
      <c r="V84" s="11">
        <f t="shared" si="38"/>
        <v>20</v>
      </c>
      <c r="W84" s="11">
        <f t="shared" si="38"/>
        <v>10</v>
      </c>
      <c r="X84" s="11">
        <f t="shared" si="38"/>
        <v>0</v>
      </c>
      <c r="Y84" s="11"/>
      <c r="Z84" s="160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62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IF(NOT(ISBLANK(U82)),COUNTIFS(Data!$C:$C,$C82,Data!$P:$P,"VAL",Data!$E:$E,$E82,Data!$F:$F,$F82,Data!$I:$I,IF(ISBLANK($I82),"",$I82),Data!$J:$J,$J82,Data!$K:$K,$K82,Data!$R:$R,"",Data!$L:$L,IF(ISBLANK($P82),"",$P82),Data!$G:$G,"MALA",Data!$H:$H,"A15C",Data!$M:$M,64),0)-U87</f>
        <v>0</v>
      </c>
      <c r="V85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72),0)-V87-V67-V69</f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88),0)-W87-W67-W69</f>
        <v>0</v>
      </c>
      <c r="X85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IF(NOT(ISBLANK(X82)),COUNTIFS(Data!$C:$C,$C82,Data!$P:$P,"VAL",Data!$E:$E,$E82,Data!$F:$F,$F82,Data!$I:$I,IF(ISBLANK($I82),"",$I82),Data!$J:$J,$J82,Data!$K:$K,$K82,Data!$R:$R,"",Data!$L:$L,IF(ISBLANK($P82),"",$P82),Data!$G:$G,"MALA",Data!$H:$H,"A15C",Data!$M:$M,105),0)-X87</f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W86" si="39">IF(($P85+$P87)&gt;$P83,IF((Q85+Q87)-Q83&gt;0,(Q85+Q87)-Q83,0),0)</f>
        <v>0</v>
      </c>
      <c r="R86" s="11">
        <f t="shared" si="39"/>
        <v>0</v>
      </c>
      <c r="S86" s="11">
        <f t="shared" si="39"/>
        <v>0</v>
      </c>
      <c r="T86" s="11">
        <f t="shared" si="39"/>
        <v>0</v>
      </c>
      <c r="U86" s="11">
        <f t="shared" si="39"/>
        <v>0</v>
      </c>
      <c r="V86" s="11">
        <f t="shared" si="39"/>
        <v>0</v>
      </c>
      <c r="W86" s="11">
        <f t="shared" si="39"/>
        <v>0</v>
      </c>
      <c r="X86" s="11">
        <f>IF(X84&lt;0,-X84,IF((X85+X87)-X83&gt;0,(X85+X87)-X83,0))</f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62">
        <f>SUM(Q87:X87)</f>
        <v>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IF(NOT(ISBLANK(U82)),COUNTIFS(Data!$C:$C,$C82,Data!$P:$P,"VAL",Data!$E:$E,$E82,Data!$F:$F,$F82,Data!$I:$I,IF(ISBLANK($I82),"",$I82),Data!$J:$J,$J82,Data!$K:$K,$K82,Data!$R:$R,"",Data!$L:$L,IF(ISBLANK($P82),"",$P82),Data!$G:$G,"MALA",Data!$H:$H,"A15C",Data!$M:$M,64, Data!$Q:$Q,1),0)</f>
        <v>0</v>
      </c>
      <c r="V87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IF(NOT(ISBLANK(V82)),COUNTIFS(Data!$C:$C,$C82,Data!$P:$P,"VAL",Data!$E:$E,$E82,Data!$F:$F,$F82,Data!$I:$I,IF(ISBLANK($I82),"",$I82),Data!$J:$J,$J82,Data!$K:$K,$K82,Data!$R:$R,"",Data!$L:$L,IF(ISBLANK($P82),"",$P82),Data!$G:$G,"MALA",Data!$H:$H,"A15C",Data!$M:$M,72, Data!$Q:$Q,1),0)-V69</f>
        <v>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IF(NOT(ISBLANK(W82)),COUNTIFS(Data!$C:$C,$C82,Data!$P:$P,"VAL",Data!$E:$E,$E82,Data!$F:$F,$F82,Data!$I:$I,IF(ISBLANK($I82),"",$I82),Data!$J:$J,$J82,Data!$K:$K,$K82,Data!$R:$R,"",Data!$L:$L,IF(ISBLANK($P82),"",$P82),Data!$G:$G,"MALA",Data!$H:$H,"A15C",Data!$M:$M,88, Data!$Q:$Q,1),0)-W69</f>
        <v>0</v>
      </c>
      <c r="X87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IF(NOT(ISBLANK(X82)),COUNTIFS(Data!$C:$C,$C82,Data!$P:$P,"VAL",Data!$E:$E,$E82,Data!$F:$F,$F82,Data!$I:$I,IF(ISBLANK($I82),"",$I82),Data!$J:$J,$J82,Data!$K:$K,$K82,Data!$R:$R,"",Data!$L:$L,IF(ISBLANK($P82),"",$P82),Data!$G:$G,"MALA",Data!$H:$H,"A15C",Data!$M:$M,105, Data!$Q:$Q,1),0)</f>
        <v>0</v>
      </c>
      <c r="Y87" s="11"/>
      <c r="Z87" s="11"/>
      <c r="AA87" s="11">
        <v>80</v>
      </c>
    </row>
    <row r="88" spans="1:27" ht="15.6" x14ac:dyDescent="0.3">
      <c r="A88" s="149" t="s">
        <v>395</v>
      </c>
      <c r="B88" s="149" t="s">
        <v>389</v>
      </c>
      <c r="C88" s="113" t="s">
        <v>396</v>
      </c>
      <c r="D88" s="113" t="s">
        <v>508</v>
      </c>
      <c r="E88" s="113" t="s">
        <v>397</v>
      </c>
      <c r="F88" s="113">
        <v>1</v>
      </c>
      <c r="G88" s="113" t="s">
        <v>390</v>
      </c>
      <c r="H88" s="113" t="s">
        <v>391</v>
      </c>
      <c r="I88" s="150" t="s">
        <v>535</v>
      </c>
      <c r="J88" s="113" t="s">
        <v>398</v>
      </c>
      <c r="K88" s="113" t="s">
        <v>397</v>
      </c>
      <c r="L88" s="113" t="s">
        <v>392</v>
      </c>
      <c r="M88" s="113" t="s">
        <v>399</v>
      </c>
      <c r="N88" s="113"/>
      <c r="O88" s="113">
        <f>+Y88/70</f>
        <v>74</v>
      </c>
      <c r="P88" s="113" t="s">
        <v>536</v>
      </c>
      <c r="Q88" s="152"/>
      <c r="R88" s="151"/>
      <c r="S88" s="151">
        <f>20*70</f>
        <v>1400</v>
      </c>
      <c r="T88" s="151">
        <f>27*70</f>
        <v>1890</v>
      </c>
      <c r="U88" s="151">
        <f>27*70</f>
        <v>1890</v>
      </c>
      <c r="V88" s="151"/>
      <c r="W88" s="151"/>
      <c r="X88" s="151"/>
      <c r="Y88" s="151">
        <f>SUM(Q88:X88)</f>
        <v>5180</v>
      </c>
      <c r="Z88" s="153" t="s">
        <v>555</v>
      </c>
      <c r="AA88" s="113" t="s">
        <v>406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74</v>
      </c>
      <c r="Q89" s="11">
        <f t="shared" ref="Q89:X89" si="40">IFERROR(Q88/70,0)</f>
        <v>0</v>
      </c>
      <c r="R89" s="11">
        <f t="shared" si="40"/>
        <v>0</v>
      </c>
      <c r="S89" s="11">
        <f t="shared" si="40"/>
        <v>20</v>
      </c>
      <c r="T89" s="11">
        <f t="shared" si="40"/>
        <v>27</v>
      </c>
      <c r="U89" s="11">
        <f t="shared" si="40"/>
        <v>27</v>
      </c>
      <c r="V89" s="11">
        <f t="shared" si="40"/>
        <v>0</v>
      </c>
      <c r="W89" s="11">
        <f t="shared" si="40"/>
        <v>0</v>
      </c>
      <c r="X89" s="11">
        <f t="shared" si="40"/>
        <v>0</v>
      </c>
      <c r="Y89" s="11"/>
      <c r="Z89" s="160" t="s">
        <v>557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12</v>
      </c>
      <c r="Q90" s="11">
        <f t="shared" ref="Q90:X90" si="41">IFERROR(Q89-(Q91+Q93),0)</f>
        <v>0</v>
      </c>
      <c r="R90" s="11">
        <f t="shared" si="41"/>
        <v>0</v>
      </c>
      <c r="S90" s="11">
        <f t="shared" si="41"/>
        <v>7</v>
      </c>
      <c r="T90" s="11">
        <f t="shared" si="41"/>
        <v>-11</v>
      </c>
      <c r="U90" s="11">
        <f t="shared" si="41"/>
        <v>16</v>
      </c>
      <c r="V90" s="11">
        <f t="shared" si="41"/>
        <v>0</v>
      </c>
      <c r="W90" s="11">
        <f t="shared" si="41"/>
        <v>0</v>
      </c>
      <c r="X90" s="11">
        <f t="shared" si="41"/>
        <v>0</v>
      </c>
      <c r="Y90" s="11"/>
      <c r="Z90" s="160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62">
        <f>SUM(Q91:X91)</f>
        <v>46</v>
      </c>
      <c r="Q91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IF(NOT(ISBLANK(S88)),COUNTIFS(Data!$C:$C,$C88,Data!$P:$P,"VAL",Data!$E:$E,$E88,Data!$F:$F,$F88,Data!$I:$I,IF(ISBLANK($I88),"",$I88),Data!$J:$J,$J88,Data!$K:$K,$K88,Data!$R:$R,"",Data!$L:$L,IF(ISBLANK($P88),"",$P88),Data!$G:$G,"ZF",Data!$H:$H,"A15C",Data!$M:$M,48),0)-S93</f>
        <v>11</v>
      </c>
      <c r="T91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IF(NOT(ISBLANK(T88)),COUNTIFS(Data!$C:$C,$C88,Data!$P:$P,"VAL",Data!$E:$E,$E88,Data!$F:$F,$F88,Data!$I:$I,IF(ISBLANK($I88),"",$I88),Data!$J:$J,$J88,Data!$K:$K,$K88,Data!$R:$R,"",Data!$L:$L,IF(ISBLANK($P88),"",$P88),Data!$G:$G,"ZF",Data!$H:$H,"A15C",Data!$M:$M,56),0)-T93</f>
        <v>25</v>
      </c>
      <c r="U91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IF(NOT(ISBLANK(U88)),COUNTIFS(Data!$C:$C,$C88,Data!$P:$P,"VAL",Data!$E:$E,$E88,Data!$F:$F,$F88,Data!$I:$I,IF(ISBLANK($I88),"",$I88),Data!$J:$J,$J88,Data!$K:$K,$K88,Data!$R:$R,"",Data!$L:$L,IF(ISBLANK($P88),"",$P88),Data!$G:$G,"ZF",Data!$H:$H,"A15C",Data!$M:$M,64),0)-U93</f>
        <v>10</v>
      </c>
      <c r="V91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IF(NOT(ISBLANK(V88)),COUNTIFS(Data!$C:$C,$C88,Data!$P:$P,"VAL",Data!$E:$E,$E88,Data!$F:$F,$F88,Data!$I:$I,IF(ISBLANK($I88),"",$I88),Data!$J:$J,$J88,Data!$K:$K,$K88,Data!$R:$R,"",Data!$L:$L,IF(ISBLANK($P88),"",$P88),Data!$G:$G,"ZF",Data!$H:$H,"A15C",Data!$M:$M,72),0)-V93</f>
        <v>0</v>
      </c>
      <c r="W91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IF(NOT(ISBLANK(W88)),COUNTIFS(Data!$C:$C,$C88,Data!$P:$P,"VAL",Data!$E:$E,$E88,Data!$F:$F,$F88,Data!$I:$I,IF(ISBLANK($I88),"",$I88),Data!$J:$J,$J88,Data!$K:$K,$K88,Data!$R:$R,"",Data!$L:$L,IF(ISBLANK($P88),"",$P88),Data!$G:$G,"ZF",Data!$H:$H,"A15C",Data!$M:$M,88),0)-W93</f>
        <v>0</v>
      </c>
      <c r="X91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2">IF(($P91+$P93)&gt;$P89,IF((Q91+Q93)-Q89&gt;0,(Q91+Q93)-Q89,0),0)</f>
        <v>0</v>
      </c>
      <c r="R92" s="11">
        <f t="shared" si="42"/>
        <v>0</v>
      </c>
      <c r="S92" s="11">
        <f t="shared" si="42"/>
        <v>0</v>
      </c>
      <c r="T92" s="11">
        <f t="shared" si="42"/>
        <v>0</v>
      </c>
      <c r="U92" s="11">
        <f t="shared" si="42"/>
        <v>0</v>
      </c>
      <c r="V92" s="11">
        <f t="shared" si="42"/>
        <v>0</v>
      </c>
      <c r="W92" s="11">
        <f t="shared" si="42"/>
        <v>0</v>
      </c>
      <c r="X92" s="11">
        <f t="shared" si="42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62">
        <f>SUM(Q93:X93)</f>
        <v>16</v>
      </c>
      <c r="Q93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IF(NOT(ISBLANK(S88)),COUNTIFS(Data!$C:$C,$C88,Data!$P:$P,"VAL",Data!$E:$E,$E88,Data!$F:$F,$F88,Data!$I:$I,IF(ISBLANK($I88),"",$I88),Data!$J:$J,$J88,Data!$K:$K,$K88,Data!$R:$R,"",Data!$L:$L,IF(ISBLANK($P88),"",$P88),Data!$G:$G,"ZF",Data!$H:$H,"A15C",Data!$M:$M,48, Data!$Q:$Q,1),0)</f>
        <v>2</v>
      </c>
      <c r="T93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IF(NOT(ISBLANK(T88)),COUNTIFS(Data!$C:$C,$C88,Data!$P:$P,"VAL",Data!$E:$E,$E88,Data!$F:$F,$F88,Data!$I:$I,IF(ISBLANK($I88),"",$I88),Data!$J:$J,$J88,Data!$K:$K,$K88,Data!$R:$R,"",Data!$L:$L,IF(ISBLANK($P88),"",$P88),Data!$G:$G,"ZF",Data!$H:$H,"A15C",Data!$M:$M,56, Data!$Q:$Q,1),0)</f>
        <v>13</v>
      </c>
      <c r="U93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IF(NOT(ISBLANK(U88)),COUNTIFS(Data!$C:$C,$C88,Data!$P:$P,"VAL",Data!$E:$E,$E88,Data!$F:$F,$F88,Data!$I:$I,IF(ISBLANK($I88),"",$I88),Data!$J:$J,$J88,Data!$K:$K,$K88,Data!$R:$R,"",Data!$L:$L,IF(ISBLANK($P88),"",$P88),Data!$G:$G,"ZF",Data!$H:$H,"A15C",Data!$M:$M,64, Data!$Q:$Q,1),0)</f>
        <v>1</v>
      </c>
      <c r="V93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IF(NOT(ISBLANK(V88)),COUNTIFS(Data!$C:$C,$C88,Data!$P:$P,"VAL",Data!$E:$E,$E88,Data!$F:$F,$F88,Data!$I:$I,IF(ISBLANK($I88),"",$I88),Data!$J:$J,$J88,Data!$K:$K,$K88,Data!$R:$R,"",Data!$L:$L,IF(ISBLANK($P88),"",$P88),Data!$G:$G,"ZF",Data!$H:$H,"A15C",Data!$M:$M,72, Data!$Q:$Q,1),0)</f>
        <v>0</v>
      </c>
      <c r="W93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IF(NOT(ISBLANK(W88)),COUNTIFS(Data!$C:$C,$C88,Data!$P:$P,"VAL",Data!$E:$E,$E88,Data!$F:$F,$F88,Data!$I:$I,IF(ISBLANK($I88),"",$I88),Data!$J:$J,$J88,Data!$K:$K,$K88,Data!$R:$R,"",Data!$L:$L,IF(ISBLANK($P88),"",$P88),Data!$G:$G,"ZF",Data!$H:$H,"A15C",Data!$M:$M,88, Data!$Q:$Q,1),0)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IF(NOT(ISBLANK(X88)),COUNTIFS(Data!$C:$C,$C88,Data!$P:$P,"VAL",Data!$E:$E,$E88,Data!$F:$F,$F88,Data!$I:$I,IF(ISBLANK($I88),"",$I88),Data!$J:$J,$J88,Data!$K:$K,$K88,Data!$R:$R,"",Data!$L:$L,IF(ISBLANK($P88),"",$P88),Data!$G:$G,"ZF",Data!$H:$H,"A15C",Data!$M:$M,105, Data!$Q:$Q,1),0)</f>
        <v>0</v>
      </c>
      <c r="Y93" s="11"/>
      <c r="Z93" s="11"/>
      <c r="AA93" s="11">
        <v>70</v>
      </c>
    </row>
    <row r="94" spans="1:27" ht="15.6" x14ac:dyDescent="0.3">
      <c r="A94" s="66"/>
      <c r="B94" s="66"/>
      <c r="C94" s="107" t="s">
        <v>396</v>
      </c>
      <c r="D94" s="62" t="s">
        <v>508</v>
      </c>
      <c r="E94" s="62" t="s">
        <v>397</v>
      </c>
      <c r="F94" s="62">
        <v>1</v>
      </c>
      <c r="G94" s="62" t="s">
        <v>558</v>
      </c>
      <c r="H94" s="108" t="s">
        <v>419</v>
      </c>
      <c r="I94" s="108" t="s">
        <v>430</v>
      </c>
      <c r="J94" s="62" t="s">
        <v>398</v>
      </c>
      <c r="K94" s="62" t="s">
        <v>397</v>
      </c>
      <c r="L94" s="62" t="s">
        <v>392</v>
      </c>
      <c r="M94" s="62" t="s">
        <v>399</v>
      </c>
      <c r="N94" s="62"/>
      <c r="O94" s="62">
        <f>+Y94/55</f>
        <v>15</v>
      </c>
      <c r="P94" s="62" t="s">
        <v>536</v>
      </c>
      <c r="Q94" s="63">
        <f>2*55</f>
        <v>110</v>
      </c>
      <c r="R94" s="63">
        <f>5*55</f>
        <v>275</v>
      </c>
      <c r="S94" s="63">
        <f>8*55</f>
        <v>440</v>
      </c>
      <c r="T94" s="63"/>
      <c r="U94" s="63"/>
      <c r="V94" s="63"/>
      <c r="W94" s="63"/>
      <c r="X94" s="63"/>
      <c r="Y94" s="63">
        <f>SUM(Q94:X94)</f>
        <v>825</v>
      </c>
      <c r="Z94" s="65" t="s">
        <v>490</v>
      </c>
      <c r="AA94" s="62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15</v>
      </c>
      <c r="Q95" s="11">
        <f t="shared" ref="Q95:X95" si="43">IFERROR(Q94/55,0)</f>
        <v>2</v>
      </c>
      <c r="R95" s="11">
        <f t="shared" si="43"/>
        <v>5</v>
      </c>
      <c r="S95" s="11">
        <f t="shared" si="43"/>
        <v>8</v>
      </c>
      <c r="T95" s="11">
        <f t="shared" si="43"/>
        <v>0</v>
      </c>
      <c r="U95" s="11">
        <f t="shared" si="43"/>
        <v>0</v>
      </c>
      <c r="V95" s="11">
        <f t="shared" si="43"/>
        <v>0</v>
      </c>
      <c r="W95" s="11">
        <f t="shared" si="43"/>
        <v>0</v>
      </c>
      <c r="X95" s="11">
        <f t="shared" si="43"/>
        <v>0</v>
      </c>
      <c r="Y95" s="11"/>
      <c r="Z95" s="160" t="s">
        <v>525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10</v>
      </c>
      <c r="Q96" s="11">
        <f t="shared" ref="Q96:X96" si="44">IFERROR(Q95-(Q97+Q99),0)</f>
        <v>1</v>
      </c>
      <c r="R96" s="11">
        <f t="shared" si="44"/>
        <v>1</v>
      </c>
      <c r="S96" s="11">
        <f t="shared" si="44"/>
        <v>8</v>
      </c>
      <c r="T96" s="11">
        <f t="shared" si="44"/>
        <v>0</v>
      </c>
      <c r="U96" s="11">
        <f t="shared" si="44"/>
        <v>0</v>
      </c>
      <c r="V96" s="11">
        <f t="shared" si="44"/>
        <v>0</v>
      </c>
      <c r="W96" s="11">
        <f t="shared" si="44"/>
        <v>0</v>
      </c>
      <c r="X96" s="11">
        <f t="shared" si="44"/>
        <v>0</v>
      </c>
      <c r="Y96" s="11"/>
      <c r="Z96" s="160" t="s">
        <v>520</v>
      </c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62">
        <f>SUM(Q97:X97)</f>
        <v>5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45)+COUNTIFS(Data!$C:$C,$C94,Data!$P:$P,"VAL",Data!$E:$E,$E94,Data!$F:$F,$F94,Data!$I:$I,IF(ISBLANK($I94),"",$I94),Data!$J:$J,$J94,Data!$K:$K,$K94,Data!$R:$R,"",Data!$L:$L,IF(ISBLANK($P94),"",$P94),Data!$G:$G,"MAHEL",Data!$H:$H,"E15D",Data!$M:$M,45)+COUNTIFS(Data!$C:$C,$C94,Data!$P:$P,"VAL",Data!$E:$E,$E94,Data!$F:$F,$F94,Data!$I:$I,IF(ISBLANK($I94),"",$I94),Data!$J:$J,$J94,Data!$K:$K,$K94,Data!$R:$R,"",Data!$L:$L,IF(ISBLANK($P94),"",$P94),Data!$G:$G,"MALA",Data!$H:$H,"E15D",Data!$M:$M,45)+COUNTIFS(Data!$C:$C,$C94,Data!$P:$P,"VAL",Data!$E:$E,$E94,Data!$F:$F,$F94,Data!$I:$I,IF(ISBLANK($I94),"",$I94),Data!$J:$J,$J94,Data!$K:$K,$K94,Data!$R:$R,"",Data!$L:$L,IF(ISBLANK($P94),"",$P94),Data!$G:$G,"MAKUL",Data!$H:$H,"E15D",Data!$M:$M,45),0)-Q99</f>
        <v>1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50)+COUNTIFS(Data!$C:$C,$C94,Data!$P:$P,"VAL",Data!$E:$E,$E94,Data!$F:$F,$F94,Data!$I:$I,IF(ISBLANK($I94),"",$I94),Data!$J:$J,$J94,Data!$K:$K,$K94,Data!$R:$R,"",Data!$L:$L,IF(ISBLANK($P94),"",$P94),Data!$G:$G,"MAHEL",Data!$H:$H,"E15D",Data!$M:$M,50)+COUNTIFS(Data!$C:$C,$C94,Data!$P:$P,"VAL",Data!$E:$E,$E94,Data!$F:$F,$F94,Data!$I:$I,IF(ISBLANK($I94),"",$I94),Data!$J:$J,$J94,Data!$K:$K,$K94,Data!$R:$R,"",Data!$L:$L,IF(ISBLANK($P94),"",$P94),Data!$G:$G,"MALA",Data!$H:$H,"E15D",Data!$M:$M,50)+COUNTIFS(Data!$C:$C,$C94,Data!$P:$P,"VAL",Data!$E:$E,$E94,Data!$F:$F,$F94,Data!$I:$I,IF(ISBLANK($I94),"",$I94),Data!$J:$J,$J94,Data!$K:$K,$K94,Data!$R:$R,"",Data!$L:$L,IF(ISBLANK($P94),"",$P94),Data!$G:$G,"MAKUL",Data!$H:$H,"E15D",Data!$M:$M,50),0)-R99</f>
        <v>4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55)+COUNTIFS(Data!$C:$C,$C94,Data!$P:$P,"VAL",Data!$E:$E,$E94,Data!$F:$F,$F94,Data!$I:$I,IF(ISBLANK($I94),"",$I94),Data!$J:$J,$J94,Data!$K:$K,$K94,Data!$R:$R,"",Data!$L:$L,IF(ISBLANK($P94),"",$P94),Data!$G:$G,"MAHEL",Data!$H:$H,"E15D",Data!$M:$M,55)+COUNTIFS(Data!$C:$C,$C94,Data!$P:$P,"VAL",Data!$E:$E,$E94,Data!$F:$F,$F94,Data!$I:$I,IF(ISBLANK($I94),"",$I94),Data!$J:$J,$J94,Data!$K:$K,$K94,Data!$R:$R,"",Data!$L:$L,IF(ISBLANK($P94),"",$P94),Data!$G:$G,"MALA",Data!$H:$H,"E15D",Data!$M:$M,55)+COUNTIFS(Data!$C:$C,$C94,Data!$P:$P,"VAL",Data!$E:$E,$E94,Data!$F:$F,$F94,Data!$I:$I,IF(ISBLANK($I94),"",$I94),Data!$J:$J,$J94,Data!$K:$K,$K94,Data!$R:$R,"",Data!$L:$L,IF(ISBLANK($P94),"",$P94),Data!$G:$G,"MAKUL",Data!$H:$H,"E15D",Data!$M:$M,55),0)-S99</f>
        <v>0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60)+COUNTIFS(Data!$C:$C,$C94,Data!$P:$P,"VAL",Data!$E:$E,$E94,Data!$F:$F,$F94,Data!$I:$I,IF(ISBLANK($I94),"",$I94),Data!$J:$J,$J94,Data!$K:$K,$K94,Data!$R:$R,"",Data!$L:$L,IF(ISBLANK($P94),"",$P94),Data!$G:$G,"MAHEL",Data!$H:$H,"E15D",Data!$M:$M,60)+COUNTIFS(Data!$C:$C,$C94,Data!$P:$P,"VAL",Data!$E:$E,$E94,Data!$F:$F,$F94,Data!$I:$I,IF(ISBLANK($I94),"",$I94),Data!$J:$J,$J94,Data!$K:$K,$K94,Data!$R:$R,"",Data!$L:$L,IF(ISBLANK($P94),"",$P94),Data!$G:$G,"MALA",Data!$H:$H,"E15D",Data!$M:$M,60)+COUNTIFS(Data!$C:$C,$C94,Data!$P:$P,"VAL",Data!$E:$E,$E94,Data!$F:$F,$F94,Data!$I:$I,IF(ISBLANK($I94),"",$I94),Data!$J:$J,$J94,Data!$K:$K,$K94,Data!$R:$R,"",Data!$L:$L,IF(ISBLANK($P94),"",$P94),Data!$G:$G,"MAKUL",Data!$H:$H,"E15D",Data!$M:$M,60),0)-T99</f>
        <v>0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65)+COUNTIFS(Data!$C:$C,$C94,Data!$P:$P,"VAL",Data!$E:$E,$E94,Data!$F:$F,$F94,Data!$I:$I,IF(ISBLANK($I94),"",$I94),Data!$J:$J,$J94,Data!$K:$K,$K94,Data!$R:$R,"",Data!$L:$L,IF(ISBLANK($P94),"",$P94),Data!$G:$G,"MAHEL",Data!$H:$H,"E15D",Data!$M:$M,65)+COUNTIFS(Data!$C:$C,$C94,Data!$P:$P,"VAL",Data!$E:$E,$E94,Data!$F:$F,$F94,Data!$I:$I,IF(ISBLANK($I94),"",$I94),Data!$J:$J,$J94,Data!$K:$K,$K94,Data!$R:$R,"",Data!$L:$L,IF(ISBLANK($P94),"",$P94),Data!$G:$G,"MALA",Data!$H:$H,"E15D",Data!$M:$M,65)+COUNTIFS(Data!$C:$C,$C94,Data!$P:$P,"VAL",Data!$E:$E,$E94,Data!$F:$F,$F94,Data!$I:$I,IF(ISBLANK($I94),"",$I94),Data!$J:$J,$J94,Data!$K:$K,$K94,Data!$R:$R,"",Data!$L:$L,IF(ISBLANK($P94),"",$P94),Data!$G:$G,"MAKUL",Data!$H:$H,"E15D",Data!$M:$M,65),0)-U99</f>
        <v>0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72)+COUNTIFS(Data!$C:$C,$C94,Data!$P:$P,"VAL",Data!$E:$E,$E94,Data!$F:$F,$F94,Data!$I:$I,IF(ISBLANK($I94),"",$I94),Data!$J:$J,$J94,Data!$K:$K,$K94,Data!$R:$R,"",Data!$L:$L,IF(ISBLANK($P94),"",$P94),Data!$G:$G,"MAHEL",Data!$H:$H,"E15D",Data!$M:$M,72)+COUNTIFS(Data!$C:$C,$C94,Data!$P:$P,"VAL",Data!$E:$E,$E94,Data!$F:$F,$F94,Data!$I:$I,IF(ISBLANK($I94),"",$I94),Data!$J:$J,$J94,Data!$K:$K,$K94,Data!$R:$R,"",Data!$L:$L,IF(ISBLANK($P94),"",$P94),Data!$G:$G,"MALA",Data!$H:$H,"E15D",Data!$M:$M,72)+COUNTIFS(Data!$C:$C,$C94,Data!$P:$P,"VAL",Data!$E:$E,$E94,Data!$F:$F,$F94,Data!$I:$I,IF(ISBLANK($I94),"",$I94),Data!$J:$J,$J94,Data!$K:$K,$K94,Data!$R:$R,"",Data!$L:$L,IF(ISBLANK($P94),"",$P94),Data!$G:$G,"MAKUL",Data!$H:$H,"E15D",Data!$M:$M,72),0)-V99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90)+COUNTIFS(Data!$C:$C,$C94,Data!$P:$P,"VAL",Data!$E:$E,$E94,Data!$F:$F,$F94,Data!$I:$I,IF(ISBLANK($I94),"",$I94),Data!$J:$J,$J94,Data!$K:$K,$K94,Data!$R:$R,"",Data!$L:$L,IF(ISBLANK($P94),"",$P94),Data!$G:$G,"MAHEL",Data!$H:$H,"E15D",Data!$M:$M,90)+COUNTIFS(Data!$C:$C,$C94,Data!$P:$P,"VAL",Data!$E:$E,$E94,Data!$F:$F,$F94,Data!$I:$I,IF(ISBLANK($I94),"",$I94),Data!$J:$J,$J94,Data!$K:$K,$K94,Data!$R:$R,"",Data!$L:$L,IF(ISBLANK($P94),"",$P94),Data!$G:$G,"MALA",Data!$H:$H,"E15D",Data!$M:$M,90)+COUNTIFS(Data!$C:$C,$C94,Data!$P:$P,"VAL",Data!$E:$E,$E94,Data!$F:$F,$F94,Data!$I:$I,IF(ISBLANK($I94),"",$I94),Data!$J:$J,$J94,Data!$K:$K,$K94,Data!$R:$R,"",Data!$L:$L,IF(ISBLANK($P94),"",$P94),Data!$G:$G,"MAKUL",Data!$H:$H,"E15D",Data!$M:$M,90),0)-W99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96)+COUNTIFS(Data!$C:$C,$C94,Data!$P:$P,"VAL",Data!$E:$E,$E94,Data!$F:$F,$F94,Data!$I:$I,IF(ISBLANK($I94),"",$I94),Data!$J:$J,$J94,Data!$K:$K,$K94,Data!$R:$R,"",Data!$L:$L,IF(ISBLANK($P94),"",$P94),Data!$G:$G,"MAHEL",Data!$H:$H,"E15D",Data!$M:$M,96)+COUNTIFS(Data!$C:$C,$C94,Data!$P:$P,"VAL",Data!$E:$E,$E94,Data!$F:$F,$F94,Data!$I:$I,IF(ISBLANK($I94),"",$I94),Data!$J:$J,$J94,Data!$K:$K,$K94,Data!$R:$R,"",Data!$L:$L,IF(ISBLANK($P94),"",$P94),Data!$G:$G,"MALA",Data!$H:$H,"E15D",Data!$M:$M,96)+COUNTIFS(Data!$C:$C,$C94,Data!$P:$P,"VAL",Data!$E:$E,$E94,Data!$F:$F,$F94,Data!$I:$I,IF(ISBLANK($I94),"",$I94),Data!$J:$J,$J94,Data!$K:$K,$K94,Data!$R:$R,"",Data!$L:$L,IF(ISBLANK($P94),"",$P94),Data!$G:$G,"MAKUL",Data!$H:$H,"E15D",Data!$M:$M,96),0)-X99</f>
        <v>0</v>
      </c>
      <c r="Y97" s="11"/>
      <c r="Z97" s="160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5">IF(($P97+$P99)&gt;$P95,IF((Q97+Q99)-Q95&gt;0,(Q97+Q99)-Q95,0),0)</f>
        <v>0</v>
      </c>
      <c r="R98" s="11">
        <f t="shared" si="45"/>
        <v>0</v>
      </c>
      <c r="S98" s="11">
        <f t="shared" si="45"/>
        <v>0</v>
      </c>
      <c r="T98" s="11">
        <f t="shared" si="45"/>
        <v>0</v>
      </c>
      <c r="U98" s="11">
        <f t="shared" si="45"/>
        <v>0</v>
      </c>
      <c r="V98" s="11">
        <f t="shared" si="45"/>
        <v>0</v>
      </c>
      <c r="W98" s="11">
        <f t="shared" si="45"/>
        <v>0</v>
      </c>
      <c r="X98" s="11">
        <f t="shared" si="45"/>
        <v>0</v>
      </c>
      <c r="Y98" s="11"/>
      <c r="Z98" s="160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62">
        <f>SUM(Q99:X99)</f>
        <v>0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IF(NOT(ISBLANK(Q94)),COUNTIFS(Data!$C:$C,$C94,Data!$P:$P,"VAL",Data!$E:$E,$E94,Data!$F:$F,$F94,Data!$I:$I,IF(ISBLANK($I94),"",$I94),Data!$J:$J,$J94,Data!$K:$K,$K94,Data!$R:$R,"",Data!$L:$L,IF(ISBLANK($P94),"",$P94),Data!$G:$G,"ZF",Data!$H:$H,"E15D",Data!$M:$M,45, Data!$Q:$Q,1)+COUNTIFS(Data!$C:$C,$C94,Data!$P:$P,"VAL",Data!$E:$E,$E94,Data!$F:$F,$F94,Data!$I:$I,IF(ISBLANK($I94),"",$I94),Data!$J:$J,$J94,Data!$K:$K,$K94,Data!$R:$R,"",Data!$L:$L,IF(ISBLANK($P94),"",$P94),Data!$G:$G,"MAHEL",Data!$H:$H,"E15D",Data!$M:$M,45, Data!$Q:$Q,1)+COUNTIFS(Data!$C:$C,$C94,Data!$P:$P,"VAL",Data!$E:$E,$E94,Data!$F:$F,$F94,Data!$I:$I,IF(ISBLANK($I94),"",$I94),Data!$J:$J,$J94,Data!$K:$K,$K94,Data!$R:$R,"",Data!$L:$L,IF(ISBLANK($P94),"",$P94),Data!$G:$G,"MALA",Data!$H:$H,"E15D",Data!$M:$M,45, Data!$Q:$Q,1)+COUNTIFS(Data!$C:$C,$C94,Data!$P:$P,"VAL",Data!$E:$E,$E94,Data!$F:$F,$F94,Data!$I:$I,IF(ISBLANK($I94),"",$I94),Data!$J:$J,$J94,Data!$K:$K,$K94,Data!$R:$R,"",Data!$L:$L,IF(ISBLANK($P94),"",$P94),Data!$G:$G,"MAKUL",Data!$H:$H,"E15D",Data!$M:$M,45,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IF(NOT(ISBLANK(R94)),COUNTIFS(Data!$C:$C,$C94,Data!$P:$P,"VAL",Data!$E:$E,$E94,Data!$F:$F,$F94,Data!$I:$I,IF(ISBLANK($I94),"",$I94),Data!$J:$J,$J94,Data!$K:$K,$K94,Data!$R:$R,"",Data!$L:$L,IF(ISBLANK($P94),"",$P94),Data!$G:$G,"ZF",Data!$H:$H,"E15D",Data!$M:$M,50, Data!$Q:$Q,1)+COUNTIFS(Data!$C:$C,$C94,Data!$P:$P,"VAL",Data!$E:$E,$E94,Data!$F:$F,$F94,Data!$I:$I,IF(ISBLANK($I94),"",$I94),Data!$J:$J,$J94,Data!$K:$K,$K94,Data!$R:$R,"",Data!$L:$L,IF(ISBLANK($P94),"",$P94),Data!$G:$G,"MAHEL",Data!$H:$H,"E15D",Data!$M:$M,50, Data!$Q:$Q,1)+COUNTIFS(Data!$C:$C,$C94,Data!$P:$P,"VAL",Data!$E:$E,$E94,Data!$F:$F,$F94,Data!$I:$I,IF(ISBLANK($I94),"",$I94),Data!$J:$J,$J94,Data!$K:$K,$K94,Data!$R:$R,"",Data!$L:$L,IF(ISBLANK($P94),"",$P94),Data!$G:$G,"MALA",Data!$H:$H,"E15D",Data!$M:$M,50, Data!$Q:$Q,1)+COUNTIFS(Data!$C:$C,$C94,Data!$P:$P,"VAL",Data!$E:$E,$E94,Data!$F:$F,$F94,Data!$I:$I,IF(ISBLANK($I94),"",$I94),Data!$J:$J,$J94,Data!$K:$K,$K94,Data!$R:$R,"",Data!$L:$L,IF(ISBLANK($P94),"",$P94),Data!$G:$G,"MAKUL",Data!$H:$H,"E15D",Data!$M:$M,50,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IF(NOT(ISBLANK(S94)),COUNTIFS(Data!$C:$C,$C94,Data!$P:$P,"VAL",Data!$E:$E,$E94,Data!$F:$F,$F94,Data!$I:$I,IF(ISBLANK($I94),"",$I94),Data!$J:$J,$J94,Data!$K:$K,$K94,Data!$R:$R,"",Data!$L:$L,IF(ISBLANK($P94),"",$P94),Data!$G:$G,"ZF",Data!$H:$H,"E15D",Data!$M:$M,55, Data!$Q:$Q,1)+COUNTIFS(Data!$C:$C,$C94,Data!$P:$P,"VAL",Data!$E:$E,$E94,Data!$F:$F,$F94,Data!$I:$I,IF(ISBLANK($I94),"",$I94),Data!$J:$J,$J94,Data!$K:$K,$K94,Data!$R:$R,"",Data!$L:$L,IF(ISBLANK($P94),"",$P94),Data!$G:$G,"MAHEL",Data!$H:$H,"E15D",Data!$M:$M,55, Data!$Q:$Q,1)+COUNTIFS(Data!$C:$C,$C94,Data!$P:$P,"VAL",Data!$E:$E,$E94,Data!$F:$F,$F94,Data!$I:$I,IF(ISBLANK($I94),"",$I94),Data!$J:$J,$J94,Data!$K:$K,$K94,Data!$R:$R,"",Data!$L:$L,IF(ISBLANK($P94),"",$P94),Data!$G:$G,"MALA",Data!$H:$H,"E15D",Data!$M:$M,55, Data!$Q:$Q,1)+COUNTIFS(Data!$C:$C,$C94,Data!$P:$P,"VAL",Data!$E:$E,$E94,Data!$F:$F,$F94,Data!$I:$I,IF(ISBLANK($I94),"",$I94),Data!$J:$J,$J94,Data!$K:$K,$K94,Data!$R:$R,"",Data!$L:$L,IF(ISBLANK($P94),"",$P94),Data!$G:$G,"MAKUL",Data!$H:$H,"E15D",Data!$M:$M,55, Data!$Q:$Q,1),0)</f>
        <v>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IF(NOT(ISBLANK(T94)),COUNTIFS(Data!$C:$C,$C94,Data!$P:$P,"VAL",Data!$E:$E,$E94,Data!$F:$F,$F94,Data!$I:$I,IF(ISBLANK($I94),"",$I94),Data!$J:$J,$J94,Data!$K:$K,$K94,Data!$R:$R,"",Data!$L:$L,IF(ISBLANK($P94),"",$P94),Data!$G:$G,"ZF",Data!$H:$H,"E15D",Data!$M:$M,60, Data!$Q:$Q,1)+COUNTIFS(Data!$C:$C,$C94,Data!$P:$P,"VAL",Data!$E:$E,$E94,Data!$F:$F,$F94,Data!$I:$I,IF(ISBLANK($I94),"",$I94),Data!$J:$J,$J94,Data!$K:$K,$K94,Data!$R:$R,"",Data!$L:$L,IF(ISBLANK($P94),"",$P94),Data!$G:$G,"MAHEL",Data!$H:$H,"E15D",Data!$M:$M,60, Data!$Q:$Q,1)+COUNTIFS(Data!$C:$C,$C94,Data!$P:$P,"VAL",Data!$E:$E,$E94,Data!$F:$F,$F94,Data!$I:$I,IF(ISBLANK($I94),"",$I94),Data!$J:$J,$J94,Data!$K:$K,$K94,Data!$R:$R,"",Data!$L:$L,IF(ISBLANK($P94),"",$P94),Data!$G:$G,"MALA",Data!$H:$H,"E15D",Data!$M:$M,60, Data!$Q:$Q,1)+COUNTIFS(Data!$C:$C,$C94,Data!$P:$P,"VAL",Data!$E:$E,$E94,Data!$F:$F,$F94,Data!$I:$I,IF(ISBLANK($I94),"",$I94),Data!$J:$J,$J94,Data!$K:$K,$K94,Data!$R:$R,"",Data!$L:$L,IF(ISBLANK($P94),"",$P94),Data!$G:$G,"MAKUL",Data!$H:$H,"E15D",Data!$M:$M,60, Data!$Q:$Q,1),0)</f>
        <v>0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IF(NOT(ISBLANK(U94)),COUNTIFS(Data!$C:$C,$C94,Data!$P:$P,"VAL",Data!$E:$E,$E94,Data!$F:$F,$F94,Data!$I:$I,IF(ISBLANK($I94),"",$I94),Data!$J:$J,$J94,Data!$K:$K,$K94,Data!$R:$R,"",Data!$L:$L,IF(ISBLANK($P94),"",$P94),Data!$G:$G,"ZF",Data!$H:$H,"E15D",Data!$M:$M,65, Data!$Q:$Q,1)+COUNTIFS(Data!$C:$C,$C94,Data!$P:$P,"VAL",Data!$E:$E,$E94,Data!$F:$F,$F94,Data!$I:$I,IF(ISBLANK($I94),"",$I94),Data!$J:$J,$J94,Data!$K:$K,$K94,Data!$R:$R,"",Data!$L:$L,IF(ISBLANK($P94),"",$P94),Data!$G:$G,"MAHEL",Data!$H:$H,"E15D",Data!$M:$M,65, Data!$Q:$Q,1)+COUNTIFS(Data!$C:$C,$C94,Data!$P:$P,"VAL",Data!$E:$E,$E94,Data!$F:$F,$F94,Data!$I:$I,IF(ISBLANK($I94),"",$I94),Data!$J:$J,$J94,Data!$K:$K,$K94,Data!$R:$R,"",Data!$L:$L,IF(ISBLANK($P94),"",$P94),Data!$G:$G,"MALA",Data!$H:$H,"E15D",Data!$M:$M,65, Data!$Q:$Q,1)+COUNTIFS(Data!$C:$C,$C94,Data!$P:$P,"VAL",Data!$E:$E,$E94,Data!$F:$F,$F94,Data!$I:$I,IF(ISBLANK($I94),"",$I94),Data!$J:$J,$J94,Data!$K:$K,$K94,Data!$R:$R,"",Data!$L:$L,IF(ISBLANK($P94),"",$P94),Data!$G:$G,"MAKUL",Data!$H:$H,"E15D",Data!$M:$M,65, Data!$Q:$Q,1),0)</f>
        <v>0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IF(NOT(ISBLANK(V94)),COUNTIFS(Data!$C:$C,$C94,Data!$P:$P,"VAL",Data!$E:$E,$E94,Data!$F:$F,$F94,Data!$I:$I,IF(ISBLANK($I94),"",$I94),Data!$J:$J,$J94,Data!$K:$K,$K94,Data!$R:$R,"",Data!$L:$L,IF(ISBLANK($P94),"",$P94),Data!$G:$G,"ZF",Data!$H:$H,"E15D",Data!$M:$M,72, Data!$Q:$Q,1)+COUNTIFS(Data!$C:$C,$C94,Data!$P:$P,"VAL",Data!$E:$E,$E94,Data!$F:$F,$F94,Data!$I:$I,IF(ISBLANK($I94),"",$I94),Data!$J:$J,$J94,Data!$K:$K,$K94,Data!$R:$R,"",Data!$L:$L,IF(ISBLANK($P94),"",$P94),Data!$G:$G,"MAHEL",Data!$H:$H,"E15D",Data!$M:$M,72, Data!$Q:$Q,1)+COUNTIFS(Data!$C:$C,$C94,Data!$P:$P,"VAL",Data!$E:$E,$E94,Data!$F:$F,$F94,Data!$I:$I,IF(ISBLANK($I94),"",$I94),Data!$J:$J,$J94,Data!$K:$K,$K94,Data!$R:$R,"",Data!$L:$L,IF(ISBLANK($P94),"",$P94),Data!$G:$G,"MALA",Data!$H:$H,"E15D",Data!$M:$M,72, Data!$Q:$Q,1)+COUNTIFS(Data!$C:$C,$C94,Data!$P:$P,"VAL",Data!$E:$E,$E94,Data!$F:$F,$F94,Data!$I:$I,IF(ISBLANK($I94),"",$I94),Data!$J:$J,$J94,Data!$K:$K,$K94,Data!$R:$R,"",Data!$L:$L,IF(ISBLANK($P94),"",$P94),Data!$G:$G,"MAKUL",Data!$H:$H,"E15D",Data!$M:$M,72, Data!$Q:$Q,1),0)</f>
        <v>0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IF(NOT(ISBLANK(W94)),COUNTIFS(Data!$C:$C,$C94,Data!$P:$P,"VAL",Data!$E:$E,$E94,Data!$F:$F,$F94,Data!$I:$I,IF(ISBLANK($I94),"",$I94),Data!$J:$J,$J94,Data!$K:$K,$K94,Data!$R:$R,"",Data!$L:$L,IF(ISBLANK($P94),"",$P94),Data!$G:$G,"ZF",Data!$H:$H,"E15D",Data!$M:$M,90, Data!$Q:$Q,1)+COUNTIFS(Data!$C:$C,$C94,Data!$P:$P,"VAL",Data!$E:$E,$E94,Data!$F:$F,$F94,Data!$I:$I,IF(ISBLANK($I94),"",$I94),Data!$J:$J,$J94,Data!$K:$K,$K94,Data!$R:$R,"",Data!$L:$L,IF(ISBLANK($P94),"",$P94),Data!$G:$G,"MAHEL",Data!$H:$H,"E15D",Data!$M:$M,90, Data!$Q:$Q,1)+COUNTIFS(Data!$C:$C,$C94,Data!$P:$P,"VAL",Data!$E:$E,$E94,Data!$F:$F,$F94,Data!$I:$I,IF(ISBLANK($I94),"",$I94),Data!$J:$J,$J94,Data!$K:$K,$K94,Data!$R:$R,"",Data!$L:$L,IF(ISBLANK($P94),"",$P94),Data!$G:$G,"MALA",Data!$H:$H,"E15D",Data!$M:$M,90, Data!$Q:$Q,1)+COUNTIFS(Data!$C:$C,$C94,Data!$P:$P,"VAL",Data!$E:$E,$E94,Data!$F:$F,$F94,Data!$I:$I,IF(ISBLANK($I94),"",$I94),Data!$J:$J,$J94,Data!$K:$K,$K94,Data!$R:$R,"",Data!$L:$L,IF(ISBLANK($P94),"",$P94),Data!$G:$G,"MAKUL",Data!$H:$H,"E15D",Data!$M:$M,90, Data!$Q:$Q,1),0)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IF(NOT(ISBLANK(X94)),COUNTIFS(Data!$C:$C,$C94,Data!$P:$P,"VAL",Data!$E:$E,$E94,Data!$F:$F,$F94,Data!$I:$I,IF(ISBLANK($I94),"",$I94),Data!$J:$J,$J94,Data!$K:$K,$K94,Data!$R:$R,"",Data!$L:$L,IF(ISBLANK($P94),"",$P94),Data!$G:$G,"ZF",Data!$H:$H,"E15D",Data!$M:$M,96, Data!$Q:$Q,1)+COUNTIFS(Data!$C:$C,$C94,Data!$P:$P,"VAL",Data!$E:$E,$E94,Data!$F:$F,$F94,Data!$I:$I,IF(ISBLANK($I94),"",$I94),Data!$J:$J,$J94,Data!$K:$K,$K94,Data!$R:$R,"",Data!$L:$L,IF(ISBLANK($P94),"",$P94),Data!$G:$G,"MAHEL",Data!$H:$H,"E15D",Data!$M:$M,96, Data!$Q:$Q,1)+COUNTIFS(Data!$C:$C,$C94,Data!$P:$P,"VAL",Data!$E:$E,$E94,Data!$F:$F,$F94,Data!$I:$I,IF(ISBLANK($I94),"",$I94),Data!$J:$J,$J94,Data!$K:$K,$K94,Data!$R:$R,"",Data!$L:$L,IF(ISBLANK($P94),"",$P94),Data!$G:$G,"MALA",Data!$H:$H,"E15D",Data!$M:$M,96, Data!$Q:$Q,1)+COUNTIFS(Data!$C:$C,$C94,Data!$P:$P,"VAL",Data!$E:$E,$E94,Data!$F:$F,$F94,Data!$I:$I,IF(ISBLANK($I94),"",$I94),Data!$J:$J,$J94,Data!$K:$K,$K94,Data!$R:$R,"",Data!$L:$L,IF(ISBLANK($P94),"",$P94),Data!$G:$G,"MAKUL",Data!$H:$H,"E15D",Data!$M:$M,96, Data!$Q:$Q,1),0)</f>
        <v>0</v>
      </c>
      <c r="Y99" s="11"/>
      <c r="Z99" s="11"/>
      <c r="AA99" s="11">
        <v>55</v>
      </c>
    </row>
    <row r="100" spans="1:27" ht="15.6" x14ac:dyDescent="0.3">
      <c r="A100" s="64"/>
      <c r="B100" s="106"/>
      <c r="C100" s="62" t="s">
        <v>396</v>
      </c>
      <c r="D100" s="62" t="s">
        <v>508</v>
      </c>
      <c r="E100" s="62" t="s">
        <v>397</v>
      </c>
      <c r="F100" s="62">
        <v>1</v>
      </c>
      <c r="G100" s="62" t="s">
        <v>390</v>
      </c>
      <c r="H100" s="62" t="s">
        <v>391</v>
      </c>
      <c r="I100" s="108" t="s">
        <v>430</v>
      </c>
      <c r="J100" s="62" t="s">
        <v>398</v>
      </c>
      <c r="K100" s="62" t="s">
        <v>397</v>
      </c>
      <c r="L100" s="62" t="s">
        <v>392</v>
      </c>
      <c r="M100" s="62" t="s">
        <v>399</v>
      </c>
      <c r="N100" s="62"/>
      <c r="O100" s="62">
        <f>+Y100/70</f>
        <v>15</v>
      </c>
      <c r="P100" s="62" t="s">
        <v>536</v>
      </c>
      <c r="Q100" s="66"/>
      <c r="R100" s="63"/>
      <c r="S100" s="63"/>
      <c r="T100" s="63">
        <f>8*70</f>
        <v>560</v>
      </c>
      <c r="U100" s="63">
        <f>7*70</f>
        <v>490</v>
      </c>
      <c r="V100" s="63"/>
      <c r="W100" s="63"/>
      <c r="X100" s="63"/>
      <c r="Y100" s="63">
        <f>SUM(Q100:X100)</f>
        <v>1050</v>
      </c>
      <c r="Z100" s="65" t="s">
        <v>490</v>
      </c>
      <c r="AA100" s="62"/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15</v>
      </c>
      <c r="Q101" s="11">
        <f t="shared" ref="Q101:X101" si="46">IFERROR(Q100/70,0)</f>
        <v>0</v>
      </c>
      <c r="R101" s="11">
        <f t="shared" si="46"/>
        <v>0</v>
      </c>
      <c r="S101" s="11">
        <f t="shared" si="46"/>
        <v>0</v>
      </c>
      <c r="T101" s="11">
        <f t="shared" si="46"/>
        <v>8</v>
      </c>
      <c r="U101" s="11">
        <f t="shared" si="46"/>
        <v>7</v>
      </c>
      <c r="V101" s="11">
        <f t="shared" si="46"/>
        <v>0</v>
      </c>
      <c r="W101" s="11">
        <f t="shared" si="46"/>
        <v>0</v>
      </c>
      <c r="X101" s="11">
        <f t="shared" si="46"/>
        <v>0</v>
      </c>
      <c r="Y101" s="11"/>
      <c r="Z101" s="160" t="s">
        <v>525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15</v>
      </c>
      <c r="Q102" s="11">
        <f t="shared" ref="Q102:X102" si="47">IFERROR(Q101-(Q103+Q105),0)</f>
        <v>0</v>
      </c>
      <c r="R102" s="11">
        <f t="shared" si="47"/>
        <v>0</v>
      </c>
      <c r="S102" s="11">
        <f t="shared" si="47"/>
        <v>0</v>
      </c>
      <c r="T102" s="11">
        <f t="shared" si="47"/>
        <v>8</v>
      </c>
      <c r="U102" s="11">
        <f t="shared" si="47"/>
        <v>7</v>
      </c>
      <c r="V102" s="11">
        <f t="shared" si="47"/>
        <v>0</v>
      </c>
      <c r="W102" s="11">
        <f t="shared" si="47"/>
        <v>0</v>
      </c>
      <c r="X102" s="11">
        <f t="shared" si="47"/>
        <v>0</v>
      </c>
      <c r="Y102" s="11"/>
      <c r="Z102" s="160" t="s">
        <v>520</v>
      </c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62">
        <f>SUM(Q103:X103)</f>
        <v>0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11"/>
      <c r="Z103" s="160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48">IF(($P103+$P105)&gt;$P101,IF((Q103+Q105)-Q101&gt;0,(Q103+Q105)-Q101,0),0)</f>
        <v>0</v>
      </c>
      <c r="R104" s="11">
        <f t="shared" si="48"/>
        <v>0</v>
      </c>
      <c r="S104" s="11">
        <f t="shared" si="48"/>
        <v>0</v>
      </c>
      <c r="T104" s="11">
        <f t="shared" si="48"/>
        <v>0</v>
      </c>
      <c r="U104" s="11">
        <f t="shared" si="48"/>
        <v>0</v>
      </c>
      <c r="V104" s="11">
        <f t="shared" si="48"/>
        <v>0</v>
      </c>
      <c r="W104" s="11">
        <f t="shared" si="48"/>
        <v>0</v>
      </c>
      <c r="X104" s="11">
        <f t="shared" si="48"/>
        <v>0</v>
      </c>
      <c r="Y104" s="11"/>
      <c r="Z104" s="160"/>
      <c r="AA104" s="11"/>
    </row>
    <row r="105" spans="1:27" ht="15" thickBot="1" x14ac:dyDescent="0.35">
      <c r="A105" s="26"/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8" t="s">
        <v>417</v>
      </c>
      <c r="M105" s="28"/>
      <c r="N105" s="28"/>
      <c r="O105" s="28"/>
      <c r="P105" s="163">
        <f>SUM(Q105:X105)</f>
        <v>0</v>
      </c>
      <c r="Q105" s="58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8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8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0</v>
      </c>
      <c r="T105" s="58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0</v>
      </c>
      <c r="U105" s="58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0</v>
      </c>
      <c r="V105" s="58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8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8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29"/>
      <c r="Z105" s="29"/>
      <c r="AA105" s="29">
        <v>70</v>
      </c>
    </row>
    <row r="106" spans="1:27" x14ac:dyDescent="0.3">
      <c r="A106" s="20" t="s">
        <v>407</v>
      </c>
      <c r="B106" s="20"/>
      <c r="C106" s="21"/>
      <c r="D106" s="21"/>
      <c r="E106" s="21"/>
      <c r="F106" s="21"/>
      <c r="G106" s="21"/>
      <c r="H106" s="21"/>
      <c r="I106" s="21"/>
      <c r="J106" s="21"/>
      <c r="K106" s="21"/>
      <c r="L106" s="22"/>
      <c r="M106" s="22"/>
      <c r="N106" s="22">
        <f>SUMIFS(N$1:N$105,$Y$1:$Y$105,"&gt;0")</f>
        <v>335</v>
      </c>
      <c r="O106" s="22">
        <f>SUMIFS(O$1:O$105,$Y$1:$Y$105,"&gt;0")</f>
        <v>104</v>
      </c>
      <c r="P106" s="21"/>
      <c r="Q106" s="23">
        <f t="shared" ref="Q106:Y106" si="49">SUMIFS(Q$1:Q$105,$Y$1:$Y$105,"&gt;0")</f>
        <v>110</v>
      </c>
      <c r="R106" s="23">
        <f t="shared" si="49"/>
        <v>275</v>
      </c>
      <c r="S106" s="23">
        <f t="shared" si="49"/>
        <v>1840</v>
      </c>
      <c r="T106" s="23">
        <f t="shared" si="49"/>
        <v>2450</v>
      </c>
      <c r="U106" s="23">
        <f t="shared" si="49"/>
        <v>4620</v>
      </c>
      <c r="V106" s="23">
        <f t="shared" si="49"/>
        <v>12160</v>
      </c>
      <c r="W106" s="23">
        <f t="shared" si="49"/>
        <v>9360</v>
      </c>
      <c r="X106" s="23">
        <f t="shared" si="49"/>
        <v>3040</v>
      </c>
      <c r="Y106" s="23">
        <f t="shared" si="49"/>
        <v>33855</v>
      </c>
      <c r="Z106" s="23"/>
      <c r="AA106" s="23"/>
    </row>
    <row r="107" spans="1:27" x14ac:dyDescent="0.3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8" t="s">
        <v>413</v>
      </c>
      <c r="M107" s="18"/>
      <c r="N107" s="18"/>
      <c r="O107" s="18"/>
      <c r="P107" s="17">
        <f>SUM(Q107:X107)</f>
        <v>439</v>
      </c>
      <c r="Q107" s="19">
        <f t="shared" ref="Q107:X111" si="50">SUMIFS(Q$1:Q$105,$L$1:$L$105,$L107)</f>
        <v>2</v>
      </c>
      <c r="R107" s="19">
        <f t="shared" si="50"/>
        <v>5</v>
      </c>
      <c r="S107" s="19">
        <f t="shared" si="50"/>
        <v>28</v>
      </c>
      <c r="T107" s="19">
        <f t="shared" si="50"/>
        <v>35</v>
      </c>
      <c r="U107" s="19">
        <f t="shared" si="50"/>
        <v>62</v>
      </c>
      <c r="V107" s="19">
        <f t="shared" si="50"/>
        <v>152</v>
      </c>
      <c r="W107" s="19">
        <f t="shared" si="50"/>
        <v>117</v>
      </c>
      <c r="X107" s="19">
        <f t="shared" si="50"/>
        <v>38</v>
      </c>
      <c r="Y107" s="19"/>
      <c r="Z107" s="19"/>
      <c r="AA107" s="19"/>
    </row>
    <row r="108" spans="1:27" x14ac:dyDescent="0.3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 t="s">
        <v>414</v>
      </c>
      <c r="M108" s="14"/>
      <c r="N108" s="14"/>
      <c r="O108" s="14"/>
      <c r="P108" s="13">
        <f>SUM(Q108:X108)</f>
        <v>185</v>
      </c>
      <c r="Q108" s="15">
        <f t="shared" si="50"/>
        <v>1</v>
      </c>
      <c r="R108" s="15">
        <f t="shared" si="50"/>
        <v>1</v>
      </c>
      <c r="S108" s="15">
        <f t="shared" si="50"/>
        <v>15</v>
      </c>
      <c r="T108" s="15">
        <f t="shared" si="50"/>
        <v>-3</v>
      </c>
      <c r="U108" s="15">
        <f t="shared" si="50"/>
        <v>23</v>
      </c>
      <c r="V108" s="15">
        <f t="shared" si="50"/>
        <v>64</v>
      </c>
      <c r="W108" s="15">
        <f t="shared" si="50"/>
        <v>76</v>
      </c>
      <c r="X108" s="15">
        <f t="shared" si="50"/>
        <v>8</v>
      </c>
      <c r="Y108" s="15"/>
      <c r="Z108" s="15"/>
      <c r="AA108" s="15"/>
    </row>
    <row r="109" spans="1:27" x14ac:dyDescent="0.3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 t="s">
        <v>415</v>
      </c>
      <c r="M109" s="14"/>
      <c r="N109" s="14"/>
      <c r="O109" s="14"/>
      <c r="P109" s="161">
        <f>SUM(Q109:X109)</f>
        <v>193</v>
      </c>
      <c r="Q109" s="56">
        <f t="shared" si="50"/>
        <v>1</v>
      </c>
      <c r="R109" s="56">
        <f t="shared" si="50"/>
        <v>4</v>
      </c>
      <c r="S109" s="56">
        <f t="shared" si="50"/>
        <v>11</v>
      </c>
      <c r="T109" s="56">
        <f t="shared" si="50"/>
        <v>25</v>
      </c>
      <c r="U109" s="56">
        <f t="shared" si="50"/>
        <v>28</v>
      </c>
      <c r="V109" s="56">
        <f t="shared" si="50"/>
        <v>69</v>
      </c>
      <c r="W109" s="56">
        <f t="shared" si="50"/>
        <v>31</v>
      </c>
      <c r="X109" s="56">
        <f t="shared" si="50"/>
        <v>24</v>
      </c>
      <c r="Y109" s="15"/>
      <c r="Z109" s="15"/>
      <c r="AA109" s="15"/>
    </row>
    <row r="110" spans="1:27" x14ac:dyDescent="0.3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 t="s">
        <v>416</v>
      </c>
      <c r="M110" s="14"/>
      <c r="N110" s="14"/>
      <c r="O110" s="14"/>
      <c r="P110" s="13">
        <f>SUMIFS(P$1:P$105,$L$1:$L$105,$L110,$P$1:$P$105,"&gt;0")</f>
        <v>0</v>
      </c>
      <c r="Q110" s="15">
        <f t="shared" si="50"/>
        <v>0</v>
      </c>
      <c r="R110" s="15">
        <f t="shared" si="50"/>
        <v>0</v>
      </c>
      <c r="S110" s="15">
        <f t="shared" si="50"/>
        <v>0</v>
      </c>
      <c r="T110" s="15">
        <f t="shared" si="50"/>
        <v>0</v>
      </c>
      <c r="U110" s="15">
        <f t="shared" si="50"/>
        <v>0</v>
      </c>
      <c r="V110" s="15">
        <f t="shared" si="50"/>
        <v>0</v>
      </c>
      <c r="W110" s="15">
        <f t="shared" si="50"/>
        <v>0</v>
      </c>
      <c r="X110" s="15">
        <f t="shared" si="50"/>
        <v>0</v>
      </c>
      <c r="Y110" s="15"/>
      <c r="Z110" s="15"/>
      <c r="AA110" s="15"/>
    </row>
    <row r="111" spans="1:27" x14ac:dyDescent="0.3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 t="s">
        <v>417</v>
      </c>
      <c r="M111" s="14"/>
      <c r="N111" s="14"/>
      <c r="O111" s="14"/>
      <c r="P111" s="161">
        <f>SUM(Q111:X111)</f>
        <v>61</v>
      </c>
      <c r="Q111" s="56">
        <f t="shared" si="50"/>
        <v>0</v>
      </c>
      <c r="R111" s="56">
        <f t="shared" si="50"/>
        <v>0</v>
      </c>
      <c r="S111" s="56">
        <f t="shared" si="50"/>
        <v>2</v>
      </c>
      <c r="T111" s="56">
        <f t="shared" si="50"/>
        <v>13</v>
      </c>
      <c r="U111" s="56">
        <f t="shared" si="50"/>
        <v>11</v>
      </c>
      <c r="V111" s="56">
        <f t="shared" si="50"/>
        <v>19</v>
      </c>
      <c r="W111" s="56">
        <f t="shared" si="50"/>
        <v>10</v>
      </c>
      <c r="X111" s="56">
        <f t="shared" si="50"/>
        <v>6</v>
      </c>
      <c r="Y111" s="15"/>
      <c r="Z111" s="15"/>
      <c r="AA111" s="15"/>
    </row>
  </sheetData>
  <conditionalFormatting sqref="P6">
    <cfRule type="cellIs" dxfId="101" priority="1" stopIfTrue="1" operator="equal">
      <formula>0</formula>
    </cfRule>
    <cfRule type="cellIs" dxfId="100" priority="2" stopIfTrue="1" operator="lessThan">
      <formula>0</formula>
    </cfRule>
    <cfRule type="cellIs" dxfId="99" priority="3" stopIfTrue="1" operator="greaterThan">
      <formula>0</formula>
    </cfRule>
  </conditionalFormatting>
  <conditionalFormatting sqref="P8">
    <cfRule type="cellIs" dxfId="98" priority="4" stopIfTrue="1" operator="equal">
      <formula>0</formula>
    </cfRule>
    <cfRule type="cellIs" dxfId="97" priority="5" stopIfTrue="1" operator="lessThan">
      <formula>0</formula>
    </cfRule>
    <cfRule type="cellIs" dxfId="96" priority="6" stopIfTrue="1" operator="greaterThan">
      <formula>0</formula>
    </cfRule>
  </conditionalFormatting>
  <conditionalFormatting sqref="P12">
    <cfRule type="cellIs" dxfId="95" priority="7" stopIfTrue="1" operator="equal">
      <formula>0</formula>
    </cfRule>
    <cfRule type="cellIs" dxfId="94" priority="8" stopIfTrue="1" operator="lessThan">
      <formula>0</formula>
    </cfRule>
    <cfRule type="cellIs" dxfId="93" priority="9" stopIfTrue="1" operator="greaterThan">
      <formula>0</formula>
    </cfRule>
  </conditionalFormatting>
  <conditionalFormatting sqref="P14">
    <cfRule type="cellIs" dxfId="92" priority="10" stopIfTrue="1" operator="equal">
      <formula>0</formula>
    </cfRule>
    <cfRule type="cellIs" dxfId="91" priority="11" stopIfTrue="1" operator="lessThan">
      <formula>0</formula>
    </cfRule>
    <cfRule type="cellIs" dxfId="90" priority="12" stopIfTrue="1" operator="greaterThan">
      <formula>0</formula>
    </cfRule>
  </conditionalFormatting>
  <conditionalFormatting sqref="P18">
    <cfRule type="cellIs" dxfId="89" priority="13" stopIfTrue="1" operator="equal">
      <formula>0</formula>
    </cfRule>
    <cfRule type="cellIs" dxfId="88" priority="14" stopIfTrue="1" operator="lessThan">
      <formula>0</formula>
    </cfRule>
    <cfRule type="cellIs" dxfId="87" priority="15" stopIfTrue="1" operator="greaterThan">
      <formula>0</formula>
    </cfRule>
  </conditionalFormatting>
  <conditionalFormatting sqref="P20">
    <cfRule type="cellIs" dxfId="86" priority="16" stopIfTrue="1" operator="equal">
      <formula>0</formula>
    </cfRule>
    <cfRule type="cellIs" dxfId="85" priority="17" stopIfTrue="1" operator="lessThan">
      <formula>0</formula>
    </cfRule>
    <cfRule type="cellIs" dxfId="84" priority="18" stopIfTrue="1" operator="greaterThan">
      <formula>0</formula>
    </cfRule>
  </conditionalFormatting>
  <conditionalFormatting sqref="P24">
    <cfRule type="cellIs" dxfId="83" priority="19" stopIfTrue="1" operator="equal">
      <formula>0</formula>
    </cfRule>
    <cfRule type="cellIs" dxfId="82" priority="20" stopIfTrue="1" operator="lessThan">
      <formula>0</formula>
    </cfRule>
    <cfRule type="cellIs" dxfId="81" priority="21" stopIfTrue="1" operator="greaterThan">
      <formula>0</formula>
    </cfRule>
  </conditionalFormatting>
  <conditionalFormatting sqref="P26">
    <cfRule type="cellIs" dxfId="80" priority="22" stopIfTrue="1" operator="equal">
      <formula>0</formula>
    </cfRule>
    <cfRule type="cellIs" dxfId="79" priority="23" stopIfTrue="1" operator="lessThan">
      <formula>0</formula>
    </cfRule>
    <cfRule type="cellIs" dxfId="78" priority="24" stopIfTrue="1" operator="greaterThan">
      <formula>0</formula>
    </cfRule>
  </conditionalFormatting>
  <conditionalFormatting sqref="P30">
    <cfRule type="cellIs" dxfId="77" priority="25" stopIfTrue="1" operator="equal">
      <formula>0</formula>
    </cfRule>
    <cfRule type="cellIs" dxfId="76" priority="26" stopIfTrue="1" operator="lessThan">
      <formula>0</formula>
    </cfRule>
    <cfRule type="cellIs" dxfId="75" priority="27" stopIfTrue="1" operator="greaterThan">
      <formula>0</formula>
    </cfRule>
  </conditionalFormatting>
  <conditionalFormatting sqref="P32">
    <cfRule type="cellIs" dxfId="74" priority="28" stopIfTrue="1" operator="equal">
      <formula>0</formula>
    </cfRule>
    <cfRule type="cellIs" dxfId="73" priority="29" stopIfTrue="1" operator="lessThan">
      <formula>0</formula>
    </cfRule>
    <cfRule type="cellIs" dxfId="72" priority="30" stopIfTrue="1" operator="greaterThan">
      <formula>0</formula>
    </cfRule>
  </conditionalFormatting>
  <conditionalFormatting sqref="P36">
    <cfRule type="cellIs" dxfId="71" priority="31" stopIfTrue="1" operator="equal">
      <formula>0</formula>
    </cfRule>
    <cfRule type="cellIs" dxfId="70" priority="32" stopIfTrue="1" operator="lessThan">
      <formula>0</formula>
    </cfRule>
    <cfRule type="cellIs" dxfId="69" priority="33" stopIfTrue="1" operator="greaterThan">
      <formula>0</formula>
    </cfRule>
  </conditionalFormatting>
  <conditionalFormatting sqref="P38">
    <cfRule type="cellIs" dxfId="68" priority="34" stopIfTrue="1" operator="equal">
      <formula>0</formula>
    </cfRule>
    <cfRule type="cellIs" dxfId="67" priority="35" stopIfTrue="1" operator="lessThan">
      <formula>0</formula>
    </cfRule>
    <cfRule type="cellIs" dxfId="66" priority="36" stopIfTrue="1" operator="greaterThan">
      <formula>0</formula>
    </cfRule>
  </conditionalFormatting>
  <conditionalFormatting sqref="P42">
    <cfRule type="cellIs" dxfId="65" priority="37" stopIfTrue="1" operator="equal">
      <formula>0</formula>
    </cfRule>
    <cfRule type="cellIs" dxfId="64" priority="38" stopIfTrue="1" operator="lessThan">
      <formula>0</formula>
    </cfRule>
    <cfRule type="cellIs" dxfId="63" priority="39" stopIfTrue="1" operator="greaterThan">
      <formula>0</formula>
    </cfRule>
  </conditionalFormatting>
  <conditionalFormatting sqref="P44">
    <cfRule type="cellIs" dxfId="62" priority="40" stopIfTrue="1" operator="equal">
      <formula>0</formula>
    </cfRule>
    <cfRule type="cellIs" dxfId="61" priority="41" stopIfTrue="1" operator="lessThan">
      <formula>0</formula>
    </cfRule>
    <cfRule type="cellIs" dxfId="60" priority="42" stopIfTrue="1" operator="greaterThan">
      <formula>0</formula>
    </cfRule>
  </conditionalFormatting>
  <conditionalFormatting sqref="P48">
    <cfRule type="cellIs" dxfId="59" priority="43" stopIfTrue="1" operator="equal">
      <formula>0</formula>
    </cfRule>
    <cfRule type="cellIs" dxfId="58" priority="44" stopIfTrue="1" operator="lessThan">
      <formula>0</formula>
    </cfRule>
    <cfRule type="cellIs" dxfId="57" priority="45" stopIfTrue="1" operator="greaterThan">
      <formula>0</formula>
    </cfRule>
  </conditionalFormatting>
  <conditionalFormatting sqref="P50">
    <cfRule type="cellIs" dxfId="56" priority="46" stopIfTrue="1" operator="equal">
      <formula>0</formula>
    </cfRule>
    <cfRule type="cellIs" dxfId="55" priority="47" stopIfTrue="1" operator="lessThan">
      <formula>0</formula>
    </cfRule>
    <cfRule type="cellIs" dxfId="54" priority="48" stopIfTrue="1" operator="greaterThan">
      <formula>0</formula>
    </cfRule>
  </conditionalFormatting>
  <conditionalFormatting sqref="P54">
    <cfRule type="cellIs" dxfId="53" priority="49" stopIfTrue="1" operator="equal">
      <formula>0</formula>
    </cfRule>
    <cfRule type="cellIs" dxfId="52" priority="50" stopIfTrue="1" operator="lessThan">
      <formula>0</formula>
    </cfRule>
    <cfRule type="cellIs" dxfId="51" priority="51" stopIfTrue="1" operator="greaterThan">
      <formula>0</formula>
    </cfRule>
  </conditionalFormatting>
  <conditionalFormatting sqref="P56">
    <cfRule type="cellIs" dxfId="50" priority="52" stopIfTrue="1" operator="equal">
      <formula>0</formula>
    </cfRule>
    <cfRule type="cellIs" dxfId="49" priority="53" stopIfTrue="1" operator="lessThan">
      <formula>0</formula>
    </cfRule>
    <cfRule type="cellIs" dxfId="48" priority="54" stopIfTrue="1" operator="greaterThan">
      <formula>0</formula>
    </cfRule>
  </conditionalFormatting>
  <conditionalFormatting sqref="P60">
    <cfRule type="cellIs" dxfId="47" priority="55" stopIfTrue="1" operator="equal">
      <formula>0</formula>
    </cfRule>
    <cfRule type="cellIs" dxfId="46" priority="56" stopIfTrue="1" operator="lessThan">
      <formula>0</formula>
    </cfRule>
    <cfRule type="cellIs" dxfId="45" priority="57" stopIfTrue="1" operator="greaterThan">
      <formula>0</formula>
    </cfRule>
  </conditionalFormatting>
  <conditionalFormatting sqref="P62">
    <cfRule type="cellIs" dxfId="44" priority="58" stopIfTrue="1" operator="equal">
      <formula>0</formula>
    </cfRule>
    <cfRule type="cellIs" dxfId="43" priority="59" stopIfTrue="1" operator="lessThan">
      <formula>0</formula>
    </cfRule>
    <cfRule type="cellIs" dxfId="42" priority="60" stopIfTrue="1" operator="greaterThan">
      <formula>0</formula>
    </cfRule>
  </conditionalFormatting>
  <conditionalFormatting sqref="P66">
    <cfRule type="cellIs" dxfId="41" priority="61" stopIfTrue="1" operator="equal">
      <formula>0</formula>
    </cfRule>
  </conditionalFormatting>
  <conditionalFormatting sqref="P66">
    <cfRule type="cellIs" dxfId="40" priority="62" stopIfTrue="1" operator="lessThan">
      <formula>0</formula>
    </cfRule>
  </conditionalFormatting>
  <conditionalFormatting sqref="P66">
    <cfRule type="cellIs" dxfId="39" priority="63" stopIfTrue="1" operator="greaterThan">
      <formula>0</formula>
    </cfRule>
  </conditionalFormatting>
  <conditionalFormatting sqref="P68">
    <cfRule type="cellIs" dxfId="38" priority="64" stopIfTrue="1" operator="equal">
      <formula>0</formula>
    </cfRule>
  </conditionalFormatting>
  <conditionalFormatting sqref="P68">
    <cfRule type="cellIs" dxfId="37" priority="65" stopIfTrue="1" operator="lessThan">
      <formula>0</formula>
    </cfRule>
  </conditionalFormatting>
  <conditionalFormatting sqref="P68">
    <cfRule type="cellIs" dxfId="36" priority="66" stopIfTrue="1" operator="greaterThan">
      <formula>0</formula>
    </cfRule>
  </conditionalFormatting>
  <conditionalFormatting sqref="P72">
    <cfRule type="cellIs" dxfId="35" priority="67" stopIfTrue="1" operator="equal">
      <formula>0</formula>
    </cfRule>
  </conditionalFormatting>
  <conditionalFormatting sqref="P72">
    <cfRule type="cellIs" dxfId="34" priority="68" stopIfTrue="1" operator="lessThan">
      <formula>0</formula>
    </cfRule>
  </conditionalFormatting>
  <conditionalFormatting sqref="P72">
    <cfRule type="cellIs" dxfId="33" priority="69" stopIfTrue="1" operator="greaterThan">
      <formula>0</formula>
    </cfRule>
  </conditionalFormatting>
  <conditionalFormatting sqref="P74">
    <cfRule type="cellIs" dxfId="32" priority="70" stopIfTrue="1" operator="equal">
      <formula>0</formula>
    </cfRule>
  </conditionalFormatting>
  <conditionalFormatting sqref="P74">
    <cfRule type="cellIs" dxfId="31" priority="71" stopIfTrue="1" operator="lessThan">
      <formula>0</formula>
    </cfRule>
  </conditionalFormatting>
  <conditionalFormatting sqref="P74">
    <cfRule type="cellIs" dxfId="30" priority="72" stopIfTrue="1" operator="greaterThan">
      <formula>0</formula>
    </cfRule>
  </conditionalFormatting>
  <conditionalFormatting sqref="P78">
    <cfRule type="cellIs" dxfId="29" priority="73" stopIfTrue="1" operator="equal">
      <formula>0</formula>
    </cfRule>
  </conditionalFormatting>
  <conditionalFormatting sqref="P78">
    <cfRule type="cellIs" dxfId="28" priority="74" stopIfTrue="1" operator="lessThan">
      <formula>0</formula>
    </cfRule>
  </conditionalFormatting>
  <conditionalFormatting sqref="P78">
    <cfRule type="cellIs" dxfId="27" priority="75" stopIfTrue="1" operator="greaterThan">
      <formula>0</formula>
    </cfRule>
  </conditionalFormatting>
  <conditionalFormatting sqref="P80">
    <cfRule type="cellIs" dxfId="26" priority="76" stopIfTrue="1" operator="equal">
      <formula>0</formula>
    </cfRule>
  </conditionalFormatting>
  <conditionalFormatting sqref="P80">
    <cfRule type="cellIs" dxfId="25" priority="77" stopIfTrue="1" operator="lessThan">
      <formula>0</formula>
    </cfRule>
  </conditionalFormatting>
  <conditionalFormatting sqref="P80">
    <cfRule type="cellIs" dxfId="24" priority="78" stopIfTrue="1" operator="greaterThan">
      <formula>0</formula>
    </cfRule>
  </conditionalFormatting>
  <conditionalFormatting sqref="P84">
    <cfRule type="cellIs" dxfId="23" priority="79" stopIfTrue="1" operator="equal">
      <formula>0</formula>
    </cfRule>
  </conditionalFormatting>
  <conditionalFormatting sqref="P84">
    <cfRule type="cellIs" dxfId="22" priority="80" stopIfTrue="1" operator="lessThan">
      <formula>0</formula>
    </cfRule>
  </conditionalFormatting>
  <conditionalFormatting sqref="P84">
    <cfRule type="cellIs" dxfId="21" priority="81" stopIfTrue="1" operator="greaterThan">
      <formula>0</formula>
    </cfRule>
  </conditionalFormatting>
  <conditionalFormatting sqref="P86">
    <cfRule type="cellIs" dxfId="20" priority="82" stopIfTrue="1" operator="equal">
      <formula>0</formula>
    </cfRule>
  </conditionalFormatting>
  <conditionalFormatting sqref="P86">
    <cfRule type="cellIs" dxfId="19" priority="83" stopIfTrue="1" operator="lessThan">
      <formula>0</formula>
    </cfRule>
  </conditionalFormatting>
  <conditionalFormatting sqref="P86">
    <cfRule type="cellIs" dxfId="18" priority="84" stopIfTrue="1" operator="greaterThan">
      <formula>0</formula>
    </cfRule>
  </conditionalFormatting>
  <conditionalFormatting sqref="P90">
    <cfRule type="cellIs" dxfId="17" priority="85" stopIfTrue="1" operator="equal">
      <formula>0</formula>
    </cfRule>
  </conditionalFormatting>
  <conditionalFormatting sqref="P90">
    <cfRule type="cellIs" dxfId="16" priority="86" stopIfTrue="1" operator="lessThan">
      <formula>0</formula>
    </cfRule>
  </conditionalFormatting>
  <conditionalFormatting sqref="P90">
    <cfRule type="cellIs" dxfId="15" priority="87" stopIfTrue="1" operator="greaterThan">
      <formula>0</formula>
    </cfRule>
  </conditionalFormatting>
  <conditionalFormatting sqref="P92">
    <cfRule type="cellIs" dxfId="14" priority="88" stopIfTrue="1" operator="equal">
      <formula>0</formula>
    </cfRule>
  </conditionalFormatting>
  <conditionalFormatting sqref="P92">
    <cfRule type="cellIs" dxfId="13" priority="89" stopIfTrue="1" operator="lessThan">
      <formula>0</formula>
    </cfRule>
  </conditionalFormatting>
  <conditionalFormatting sqref="P92">
    <cfRule type="cellIs" dxfId="12" priority="90" stopIfTrue="1" operator="greaterThan">
      <formula>0</formula>
    </cfRule>
  </conditionalFormatting>
  <conditionalFormatting sqref="P96">
    <cfRule type="cellIs" dxfId="11" priority="91" stopIfTrue="1" operator="equal">
      <formula>0</formula>
    </cfRule>
  </conditionalFormatting>
  <conditionalFormatting sqref="P96">
    <cfRule type="cellIs" dxfId="10" priority="92" stopIfTrue="1" operator="lessThan">
      <formula>0</formula>
    </cfRule>
  </conditionalFormatting>
  <conditionalFormatting sqref="P96">
    <cfRule type="cellIs" dxfId="9" priority="93" stopIfTrue="1" operator="greaterThan">
      <formula>0</formula>
    </cfRule>
  </conditionalFormatting>
  <conditionalFormatting sqref="P98">
    <cfRule type="cellIs" dxfId="8" priority="94" stopIfTrue="1" operator="equal">
      <formula>0</formula>
    </cfRule>
  </conditionalFormatting>
  <conditionalFormatting sqref="P98">
    <cfRule type="cellIs" dxfId="7" priority="95" stopIfTrue="1" operator="lessThan">
      <formula>0</formula>
    </cfRule>
  </conditionalFormatting>
  <conditionalFormatting sqref="P98">
    <cfRule type="cellIs" dxfId="6" priority="96" stopIfTrue="1" operator="greaterThan">
      <formula>0</formula>
    </cfRule>
  </conditionalFormatting>
  <conditionalFormatting sqref="P102">
    <cfRule type="cellIs" dxfId="5" priority="97" stopIfTrue="1" operator="equal">
      <formula>0</formula>
    </cfRule>
  </conditionalFormatting>
  <conditionalFormatting sqref="P102">
    <cfRule type="cellIs" dxfId="4" priority="98" stopIfTrue="1" operator="lessThan">
      <formula>0</formula>
    </cfRule>
  </conditionalFormatting>
  <conditionalFormatting sqref="P102">
    <cfRule type="cellIs" dxfId="3" priority="99" stopIfTrue="1" operator="greaterThan">
      <formula>0</formula>
    </cfRule>
  </conditionalFormatting>
  <conditionalFormatting sqref="P104">
    <cfRule type="cellIs" dxfId="2" priority="100" stopIfTrue="1" operator="equal">
      <formula>0</formula>
    </cfRule>
  </conditionalFormatting>
  <conditionalFormatting sqref="P104">
    <cfRule type="cellIs" dxfId="1" priority="101" stopIfTrue="1" operator="lessThan">
      <formula>0</formula>
    </cfRule>
  </conditionalFormatting>
  <conditionalFormatting sqref="P104">
    <cfRule type="cellIs" dxfId="0" priority="10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0"/>
  <sheetViews>
    <sheetView zoomScale="85" zoomScaleNormal="85" workbookViewId="0"/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64" t="s">
        <v>365</v>
      </c>
      <c r="B1" s="165" t="s">
        <v>374</v>
      </c>
      <c r="C1" s="166" t="s">
        <v>375</v>
      </c>
      <c r="D1" s="166" t="s">
        <v>376</v>
      </c>
      <c r="E1" s="166" t="s">
        <v>377</v>
      </c>
      <c r="F1" s="166" t="s">
        <v>378</v>
      </c>
      <c r="G1" s="166" t="s">
        <v>379</v>
      </c>
      <c r="H1" s="166" t="s">
        <v>360</v>
      </c>
      <c r="I1" s="166" t="s">
        <v>380</v>
      </c>
      <c r="J1" s="167" t="s">
        <v>381</v>
      </c>
      <c r="K1" s="167" t="s">
        <v>382</v>
      </c>
      <c r="L1" s="167" t="s">
        <v>477</v>
      </c>
      <c r="M1" s="166" t="s">
        <v>384</v>
      </c>
      <c r="N1" s="168" t="s">
        <v>385</v>
      </c>
      <c r="O1" s="168" t="s">
        <v>386</v>
      </c>
      <c r="P1" s="167" t="s">
        <v>387</v>
      </c>
      <c r="Q1" s="169" t="s">
        <v>504</v>
      </c>
      <c r="R1" s="169" t="s">
        <v>505</v>
      </c>
      <c r="S1" s="169" t="s">
        <v>506</v>
      </c>
      <c r="T1" s="169" t="s">
        <v>507</v>
      </c>
      <c r="U1" s="169">
        <v>64</v>
      </c>
      <c r="V1" s="170">
        <v>72</v>
      </c>
      <c r="W1" s="170">
        <v>88</v>
      </c>
      <c r="X1" s="170">
        <v>105</v>
      </c>
      <c r="Y1" s="169" t="s">
        <v>418</v>
      </c>
    </row>
    <row r="2" spans="1:25" x14ac:dyDescent="0.3">
      <c r="A2" s="171" t="s">
        <v>449</v>
      </c>
      <c r="B2" s="171" t="s">
        <v>485</v>
      </c>
      <c r="C2" s="171" t="s">
        <v>478</v>
      </c>
      <c r="D2" s="171" t="s">
        <v>508</v>
      </c>
      <c r="E2" s="171" t="s">
        <v>450</v>
      </c>
      <c r="F2" s="171">
        <v>1</v>
      </c>
      <c r="G2" s="171" t="s">
        <v>394</v>
      </c>
      <c r="H2" s="171" t="s">
        <v>391</v>
      </c>
      <c r="I2" s="171" t="s">
        <v>495</v>
      </c>
      <c r="J2" s="171" t="s">
        <v>439</v>
      </c>
      <c r="K2" s="171" t="s">
        <v>450</v>
      </c>
      <c r="L2" s="171" t="s">
        <v>484</v>
      </c>
      <c r="M2" s="171" t="s">
        <v>393</v>
      </c>
      <c r="N2" s="171">
        <v>3</v>
      </c>
      <c r="O2" s="171"/>
      <c r="P2" s="172" t="s">
        <v>509</v>
      </c>
      <c r="Q2" s="173"/>
      <c r="R2" s="173"/>
      <c r="S2" s="173"/>
      <c r="T2" s="173"/>
      <c r="U2" s="173"/>
      <c r="V2" s="173">
        <v>2</v>
      </c>
      <c r="W2" s="173"/>
      <c r="X2" s="173"/>
      <c r="Y2" s="174">
        <v>1</v>
      </c>
    </row>
    <row r="3" spans="1:25" x14ac:dyDescent="0.3">
      <c r="A3" s="171" t="s">
        <v>492</v>
      </c>
      <c r="B3" s="171" t="s">
        <v>485</v>
      </c>
      <c r="C3" s="171" t="s">
        <v>478</v>
      </c>
      <c r="D3" s="171" t="s">
        <v>508</v>
      </c>
      <c r="E3" s="171" t="s">
        <v>493</v>
      </c>
      <c r="F3" s="171">
        <v>1</v>
      </c>
      <c r="G3" s="171" t="s">
        <v>394</v>
      </c>
      <c r="H3" s="171" t="s">
        <v>391</v>
      </c>
      <c r="I3" s="171" t="s">
        <v>512</v>
      </c>
      <c r="J3" s="171" t="s">
        <v>488</v>
      </c>
      <c r="K3" s="171" t="s">
        <v>493</v>
      </c>
      <c r="L3" s="171" t="s">
        <v>392</v>
      </c>
      <c r="M3" s="171" t="s">
        <v>393</v>
      </c>
      <c r="N3" s="171">
        <v>4</v>
      </c>
      <c r="O3" s="171"/>
      <c r="P3" s="172" t="s">
        <v>509</v>
      </c>
      <c r="Q3" s="173"/>
      <c r="R3" s="173"/>
      <c r="S3" s="173"/>
      <c r="T3" s="173"/>
      <c r="U3" s="173"/>
      <c r="V3" s="173">
        <v>2</v>
      </c>
      <c r="W3" s="173">
        <v>2</v>
      </c>
      <c r="X3" s="173"/>
      <c r="Y3" s="111">
        <v>0</v>
      </c>
    </row>
    <row r="4" spans="1:25" x14ac:dyDescent="0.3">
      <c r="A4" s="171"/>
      <c r="B4" s="171"/>
      <c r="C4" s="171" t="s">
        <v>478</v>
      </c>
      <c r="D4" s="171" t="s">
        <v>508</v>
      </c>
      <c r="E4" s="171" t="s">
        <v>493</v>
      </c>
      <c r="F4" s="171">
        <v>1</v>
      </c>
      <c r="G4" s="171" t="s">
        <v>394</v>
      </c>
      <c r="H4" s="171" t="s">
        <v>391</v>
      </c>
      <c r="I4" s="171" t="s">
        <v>514</v>
      </c>
      <c r="J4" s="171" t="s">
        <v>488</v>
      </c>
      <c r="K4" s="171" t="s">
        <v>493</v>
      </c>
      <c r="L4" s="171" t="s">
        <v>392</v>
      </c>
      <c r="M4" s="171" t="s">
        <v>393</v>
      </c>
      <c r="N4" s="171">
        <v>8</v>
      </c>
      <c r="O4" s="171"/>
      <c r="P4" s="172" t="s">
        <v>509</v>
      </c>
      <c r="Q4" s="173"/>
      <c r="R4" s="173"/>
      <c r="S4" s="173"/>
      <c r="T4" s="173"/>
      <c r="U4" s="173"/>
      <c r="V4" s="173">
        <v>6</v>
      </c>
      <c r="W4" s="173">
        <v>2</v>
      </c>
      <c r="X4" s="173"/>
      <c r="Y4" s="111">
        <v>0</v>
      </c>
    </row>
    <row r="5" spans="1:25" x14ac:dyDescent="0.3">
      <c r="A5" s="171" t="s">
        <v>542</v>
      </c>
      <c r="B5" s="171" t="s">
        <v>485</v>
      </c>
      <c r="C5" s="171" t="s">
        <v>478</v>
      </c>
      <c r="D5" s="171" t="s">
        <v>508</v>
      </c>
      <c r="E5" s="171" t="s">
        <v>543</v>
      </c>
      <c r="F5" s="171">
        <v>1</v>
      </c>
      <c r="G5" s="171" t="s">
        <v>394</v>
      </c>
      <c r="H5" s="171" t="s">
        <v>391</v>
      </c>
      <c r="I5" s="171"/>
      <c r="J5" s="171" t="s">
        <v>488</v>
      </c>
      <c r="K5" s="171" t="s">
        <v>543</v>
      </c>
      <c r="L5" s="171" t="s">
        <v>392</v>
      </c>
      <c r="M5" s="171" t="s">
        <v>393</v>
      </c>
      <c r="N5" s="171">
        <v>20</v>
      </c>
      <c r="O5" s="171"/>
      <c r="P5" s="172" t="s">
        <v>544</v>
      </c>
      <c r="Q5" s="173"/>
      <c r="R5" s="173"/>
      <c r="S5" s="173"/>
      <c r="T5" s="173"/>
      <c r="U5" s="173"/>
      <c r="V5" s="173"/>
      <c r="W5" s="173">
        <v>4</v>
      </c>
      <c r="X5" s="173">
        <v>3</v>
      </c>
      <c r="Y5" s="174">
        <v>13</v>
      </c>
    </row>
    <row r="6" spans="1:25" x14ac:dyDescent="0.3">
      <c r="A6" s="171" t="s">
        <v>546</v>
      </c>
      <c r="B6" s="171" t="s">
        <v>485</v>
      </c>
      <c r="C6" s="171" t="s">
        <v>478</v>
      </c>
      <c r="D6" s="171" t="s">
        <v>508</v>
      </c>
      <c r="E6" s="171" t="s">
        <v>547</v>
      </c>
      <c r="F6" s="171">
        <v>1</v>
      </c>
      <c r="G6" s="171" t="s">
        <v>394</v>
      </c>
      <c r="H6" s="171" t="s">
        <v>391</v>
      </c>
      <c r="I6" s="171" t="s">
        <v>548</v>
      </c>
      <c r="J6" s="171" t="s">
        <v>488</v>
      </c>
      <c r="K6" s="171" t="s">
        <v>547</v>
      </c>
      <c r="L6" s="171" t="s">
        <v>392</v>
      </c>
      <c r="M6" s="171" t="s">
        <v>393</v>
      </c>
      <c r="N6" s="171">
        <v>20</v>
      </c>
      <c r="O6" s="171"/>
      <c r="P6" s="172" t="s">
        <v>544</v>
      </c>
      <c r="Q6" s="173"/>
      <c r="R6" s="173"/>
      <c r="S6" s="173"/>
      <c r="T6" s="173"/>
      <c r="U6" s="173">
        <v>8</v>
      </c>
      <c r="V6" s="173">
        <v>12</v>
      </c>
      <c r="W6" s="173"/>
      <c r="X6" s="173"/>
      <c r="Y6" s="111">
        <v>0</v>
      </c>
    </row>
    <row r="7" spans="1:25" x14ac:dyDescent="0.3">
      <c r="A7" s="171" t="s">
        <v>449</v>
      </c>
      <c r="B7" s="171" t="s">
        <v>485</v>
      </c>
      <c r="C7" s="171" t="s">
        <v>478</v>
      </c>
      <c r="D7" s="171" t="s">
        <v>508</v>
      </c>
      <c r="E7" s="171" t="s">
        <v>450</v>
      </c>
      <c r="F7" s="171">
        <v>1</v>
      </c>
      <c r="G7" s="171" t="s">
        <v>394</v>
      </c>
      <c r="H7" s="171" t="s">
        <v>391</v>
      </c>
      <c r="I7" s="171" t="s">
        <v>495</v>
      </c>
      <c r="J7" s="171" t="s">
        <v>439</v>
      </c>
      <c r="K7" s="171" t="s">
        <v>450</v>
      </c>
      <c r="L7" s="171" t="s">
        <v>392</v>
      </c>
      <c r="M7" s="171" t="s">
        <v>393</v>
      </c>
      <c r="N7" s="171">
        <v>20</v>
      </c>
      <c r="O7" s="171"/>
      <c r="P7" s="172" t="s">
        <v>544</v>
      </c>
      <c r="Q7" s="173"/>
      <c r="R7" s="173"/>
      <c r="S7" s="173"/>
      <c r="T7" s="173"/>
      <c r="U7" s="173"/>
      <c r="V7" s="173"/>
      <c r="W7" s="173"/>
      <c r="X7" s="173"/>
      <c r="Y7" s="174">
        <v>20</v>
      </c>
    </row>
    <row r="8" spans="1:25" x14ac:dyDescent="0.3">
      <c r="A8" s="171" t="s">
        <v>492</v>
      </c>
      <c r="B8" s="171" t="s">
        <v>485</v>
      </c>
      <c r="C8" s="171" t="s">
        <v>478</v>
      </c>
      <c r="D8" s="171" t="s">
        <v>508</v>
      </c>
      <c r="E8" s="171" t="s">
        <v>493</v>
      </c>
      <c r="F8" s="171">
        <v>1</v>
      </c>
      <c r="G8" s="171" t="s">
        <v>394</v>
      </c>
      <c r="H8" s="171" t="s">
        <v>391</v>
      </c>
      <c r="I8" s="171" t="s">
        <v>551</v>
      </c>
      <c r="J8" s="171" t="s">
        <v>488</v>
      </c>
      <c r="K8" s="171" t="s">
        <v>493</v>
      </c>
      <c r="L8" s="171" t="s">
        <v>392</v>
      </c>
      <c r="M8" s="171" t="s">
        <v>393</v>
      </c>
      <c r="N8" s="171">
        <v>20</v>
      </c>
      <c r="O8" s="171"/>
      <c r="P8" s="172" t="s">
        <v>544</v>
      </c>
      <c r="Q8" s="173"/>
      <c r="R8" s="173"/>
      <c r="S8" s="173"/>
      <c r="T8" s="173"/>
      <c r="U8" s="173"/>
      <c r="V8" s="173"/>
      <c r="W8" s="173"/>
      <c r="X8" s="173"/>
      <c r="Y8" s="174">
        <v>20</v>
      </c>
    </row>
    <row r="9" spans="1:25" x14ac:dyDescent="0.3">
      <c r="A9" s="171"/>
      <c r="B9" s="171"/>
      <c r="C9" s="171" t="s">
        <v>478</v>
      </c>
      <c r="D9" s="171" t="s">
        <v>508</v>
      </c>
      <c r="E9" s="171" t="s">
        <v>493</v>
      </c>
      <c r="F9" s="171">
        <v>1</v>
      </c>
      <c r="G9" s="171" t="s">
        <v>394</v>
      </c>
      <c r="H9" s="171" t="s">
        <v>391</v>
      </c>
      <c r="I9" s="171" t="s">
        <v>552</v>
      </c>
      <c r="J9" s="171" t="s">
        <v>488</v>
      </c>
      <c r="K9" s="171" t="s">
        <v>493</v>
      </c>
      <c r="L9" s="171" t="s">
        <v>392</v>
      </c>
      <c r="M9" s="171" t="s">
        <v>393</v>
      </c>
      <c r="N9" s="171">
        <v>20</v>
      </c>
      <c r="O9" s="171"/>
      <c r="P9" s="172" t="s">
        <v>544</v>
      </c>
      <c r="Q9" s="173"/>
      <c r="R9" s="173"/>
      <c r="S9" s="173"/>
      <c r="T9" s="173"/>
      <c r="U9" s="173"/>
      <c r="V9" s="173"/>
      <c r="W9" s="173"/>
      <c r="X9" s="173"/>
      <c r="Y9" s="174">
        <v>20</v>
      </c>
    </row>
    <row r="10" spans="1:25" x14ac:dyDescent="0.3">
      <c r="A10" s="171" t="s">
        <v>486</v>
      </c>
      <c r="B10" s="171" t="s">
        <v>485</v>
      </c>
      <c r="C10" s="171" t="s">
        <v>478</v>
      </c>
      <c r="D10" s="171" t="s">
        <v>508</v>
      </c>
      <c r="E10" s="171" t="s">
        <v>487</v>
      </c>
      <c r="F10" s="171">
        <v>1</v>
      </c>
      <c r="G10" s="171" t="s">
        <v>394</v>
      </c>
      <c r="H10" s="171" t="s">
        <v>391</v>
      </c>
      <c r="I10" s="171"/>
      <c r="J10" s="171" t="s">
        <v>488</v>
      </c>
      <c r="K10" s="171" t="s">
        <v>487</v>
      </c>
      <c r="L10" s="171" t="s">
        <v>481</v>
      </c>
      <c r="M10" s="171" t="s">
        <v>393</v>
      </c>
      <c r="N10" s="171">
        <v>50</v>
      </c>
      <c r="O10" s="171"/>
      <c r="P10" s="172" t="s">
        <v>553</v>
      </c>
      <c r="Q10" s="173"/>
      <c r="R10" s="173"/>
      <c r="S10" s="173"/>
      <c r="T10" s="173"/>
      <c r="U10" s="173">
        <v>10</v>
      </c>
      <c r="V10" s="173">
        <v>29</v>
      </c>
      <c r="W10" s="173">
        <v>11</v>
      </c>
      <c r="X10" s="173"/>
      <c r="Y10" s="111">
        <v>0</v>
      </c>
    </row>
    <row r="11" spans="1:25" x14ac:dyDescent="0.3">
      <c r="A11" s="171"/>
      <c r="B11" s="171" t="s">
        <v>389</v>
      </c>
      <c r="C11" s="171" t="s">
        <v>396</v>
      </c>
      <c r="D11" s="171" t="s">
        <v>508</v>
      </c>
      <c r="E11" s="171" t="s">
        <v>487</v>
      </c>
      <c r="F11" s="171">
        <v>1</v>
      </c>
      <c r="G11" s="171" t="s">
        <v>390</v>
      </c>
      <c r="H11" s="171" t="s">
        <v>391</v>
      </c>
      <c r="I11" s="171"/>
      <c r="J11" s="171" t="s">
        <v>488</v>
      </c>
      <c r="K11" s="171" t="s">
        <v>487</v>
      </c>
      <c r="L11" s="171" t="s">
        <v>481</v>
      </c>
      <c r="M11" s="171" t="s">
        <v>393</v>
      </c>
      <c r="N11" s="171">
        <v>30</v>
      </c>
      <c r="O11" s="171"/>
      <c r="P11" s="172" t="s">
        <v>536</v>
      </c>
      <c r="Q11" s="173"/>
      <c r="R11" s="173"/>
      <c r="S11" s="173"/>
      <c r="T11" s="173"/>
      <c r="U11" s="173"/>
      <c r="V11" s="173">
        <v>4</v>
      </c>
      <c r="W11" s="173">
        <v>1</v>
      </c>
      <c r="X11" s="173">
        <v>25</v>
      </c>
      <c r="Y11" s="111">
        <v>0</v>
      </c>
    </row>
    <row r="12" spans="1:25" x14ac:dyDescent="0.3">
      <c r="A12" s="171"/>
      <c r="B12" s="171" t="s">
        <v>485</v>
      </c>
      <c r="C12" s="171" t="s">
        <v>478</v>
      </c>
      <c r="D12" s="171" t="s">
        <v>508</v>
      </c>
      <c r="E12" s="171" t="s">
        <v>487</v>
      </c>
      <c r="F12" s="171">
        <v>1</v>
      </c>
      <c r="G12" s="171" t="s">
        <v>411</v>
      </c>
      <c r="H12" s="171" t="s">
        <v>391</v>
      </c>
      <c r="I12" s="171"/>
      <c r="J12" s="171" t="s">
        <v>488</v>
      </c>
      <c r="K12" s="171" t="s">
        <v>487</v>
      </c>
      <c r="L12" s="171" t="s">
        <v>481</v>
      </c>
      <c r="M12" s="171" t="s">
        <v>393</v>
      </c>
      <c r="N12" s="171">
        <v>30</v>
      </c>
      <c r="O12" s="171"/>
      <c r="P12" s="172" t="s">
        <v>544</v>
      </c>
      <c r="Q12" s="173"/>
      <c r="R12" s="173"/>
      <c r="S12" s="173"/>
      <c r="T12" s="173"/>
      <c r="U12" s="173"/>
      <c r="V12" s="173">
        <v>19</v>
      </c>
      <c r="W12" s="173">
        <v>8</v>
      </c>
      <c r="X12" s="173"/>
      <c r="Y12" s="174">
        <v>3</v>
      </c>
    </row>
    <row r="13" spans="1:25" x14ac:dyDescent="0.3">
      <c r="A13" s="171" t="s">
        <v>486</v>
      </c>
      <c r="B13" s="171" t="s">
        <v>485</v>
      </c>
      <c r="C13" s="171" t="s">
        <v>478</v>
      </c>
      <c r="D13" s="171" t="s">
        <v>508</v>
      </c>
      <c r="E13" s="171" t="s">
        <v>487</v>
      </c>
      <c r="F13" s="171">
        <v>1</v>
      </c>
      <c r="G13" s="171" t="s">
        <v>394</v>
      </c>
      <c r="H13" s="171" t="s">
        <v>391</v>
      </c>
      <c r="I13" s="171"/>
      <c r="J13" s="171" t="s">
        <v>488</v>
      </c>
      <c r="K13" s="171" t="s">
        <v>487</v>
      </c>
      <c r="L13" s="171" t="s">
        <v>481</v>
      </c>
      <c r="M13" s="171" t="s">
        <v>393</v>
      </c>
      <c r="N13" s="171">
        <v>50</v>
      </c>
      <c r="O13" s="171"/>
      <c r="P13" s="172" t="s">
        <v>553</v>
      </c>
      <c r="Q13" s="173"/>
      <c r="R13" s="173"/>
      <c r="S13" s="173"/>
      <c r="T13" s="173"/>
      <c r="U13" s="173">
        <v>10</v>
      </c>
      <c r="V13" s="173">
        <v>11</v>
      </c>
      <c r="W13" s="173">
        <v>11</v>
      </c>
      <c r="X13" s="173"/>
      <c r="Y13" s="174">
        <v>18</v>
      </c>
    </row>
    <row r="14" spans="1:25" x14ac:dyDescent="0.3">
      <c r="A14" s="171"/>
      <c r="B14" s="171" t="s">
        <v>389</v>
      </c>
      <c r="C14" s="171" t="s">
        <v>396</v>
      </c>
      <c r="D14" s="171" t="s">
        <v>508</v>
      </c>
      <c r="E14" s="171" t="s">
        <v>487</v>
      </c>
      <c r="F14" s="171">
        <v>1</v>
      </c>
      <c r="G14" s="171" t="s">
        <v>390</v>
      </c>
      <c r="H14" s="171" t="s">
        <v>391</v>
      </c>
      <c r="I14" s="171"/>
      <c r="J14" s="171" t="s">
        <v>488</v>
      </c>
      <c r="K14" s="171" t="s">
        <v>487</v>
      </c>
      <c r="L14" s="171" t="s">
        <v>481</v>
      </c>
      <c r="M14" s="171" t="s">
        <v>393</v>
      </c>
      <c r="N14" s="171">
        <v>30</v>
      </c>
      <c r="O14" s="171"/>
      <c r="P14" s="172" t="s">
        <v>536</v>
      </c>
      <c r="Q14" s="173"/>
      <c r="R14" s="173"/>
      <c r="S14" s="173"/>
      <c r="T14" s="173"/>
      <c r="U14" s="173"/>
      <c r="V14" s="173">
        <v>3</v>
      </c>
      <c r="W14" s="173">
        <v>2</v>
      </c>
      <c r="X14" s="173">
        <v>2</v>
      </c>
      <c r="Y14" s="174">
        <v>23</v>
      </c>
    </row>
    <row r="15" spans="1:25" x14ac:dyDescent="0.3">
      <c r="A15" s="171"/>
      <c r="B15" s="171" t="s">
        <v>485</v>
      </c>
      <c r="C15" s="171" t="s">
        <v>478</v>
      </c>
      <c r="D15" s="171" t="s">
        <v>508</v>
      </c>
      <c r="E15" s="171" t="s">
        <v>487</v>
      </c>
      <c r="F15" s="171">
        <v>1</v>
      </c>
      <c r="G15" s="171" t="s">
        <v>411</v>
      </c>
      <c r="H15" s="171" t="s">
        <v>391</v>
      </c>
      <c r="I15" s="171"/>
      <c r="J15" s="171" t="s">
        <v>488</v>
      </c>
      <c r="K15" s="171" t="s">
        <v>487</v>
      </c>
      <c r="L15" s="171" t="s">
        <v>481</v>
      </c>
      <c r="M15" s="171" t="s">
        <v>393</v>
      </c>
      <c r="N15" s="171">
        <v>30</v>
      </c>
      <c r="O15" s="171"/>
      <c r="P15" s="172" t="s">
        <v>544</v>
      </c>
      <c r="Q15" s="173"/>
      <c r="R15" s="173"/>
      <c r="S15" s="173"/>
      <c r="T15" s="173"/>
      <c r="U15" s="173"/>
      <c r="V15" s="173"/>
      <c r="W15" s="173"/>
      <c r="X15" s="173"/>
      <c r="Y15" s="174">
        <v>30</v>
      </c>
    </row>
    <row r="16" spans="1:25" x14ac:dyDescent="0.3">
      <c r="A16" s="171" t="s">
        <v>395</v>
      </c>
      <c r="B16" s="171" t="s">
        <v>389</v>
      </c>
      <c r="C16" s="171" t="s">
        <v>396</v>
      </c>
      <c r="D16" s="171" t="s">
        <v>508</v>
      </c>
      <c r="E16" s="171" t="s">
        <v>397</v>
      </c>
      <c r="F16" s="171">
        <v>1</v>
      </c>
      <c r="G16" s="171" t="s">
        <v>390</v>
      </c>
      <c r="H16" s="171" t="s">
        <v>391</v>
      </c>
      <c r="I16" s="171" t="s">
        <v>535</v>
      </c>
      <c r="J16" s="171" t="s">
        <v>398</v>
      </c>
      <c r="K16" s="171" t="s">
        <v>397</v>
      </c>
      <c r="L16" s="171" t="s">
        <v>392</v>
      </c>
      <c r="M16" s="171" t="s">
        <v>399</v>
      </c>
      <c r="N16" s="171"/>
      <c r="O16" s="171">
        <v>74</v>
      </c>
      <c r="P16" s="172" t="s">
        <v>536</v>
      </c>
      <c r="Q16" s="173"/>
      <c r="R16" s="173"/>
      <c r="S16" s="173">
        <v>13</v>
      </c>
      <c r="T16" s="173">
        <v>38</v>
      </c>
      <c r="U16" s="173">
        <v>11</v>
      </c>
      <c r="V16" s="173"/>
      <c r="W16" s="173"/>
      <c r="X16" s="173"/>
      <c r="Y16" s="174">
        <v>12</v>
      </c>
    </row>
    <row r="17" spans="1:25" x14ac:dyDescent="0.3">
      <c r="A17" s="171"/>
      <c r="B17" s="171"/>
      <c r="C17" s="171" t="s">
        <v>396</v>
      </c>
      <c r="D17" s="171" t="s">
        <v>508</v>
      </c>
      <c r="E17" s="171" t="s">
        <v>397</v>
      </c>
      <c r="F17" s="171">
        <v>1</v>
      </c>
      <c r="G17" s="171" t="s">
        <v>558</v>
      </c>
      <c r="H17" s="171" t="s">
        <v>419</v>
      </c>
      <c r="I17" s="171" t="s">
        <v>430</v>
      </c>
      <c r="J17" s="171" t="s">
        <v>398</v>
      </c>
      <c r="K17" s="171" t="s">
        <v>397</v>
      </c>
      <c r="L17" s="171" t="s">
        <v>392</v>
      </c>
      <c r="M17" s="171" t="s">
        <v>399</v>
      </c>
      <c r="N17" s="171"/>
      <c r="O17" s="171">
        <v>15</v>
      </c>
      <c r="P17" s="172" t="s">
        <v>536</v>
      </c>
      <c r="Q17" s="173">
        <v>1</v>
      </c>
      <c r="R17" s="173">
        <v>4</v>
      </c>
      <c r="S17" s="173"/>
      <c r="T17" s="173"/>
      <c r="U17" s="173"/>
      <c r="V17" s="173"/>
      <c r="W17" s="173"/>
      <c r="X17" s="173"/>
      <c r="Y17" s="174">
        <v>10</v>
      </c>
    </row>
    <row r="18" spans="1:25" ht="15" thickBot="1" x14ac:dyDescent="0.35">
      <c r="A18" s="171"/>
      <c r="B18" s="171"/>
      <c r="C18" s="171" t="s">
        <v>396</v>
      </c>
      <c r="D18" s="171" t="s">
        <v>508</v>
      </c>
      <c r="E18" s="171" t="s">
        <v>397</v>
      </c>
      <c r="F18" s="171">
        <v>1</v>
      </c>
      <c r="G18" s="171" t="s">
        <v>390</v>
      </c>
      <c r="H18" s="171" t="s">
        <v>391</v>
      </c>
      <c r="I18" s="171" t="s">
        <v>430</v>
      </c>
      <c r="J18" s="171" t="s">
        <v>398</v>
      </c>
      <c r="K18" s="171" t="s">
        <v>397</v>
      </c>
      <c r="L18" s="171" t="s">
        <v>392</v>
      </c>
      <c r="M18" s="171" t="s">
        <v>399</v>
      </c>
      <c r="N18" s="171"/>
      <c r="O18" s="171">
        <v>15</v>
      </c>
      <c r="P18" s="172" t="s">
        <v>536</v>
      </c>
      <c r="Q18" s="173"/>
      <c r="R18" s="173"/>
      <c r="S18" s="173"/>
      <c r="T18" s="173"/>
      <c r="U18" s="173"/>
      <c r="V18" s="173"/>
      <c r="W18" s="173"/>
      <c r="X18" s="173"/>
      <c r="Y18" s="174">
        <v>15</v>
      </c>
    </row>
    <row r="19" spans="1:25" ht="15" thickBot="1" x14ac:dyDescent="0.35">
      <c r="A19" s="175" t="s">
        <v>407</v>
      </c>
      <c r="B19" s="17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>
        <v>335</v>
      </c>
      <c r="O19" s="175">
        <v>104</v>
      </c>
      <c r="P19" s="176"/>
      <c r="Q19" s="177">
        <v>1</v>
      </c>
      <c r="R19" s="177">
        <v>4</v>
      </c>
      <c r="S19" s="177">
        <v>13</v>
      </c>
      <c r="T19" s="177">
        <v>38</v>
      </c>
      <c r="U19" s="177">
        <v>39</v>
      </c>
      <c r="V19" s="177">
        <v>88</v>
      </c>
      <c r="W19" s="177">
        <v>41</v>
      </c>
      <c r="X19" s="177">
        <v>30</v>
      </c>
      <c r="Y19" s="178">
        <v>185</v>
      </c>
    </row>
    <row r="20" spans="1:25" x14ac:dyDescent="0.3">
      <c r="A20" s="179"/>
      <c r="B20" s="179"/>
      <c r="C20" s="179"/>
      <c r="D20" s="179"/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</row>
  </sheetData>
  <pageMargins left="0.7" right="0.7" top="0.75" bottom="0.75" header="0.3" footer="0.3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button id="btnRevertUpdate" label="Revert Last Update" onAction="RevertLastUpdate_R" imageMso="Undo" size="large" screentip="Revert Last Update" supertip="Reverts back to the version Module1 had before your last update, and asks whether to email Tiaan the reason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2026-09-18T14:09:23Z</cp:lastPrinted>
  <dcterms:created xsi:type="dcterms:W3CDTF">2024-02-27T12:12:19Z</dcterms:created>
  <dcterms:modified xsi:type="dcterms:W3CDTF">2026-09-23T12:50:53Z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9303</vt:lpwstr>
  </property>
  <property fmtid="{D5CDD505-2E9C-101B-9397-08002B2CF9AE}" pid="6" name="PickRef1">
    <vt:lpwstr>9103</vt:lpwstr>
  </property>
  <property fmtid="{D5CDD505-2E9C-101B-9397-08002B2CF9AE}" pid="7" name="LastUpdated">
    <vt:lpwstr>Last Updated: 23/09/2026 11:41:50</vt:lpwstr>
  </property>
  <property fmtid="{D5CDD505-2E9C-101B-9397-08002B2CF9AE}" pid="8" name="LastSent">
    <vt:lpwstr>Last Sent: 23/09/2026 10:21:34</vt:lpwstr>
  </property>
  <property fmtid="{D5CDD505-2E9C-101B-9397-08002B2CF9AE}" pid="9" name="EntitlementStatus">
    <vt:lpwstr>active</vt:lpwstr>
  </property>
  <property fmtid="{D5CDD505-2E9C-101B-9397-08002B2CF9AE}" pid="10" name="EntitlementCheckedAt">
    <vt:lpwstr>23/09/2026 11:41:33</vt:lpwstr>
  </property>
</Properties>
</file>