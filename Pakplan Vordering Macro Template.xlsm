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156C95FF-E97E-466E-84D4-67D5EBC9DEC0}" xr6:coauthVersionLast="47" xr6:coauthVersionMax="47" xr10:uidLastSave="{00000000-0000-0000-0000-000000000000}"/>
  <bookViews>
    <workbookView xWindow="-108" yWindow="-108" windowWidth="23256" windowHeight="12456" activeTab="4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Data!$A$1:$R$349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3" i="29" l="1"/>
  <c r="W123" i="29"/>
  <c r="V123" i="29"/>
  <c r="U123" i="29"/>
  <c r="T123" i="29"/>
  <c r="T121" i="29" s="1"/>
  <c r="S123" i="29"/>
  <c r="S121" i="29" s="1"/>
  <c r="R123" i="29"/>
  <c r="R121" i="29" s="1"/>
  <c r="Q123" i="29"/>
  <c r="Q121" i="29" s="1"/>
  <c r="X121" i="29"/>
  <c r="W121" i="29"/>
  <c r="V121" i="29"/>
  <c r="U121" i="29"/>
  <c r="X117" i="29"/>
  <c r="X115" i="29" s="1"/>
  <c r="W117" i="29"/>
  <c r="W115" i="29" s="1"/>
  <c r="V117" i="29"/>
  <c r="V115" i="29" s="1"/>
  <c r="U117" i="29"/>
  <c r="U115" i="29" s="1"/>
  <c r="T117" i="29"/>
  <c r="T115" i="29" s="1"/>
  <c r="S117" i="29"/>
  <c r="S115" i="29" s="1"/>
  <c r="R117" i="29"/>
  <c r="R115" i="29" s="1"/>
  <c r="Q117" i="29"/>
  <c r="Q115" i="29" s="1"/>
  <c r="X111" i="29"/>
  <c r="X109" i="29" s="1"/>
  <c r="W111" i="29"/>
  <c r="W109" i="29" s="1"/>
  <c r="V111" i="29"/>
  <c r="V109" i="29" s="1"/>
  <c r="U111" i="29"/>
  <c r="U109" i="29" s="1"/>
  <c r="T111" i="29"/>
  <c r="S111" i="29"/>
  <c r="R111" i="29"/>
  <c r="Q111" i="29"/>
  <c r="T109" i="29"/>
  <c r="S109" i="29"/>
  <c r="R109" i="29"/>
  <c r="Q109" i="29"/>
  <c r="X105" i="29"/>
  <c r="W105" i="29"/>
  <c r="V105" i="29"/>
  <c r="U105" i="29"/>
  <c r="T105" i="29"/>
  <c r="T103" i="29" s="1"/>
  <c r="S105" i="29"/>
  <c r="S103" i="29" s="1"/>
  <c r="R105" i="29"/>
  <c r="R103" i="29" s="1"/>
  <c r="Q105" i="29"/>
  <c r="Q103" i="29" s="1"/>
  <c r="X103" i="29"/>
  <c r="W103" i="29"/>
  <c r="V103" i="29"/>
  <c r="U103" i="29"/>
  <c r="X99" i="29"/>
  <c r="X97" i="29" s="1"/>
  <c r="W99" i="29"/>
  <c r="W97" i="29" s="1"/>
  <c r="V99" i="29"/>
  <c r="V97" i="29" s="1"/>
  <c r="U99" i="29"/>
  <c r="U97" i="29" s="1"/>
  <c r="T99" i="29"/>
  <c r="T97" i="29" s="1"/>
  <c r="S99" i="29"/>
  <c r="S97" i="29" s="1"/>
  <c r="R99" i="29"/>
  <c r="R97" i="29" s="1"/>
  <c r="Q99" i="29"/>
  <c r="Q97" i="29" s="1"/>
  <c r="X93" i="29"/>
  <c r="X91" i="29" s="1"/>
  <c r="U93" i="29"/>
  <c r="U91" i="29" s="1"/>
  <c r="T93" i="29"/>
  <c r="S93" i="29"/>
  <c r="R93" i="29"/>
  <c r="Q93" i="29"/>
  <c r="T91" i="29"/>
  <c r="S91" i="29"/>
  <c r="R91" i="29"/>
  <c r="Q91" i="29"/>
  <c r="U87" i="29"/>
  <c r="T87" i="29"/>
  <c r="T85" i="29" s="1"/>
  <c r="S87" i="29"/>
  <c r="S85" i="29" s="1"/>
  <c r="R87" i="29"/>
  <c r="R85" i="29" s="1"/>
  <c r="Q87" i="29"/>
  <c r="Q85" i="29" s="1"/>
  <c r="U85" i="29"/>
  <c r="X81" i="29"/>
  <c r="X79" i="29" s="1"/>
  <c r="U81" i="29"/>
  <c r="U79" i="29" s="1"/>
  <c r="T81" i="29"/>
  <c r="T79" i="29" s="1"/>
  <c r="S81" i="29"/>
  <c r="S79" i="29" s="1"/>
  <c r="R81" i="29"/>
  <c r="R79" i="29" s="1"/>
  <c r="Q81" i="29"/>
  <c r="Q79" i="29" s="1"/>
  <c r="U75" i="29"/>
  <c r="U73" i="29" s="1"/>
  <c r="T75" i="29"/>
  <c r="S75" i="29"/>
  <c r="R75" i="29"/>
  <c r="Q75" i="29"/>
  <c r="T73" i="29"/>
  <c r="S73" i="29"/>
  <c r="R73" i="29"/>
  <c r="Q73" i="29"/>
  <c r="X69" i="29"/>
  <c r="T69" i="29"/>
  <c r="T67" i="29" s="1"/>
  <c r="S69" i="29"/>
  <c r="S67" i="29" s="1"/>
  <c r="R69" i="29"/>
  <c r="R67" i="29" s="1"/>
  <c r="Q69" i="29"/>
  <c r="Q67" i="29" s="1"/>
  <c r="X67" i="29"/>
  <c r="X63" i="29"/>
  <c r="X61" i="29" s="1"/>
  <c r="W63" i="29"/>
  <c r="W81" i="29" s="1"/>
  <c r="V63" i="29"/>
  <c r="V61" i="29" s="1"/>
  <c r="U63" i="29"/>
  <c r="U61" i="29" s="1"/>
  <c r="T63" i="29"/>
  <c r="T61" i="29" s="1"/>
  <c r="S63" i="29"/>
  <c r="S61" i="29" s="1"/>
  <c r="R63" i="29"/>
  <c r="R61" i="29" s="1"/>
  <c r="Q63" i="29"/>
  <c r="Q61" i="29" s="1"/>
  <c r="X57" i="29"/>
  <c r="W57" i="29"/>
  <c r="V57" i="29"/>
  <c r="U57" i="29"/>
  <c r="U55" i="29" s="1"/>
  <c r="T57" i="29"/>
  <c r="S57" i="29"/>
  <c r="R57" i="29"/>
  <c r="Q57" i="29"/>
  <c r="T55" i="29"/>
  <c r="S55" i="29"/>
  <c r="R55" i="29"/>
  <c r="Q55" i="29"/>
  <c r="X51" i="29"/>
  <c r="W69" i="29"/>
  <c r="W67" i="29" s="1"/>
  <c r="V69" i="29"/>
  <c r="V67" i="29" s="1"/>
  <c r="U69" i="29"/>
  <c r="U67" i="29" s="1"/>
  <c r="T51" i="29"/>
  <c r="T49" i="29" s="1"/>
  <c r="S51" i="29"/>
  <c r="S49" i="29" s="1"/>
  <c r="R51" i="29"/>
  <c r="R49" i="29" s="1"/>
  <c r="Q51" i="29"/>
  <c r="Q49" i="29" s="1"/>
  <c r="X49" i="29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R39" i="29"/>
  <c r="Q39" i="29"/>
  <c r="T37" i="29"/>
  <c r="S37" i="29"/>
  <c r="R37" i="29"/>
  <c r="Q37" i="29"/>
  <c r="X33" i="29"/>
  <c r="W33" i="29"/>
  <c r="V33" i="29"/>
  <c r="U33" i="29"/>
  <c r="T33" i="29"/>
  <c r="T31" i="29" s="1"/>
  <c r="S33" i="29"/>
  <c r="S31" i="29" s="1"/>
  <c r="R33" i="29"/>
  <c r="R31" i="29" s="1"/>
  <c r="Q33" i="29"/>
  <c r="Q31" i="29" s="1"/>
  <c r="X31" i="29"/>
  <c r="W31" i="29"/>
  <c r="V31" i="29"/>
  <c r="U31" i="29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X19" i="29" s="1"/>
  <c r="W21" i="29"/>
  <c r="W19" i="29" s="1"/>
  <c r="V21" i="29"/>
  <c r="V19" i="29" s="1"/>
  <c r="U21" i="29"/>
  <c r="U19" i="29" s="1"/>
  <c r="T21" i="29"/>
  <c r="S21" i="29"/>
  <c r="R21" i="29"/>
  <c r="Q21" i="29"/>
  <c r="T19" i="29"/>
  <c r="S19" i="29"/>
  <c r="R19" i="29"/>
  <c r="Q19" i="29"/>
  <c r="X15" i="29"/>
  <c r="W15" i="29"/>
  <c r="V15" i="29"/>
  <c r="U15" i="29"/>
  <c r="T15" i="29"/>
  <c r="T13" i="29" s="1"/>
  <c r="S15" i="29"/>
  <c r="S13" i="29" s="1"/>
  <c r="R15" i="29"/>
  <c r="R13" i="29" s="1"/>
  <c r="Q15" i="29"/>
  <c r="Q13" i="29" s="1"/>
  <c r="X13" i="29"/>
  <c r="W13" i="29"/>
  <c r="V13" i="29"/>
  <c r="U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W93" i="29" l="1"/>
  <c r="W75" i="29"/>
  <c r="V75" i="29"/>
  <c r="V73" i="29" s="1"/>
  <c r="X75" i="29"/>
  <c r="V81" i="29"/>
  <c r="W61" i="29"/>
  <c r="W79" i="29" s="1"/>
  <c r="W8" i="13"/>
  <c r="W10" i="29"/>
  <c r="W11" i="29" s="1"/>
  <c r="V120" i="29"/>
  <c r="R120" i="29"/>
  <c r="U114" i="29"/>
  <c r="W108" i="29"/>
  <c r="S108" i="29"/>
  <c r="V102" i="29"/>
  <c r="X96" i="29"/>
  <c r="V96" i="29"/>
  <c r="R96" i="29"/>
  <c r="R90" i="29"/>
  <c r="U84" i="29"/>
  <c r="U78" i="29"/>
  <c r="S78" i="29"/>
  <c r="T72" i="29"/>
  <c r="R72" i="29"/>
  <c r="X66" i="29"/>
  <c r="T66" i="29"/>
  <c r="R66" i="29"/>
  <c r="R60" i="29"/>
  <c r="S48" i="29"/>
  <c r="W42" i="29"/>
  <c r="W44" i="29" s="1"/>
  <c r="U42" i="29"/>
  <c r="U44" i="29" s="1"/>
  <c r="S42" i="29"/>
  <c r="S44" i="29" s="1"/>
  <c r="R36" i="29"/>
  <c r="R38" i="29" s="1"/>
  <c r="S36" i="29"/>
  <c r="S38" i="29" s="1"/>
  <c r="V30" i="29"/>
  <c r="V32" i="29" s="1"/>
  <c r="R30" i="29"/>
  <c r="R32" i="29" s="1"/>
  <c r="U24" i="29"/>
  <c r="U26" i="29" s="1"/>
  <c r="T24" i="29"/>
  <c r="T26" i="29" s="1"/>
  <c r="X18" i="29"/>
  <c r="T18" i="29"/>
  <c r="S18" i="29"/>
  <c r="R12" i="29"/>
  <c r="X119" i="29"/>
  <c r="W119" i="29"/>
  <c r="V119" i="29"/>
  <c r="U119" i="29"/>
  <c r="T119" i="29"/>
  <c r="S119" i="29"/>
  <c r="R119" i="29"/>
  <c r="Q119" i="29"/>
  <c r="P119" i="29" s="1"/>
  <c r="U118" i="29"/>
  <c r="T118" i="29"/>
  <c r="Y118" i="29" s="1"/>
  <c r="O118" i="29" s="1"/>
  <c r="X113" i="29"/>
  <c r="W113" i="29"/>
  <c r="V113" i="29"/>
  <c r="U113" i="29"/>
  <c r="T113" i="29"/>
  <c r="R113" i="29"/>
  <c r="Q113" i="29"/>
  <c r="S112" i="29"/>
  <c r="S113" i="29" s="1"/>
  <c r="R112" i="29"/>
  <c r="Q112" i="29"/>
  <c r="X107" i="29"/>
  <c r="W107" i="29"/>
  <c r="V107" i="29"/>
  <c r="S107" i="29"/>
  <c r="R107" i="29"/>
  <c r="Q107" i="29"/>
  <c r="U106" i="29"/>
  <c r="U107" i="29" s="1"/>
  <c r="T106" i="29"/>
  <c r="T107" i="29" s="1"/>
  <c r="X101" i="29"/>
  <c r="W101" i="29"/>
  <c r="V101" i="29"/>
  <c r="U101" i="29"/>
  <c r="T101" i="29"/>
  <c r="S101" i="29"/>
  <c r="Q101" i="29"/>
  <c r="Y100" i="29"/>
  <c r="O100" i="29" s="1"/>
  <c r="S100" i="29"/>
  <c r="R100" i="29"/>
  <c r="R101" i="29" s="1"/>
  <c r="Q100" i="29"/>
  <c r="X95" i="29"/>
  <c r="W95" i="29"/>
  <c r="V95" i="29"/>
  <c r="U95" i="29"/>
  <c r="S95" i="29"/>
  <c r="R95" i="29"/>
  <c r="Q95" i="29"/>
  <c r="U94" i="29"/>
  <c r="T94" i="29"/>
  <c r="T95" i="29" s="1"/>
  <c r="S94" i="29"/>
  <c r="X89" i="29"/>
  <c r="U89" i="29"/>
  <c r="T89" i="29"/>
  <c r="S89" i="29"/>
  <c r="R89" i="29"/>
  <c r="Q89" i="29"/>
  <c r="W88" i="29"/>
  <c r="W89" i="29" s="1"/>
  <c r="V88" i="29"/>
  <c r="Y88" i="29" s="1"/>
  <c r="N88" i="29" s="1"/>
  <c r="W83" i="29"/>
  <c r="U83" i="29"/>
  <c r="T83" i="29"/>
  <c r="S83" i="29"/>
  <c r="R83" i="29"/>
  <c r="Q83" i="29"/>
  <c r="X82" i="29"/>
  <c r="Y82" i="29" s="1"/>
  <c r="N82" i="29" s="1"/>
  <c r="W82" i="29"/>
  <c r="V82" i="29"/>
  <c r="V83" i="29" s="1"/>
  <c r="X77" i="29"/>
  <c r="V77" i="29"/>
  <c r="U77" i="29"/>
  <c r="T77" i="29"/>
  <c r="S77" i="29"/>
  <c r="R77" i="29"/>
  <c r="Q77" i="29"/>
  <c r="W76" i="29"/>
  <c r="W77" i="29" s="1"/>
  <c r="V76" i="29"/>
  <c r="Y76" i="29" s="1"/>
  <c r="N76" i="29" s="1"/>
  <c r="W71" i="29"/>
  <c r="U71" i="29"/>
  <c r="T71" i="29"/>
  <c r="S71" i="29"/>
  <c r="R71" i="29"/>
  <c r="Q71" i="29"/>
  <c r="P71" i="29" s="1"/>
  <c r="Y70" i="29"/>
  <c r="N70" i="29" s="1"/>
  <c r="X70" i="29"/>
  <c r="X71" i="29" s="1"/>
  <c r="W70" i="29"/>
  <c r="V70" i="29"/>
  <c r="V71" i="29" s="1"/>
  <c r="X65" i="29"/>
  <c r="W65" i="29"/>
  <c r="U65" i="29"/>
  <c r="T65" i="29"/>
  <c r="S65" i="29"/>
  <c r="R65" i="29"/>
  <c r="Q65" i="29"/>
  <c r="W64" i="29"/>
  <c r="V64" i="29"/>
  <c r="Y64" i="29" s="1"/>
  <c r="N64" i="29" s="1"/>
  <c r="U64" i="29"/>
  <c r="X59" i="29"/>
  <c r="W59" i="29"/>
  <c r="U59" i="29"/>
  <c r="T59" i="29"/>
  <c r="S59" i="29"/>
  <c r="R59" i="29"/>
  <c r="Q59" i="29"/>
  <c r="W58" i="29"/>
  <c r="V58" i="29"/>
  <c r="Y58" i="29" s="1"/>
  <c r="N58" i="29" s="1"/>
  <c r="W53" i="29"/>
  <c r="U53" i="29"/>
  <c r="T53" i="29"/>
  <c r="S53" i="29"/>
  <c r="R53" i="29"/>
  <c r="Q53" i="29"/>
  <c r="X52" i="29"/>
  <c r="Y52" i="29" s="1"/>
  <c r="N52" i="29" s="1"/>
  <c r="W52" i="29"/>
  <c r="V52" i="29"/>
  <c r="V53" i="29" s="1"/>
  <c r="X47" i="29"/>
  <c r="V47" i="29"/>
  <c r="T47" i="29"/>
  <c r="S47" i="29"/>
  <c r="R47" i="29"/>
  <c r="Q47" i="29"/>
  <c r="W46" i="29"/>
  <c r="W47" i="29" s="1"/>
  <c r="V46" i="29"/>
  <c r="U46" i="29"/>
  <c r="U47" i="29" s="1"/>
  <c r="X41" i="29"/>
  <c r="W41" i="29"/>
  <c r="U41" i="29"/>
  <c r="T41" i="29"/>
  <c r="S41" i="29"/>
  <c r="R41" i="29"/>
  <c r="Q41" i="29"/>
  <c r="X40" i="29"/>
  <c r="W40" i="29"/>
  <c r="V40" i="29"/>
  <c r="Y40" i="29" s="1"/>
  <c r="N40" i="29" s="1"/>
  <c r="X35" i="29"/>
  <c r="U35" i="29"/>
  <c r="T35" i="29"/>
  <c r="S35" i="29"/>
  <c r="R35" i="29"/>
  <c r="Q35" i="29"/>
  <c r="P35" i="29" s="1"/>
  <c r="W34" i="29"/>
  <c r="W35" i="29" s="1"/>
  <c r="V34" i="29"/>
  <c r="V35" i="29" s="1"/>
  <c r="X29" i="29"/>
  <c r="W29" i="29"/>
  <c r="V29" i="29"/>
  <c r="T29" i="29"/>
  <c r="S29" i="29"/>
  <c r="R29" i="29"/>
  <c r="Q29" i="29"/>
  <c r="V28" i="29"/>
  <c r="U28" i="29"/>
  <c r="Y28" i="29" s="1"/>
  <c r="N28" i="29" s="1"/>
  <c r="W23" i="29"/>
  <c r="V23" i="29"/>
  <c r="U23" i="29"/>
  <c r="T23" i="29"/>
  <c r="S23" i="29"/>
  <c r="R23" i="29"/>
  <c r="Q23" i="29"/>
  <c r="X22" i="29"/>
  <c r="Y22" i="29" s="1"/>
  <c r="N22" i="29" s="1"/>
  <c r="W22" i="29"/>
  <c r="X17" i="29"/>
  <c r="V17" i="29"/>
  <c r="U17" i="29"/>
  <c r="T17" i="29"/>
  <c r="S17" i="29"/>
  <c r="R17" i="29"/>
  <c r="Q17" i="29"/>
  <c r="X16" i="29"/>
  <c r="W16" i="29"/>
  <c r="W17" i="29" s="1"/>
  <c r="V16" i="29"/>
  <c r="Y16" i="29" s="1"/>
  <c r="N16" i="29" s="1"/>
  <c r="X11" i="29"/>
  <c r="U11" i="29"/>
  <c r="T11" i="29"/>
  <c r="S11" i="29"/>
  <c r="R11" i="29"/>
  <c r="Q11" i="29"/>
  <c r="Y10" i="29"/>
  <c r="N10" i="29" s="1"/>
  <c r="V10" i="29"/>
  <c r="V11" i="29" s="1"/>
  <c r="X5" i="29"/>
  <c r="W5" i="29"/>
  <c r="V5" i="29"/>
  <c r="U5" i="29"/>
  <c r="T5" i="29"/>
  <c r="T125" i="29" s="1"/>
  <c r="S5" i="29"/>
  <c r="R5" i="29"/>
  <c r="Q5" i="29"/>
  <c r="Q125" i="29" s="1"/>
  <c r="V4" i="29"/>
  <c r="Y4" i="29" s="1"/>
  <c r="W48" i="13"/>
  <c r="X45" i="13"/>
  <c r="Y45" i="13" s="1"/>
  <c r="N45" i="13" s="1"/>
  <c r="W45" i="13"/>
  <c r="V45" i="13"/>
  <c r="X23" i="13"/>
  <c r="W23" i="13"/>
  <c r="V23" i="13"/>
  <c r="Y23" i="13" s="1"/>
  <c r="N23" i="13" s="1"/>
  <c r="Y48" i="13"/>
  <c r="N48" i="13" s="1"/>
  <c r="V48" i="13"/>
  <c r="S57" i="13"/>
  <c r="R57" i="13"/>
  <c r="Q57" i="13"/>
  <c r="T58" i="13"/>
  <c r="Y58" i="13" s="1"/>
  <c r="O58" i="13" s="1"/>
  <c r="U58" i="13"/>
  <c r="V79" i="29" l="1"/>
  <c r="V93" i="29"/>
  <c r="X73" i="29"/>
  <c r="W73" i="29"/>
  <c r="X87" i="29"/>
  <c r="X85" i="29" s="1"/>
  <c r="W87" i="29"/>
  <c r="W91" i="29"/>
  <c r="V87" i="29"/>
  <c r="V85" i="29" s="1"/>
  <c r="P13" i="29"/>
  <c r="P5" i="29"/>
  <c r="W54" i="29"/>
  <c r="P123" i="29"/>
  <c r="P99" i="29"/>
  <c r="P97" i="29"/>
  <c r="T98" i="29" s="1"/>
  <c r="T90" i="29"/>
  <c r="T84" i="29"/>
  <c r="P51" i="29"/>
  <c r="P45" i="29"/>
  <c r="X48" i="29"/>
  <c r="X12" i="29"/>
  <c r="P33" i="29"/>
  <c r="S129" i="29"/>
  <c r="P37" i="29"/>
  <c r="T114" i="29"/>
  <c r="V114" i="29"/>
  <c r="P27" i="29"/>
  <c r="X30" i="29"/>
  <c r="X32" i="29" s="1"/>
  <c r="W114" i="29"/>
  <c r="P21" i="29"/>
  <c r="T54" i="29"/>
  <c r="T48" i="29"/>
  <c r="W120" i="29"/>
  <c r="T102" i="29"/>
  <c r="X108" i="29"/>
  <c r="P63" i="29"/>
  <c r="P105" i="29"/>
  <c r="P117" i="29"/>
  <c r="P111" i="29"/>
  <c r="X78" i="29"/>
  <c r="X60" i="29"/>
  <c r="Q108" i="29"/>
  <c r="P57" i="29"/>
  <c r="Q6" i="29"/>
  <c r="R127" i="29"/>
  <c r="T127" i="29"/>
  <c r="Q78" i="29"/>
  <c r="P121" i="29"/>
  <c r="U6" i="29"/>
  <c r="P31" i="29"/>
  <c r="Q30" i="29"/>
  <c r="Q32" i="29" s="1"/>
  <c r="P69" i="29"/>
  <c r="P67" i="29"/>
  <c r="V12" i="29"/>
  <c r="S54" i="29"/>
  <c r="S60" i="29"/>
  <c r="W96" i="29"/>
  <c r="U102" i="29"/>
  <c r="R114" i="29"/>
  <c r="R129" i="29"/>
  <c r="P109" i="29"/>
  <c r="W6" i="29"/>
  <c r="U12" i="29"/>
  <c r="R24" i="29"/>
  <c r="R26" i="29" s="1"/>
  <c r="V36" i="29"/>
  <c r="V38" i="29" s="1"/>
  <c r="X36" i="29"/>
  <c r="X38" i="29" s="1"/>
  <c r="R48" i="29"/>
  <c r="Q54" i="29"/>
  <c r="S102" i="29"/>
  <c r="Q129" i="29"/>
  <c r="P9" i="29"/>
  <c r="V18" i="29"/>
  <c r="P39" i="29"/>
  <c r="T60" i="29"/>
  <c r="S66" i="29"/>
  <c r="T96" i="29"/>
  <c r="V108" i="29"/>
  <c r="U18" i="29"/>
  <c r="U54" i="29"/>
  <c r="P61" i="29"/>
  <c r="U90" i="29"/>
  <c r="T12" i="29"/>
  <c r="U36" i="29"/>
  <c r="U38" i="29" s="1"/>
  <c r="T42" i="29"/>
  <c r="T44" i="29" s="1"/>
  <c r="U96" i="29"/>
  <c r="V54" i="29"/>
  <c r="U48" i="29"/>
  <c r="U50" i="29" s="1"/>
  <c r="W60" i="29"/>
  <c r="W102" i="29"/>
  <c r="T120" i="29"/>
  <c r="P103" i="29"/>
  <c r="S127" i="29"/>
  <c r="Q12" i="29"/>
  <c r="V24" i="29"/>
  <c r="V26" i="29" s="1"/>
  <c r="W66" i="29"/>
  <c r="T108" i="29"/>
  <c r="S24" i="29"/>
  <c r="S26" i="29" s="1"/>
  <c r="W36" i="29"/>
  <c r="W38" i="29" s="1"/>
  <c r="R54" i="29"/>
  <c r="X90" i="29"/>
  <c r="W18" i="29"/>
  <c r="X42" i="29"/>
  <c r="X44" i="29" s="1"/>
  <c r="V48" i="29"/>
  <c r="U60" i="29"/>
  <c r="S120" i="29"/>
  <c r="R78" i="29"/>
  <c r="T129" i="29"/>
  <c r="Q18" i="29"/>
  <c r="W24" i="29"/>
  <c r="W26" i="29" s="1"/>
  <c r="R42" i="29"/>
  <c r="R44" i="29" s="1"/>
  <c r="X114" i="29"/>
  <c r="U129" i="29"/>
  <c r="S30" i="29"/>
  <c r="S32" i="29" s="1"/>
  <c r="R102" i="29"/>
  <c r="X102" i="29"/>
  <c r="U120" i="29"/>
  <c r="T30" i="29"/>
  <c r="T32" i="29" s="1"/>
  <c r="W48" i="29"/>
  <c r="S72" i="29"/>
  <c r="T78" i="29"/>
  <c r="R84" i="29"/>
  <c r="S12" i="29"/>
  <c r="W30" i="29"/>
  <c r="W32" i="29" s="1"/>
  <c r="T36" i="29"/>
  <c r="T38" i="29" s="1"/>
  <c r="U72" i="29"/>
  <c r="S90" i="29"/>
  <c r="S96" i="29"/>
  <c r="X120" i="29"/>
  <c r="P89" i="29"/>
  <c r="P95" i="29"/>
  <c r="P65" i="29"/>
  <c r="P107" i="29"/>
  <c r="P17" i="29"/>
  <c r="S114" i="29"/>
  <c r="P113" i="29"/>
  <c r="P59" i="29"/>
  <c r="P101" i="29"/>
  <c r="N4" i="29"/>
  <c r="N124" i="29" s="1"/>
  <c r="R124" i="29"/>
  <c r="X6" i="29"/>
  <c r="S84" i="29"/>
  <c r="Y46" i="29"/>
  <c r="N46" i="29" s="1"/>
  <c r="Q66" i="29"/>
  <c r="Y106" i="29"/>
  <c r="O106" i="29" s="1"/>
  <c r="Q72" i="29"/>
  <c r="R108" i="29"/>
  <c r="Y112" i="29"/>
  <c r="O112" i="29" s="1"/>
  <c r="V41" i="29"/>
  <c r="X23" i="29"/>
  <c r="X24" i="29" s="1"/>
  <c r="X26" i="29" s="1"/>
  <c r="U29" i="29"/>
  <c r="U30" i="29" s="1"/>
  <c r="U32" i="29" s="1"/>
  <c r="P47" i="29"/>
  <c r="X53" i="29"/>
  <c r="P77" i="29"/>
  <c r="X83" i="29"/>
  <c r="S125" i="29"/>
  <c r="W125" i="29"/>
  <c r="R18" i="29"/>
  <c r="Q36" i="29"/>
  <c r="P53" i="29"/>
  <c r="V65" i="29"/>
  <c r="V66" i="29" s="1"/>
  <c r="Q90" i="29"/>
  <c r="Q120" i="29"/>
  <c r="R6" i="29"/>
  <c r="P11" i="29"/>
  <c r="Y34" i="29"/>
  <c r="N34" i="29" s="1"/>
  <c r="V59" i="29"/>
  <c r="V60" i="29" s="1"/>
  <c r="V89" i="29"/>
  <c r="T6" i="29"/>
  <c r="Y94" i="29"/>
  <c r="O94" i="29" s="1"/>
  <c r="R125" i="29"/>
  <c r="Y57" i="13"/>
  <c r="O57" i="13" s="1"/>
  <c r="U55" i="13"/>
  <c r="T55" i="13"/>
  <c r="S54" i="13"/>
  <c r="R54" i="13"/>
  <c r="R61" i="13" s="1"/>
  <c r="Q54" i="13"/>
  <c r="U51" i="13"/>
  <c r="T51" i="13"/>
  <c r="S51" i="13"/>
  <c r="S61" i="13" s="1"/>
  <c r="W42" i="13"/>
  <c r="V42" i="13"/>
  <c r="X39" i="13"/>
  <c r="W39" i="13"/>
  <c r="V39" i="13"/>
  <c r="W36" i="13"/>
  <c r="V36" i="13"/>
  <c r="U36" i="13"/>
  <c r="W33" i="13"/>
  <c r="V33" i="13"/>
  <c r="Y33" i="13" s="1"/>
  <c r="N33" i="13" s="1"/>
  <c r="X30" i="13"/>
  <c r="W30" i="13"/>
  <c r="V30" i="13"/>
  <c r="W27" i="13"/>
  <c r="V27" i="13"/>
  <c r="U27" i="13"/>
  <c r="W19" i="13"/>
  <c r="V19" i="13"/>
  <c r="V15" i="13"/>
  <c r="U15" i="13"/>
  <c r="X12" i="13"/>
  <c r="W12" i="13"/>
  <c r="X10" i="13"/>
  <c r="W10" i="13"/>
  <c r="V10" i="13"/>
  <c r="V8" i="13"/>
  <c r="V4" i="13"/>
  <c r="W85" i="29" l="1"/>
  <c r="V91" i="29"/>
  <c r="W90" i="29"/>
  <c r="W12" i="29"/>
  <c r="P12" i="29" s="1"/>
  <c r="P14" i="29" s="1"/>
  <c r="P15" i="29"/>
  <c r="S14" i="29" s="1"/>
  <c r="W72" i="29"/>
  <c r="Q122" i="29"/>
  <c r="W122" i="29"/>
  <c r="V122" i="29"/>
  <c r="X122" i="29"/>
  <c r="S122" i="29"/>
  <c r="W78" i="29"/>
  <c r="R122" i="29"/>
  <c r="U122" i="29"/>
  <c r="T122" i="29"/>
  <c r="R98" i="29"/>
  <c r="P32" i="29"/>
  <c r="V98" i="29"/>
  <c r="W98" i="29"/>
  <c r="U98" i="29"/>
  <c r="X98" i="29"/>
  <c r="Q98" i="29"/>
  <c r="S98" i="29"/>
  <c r="P120" i="29"/>
  <c r="P122" i="29" s="1"/>
  <c r="Q96" i="29"/>
  <c r="P96" i="29" s="1"/>
  <c r="P98" i="29" s="1"/>
  <c r="T110" i="29"/>
  <c r="R110" i="29"/>
  <c r="X110" i="29"/>
  <c r="Q110" i="29"/>
  <c r="V110" i="29"/>
  <c r="S110" i="29"/>
  <c r="W110" i="29"/>
  <c r="P55" i="29"/>
  <c r="V56" i="29" s="1"/>
  <c r="P43" i="29"/>
  <c r="Q42" i="29"/>
  <c r="Q44" i="29" s="1"/>
  <c r="Q102" i="29"/>
  <c r="P102" i="29" s="1"/>
  <c r="P104" i="29" s="1"/>
  <c r="R126" i="29"/>
  <c r="P18" i="29"/>
  <c r="P20" i="29" s="1"/>
  <c r="T126" i="29"/>
  <c r="U108" i="29"/>
  <c r="P108" i="29" s="1"/>
  <c r="P110" i="29" s="1"/>
  <c r="X104" i="29"/>
  <c r="V6" i="29"/>
  <c r="P49" i="29"/>
  <c r="R50" i="29" s="1"/>
  <c r="Q48" i="29"/>
  <c r="P48" i="29" s="1"/>
  <c r="X54" i="29"/>
  <c r="P54" i="29" s="1"/>
  <c r="P56" i="29" s="1"/>
  <c r="U66" i="29"/>
  <c r="U68" i="29" s="1"/>
  <c r="P19" i="29"/>
  <c r="V20" i="29" s="1"/>
  <c r="U110" i="29"/>
  <c r="U127" i="29"/>
  <c r="X68" i="29"/>
  <c r="P25" i="29"/>
  <c r="Q24" i="29"/>
  <c r="P7" i="29"/>
  <c r="P115" i="29"/>
  <c r="X116" i="29" s="1"/>
  <c r="Q114" i="29"/>
  <c r="P114" i="29" s="1"/>
  <c r="P116" i="29" s="1"/>
  <c r="Q127" i="29"/>
  <c r="P81" i="29"/>
  <c r="X72" i="29"/>
  <c r="Q60" i="29"/>
  <c r="P60" i="29" s="1"/>
  <c r="P62" i="29" s="1"/>
  <c r="R62" i="29"/>
  <c r="S6" i="29"/>
  <c r="S126" i="29" s="1"/>
  <c r="Q84" i="29"/>
  <c r="P75" i="29"/>
  <c r="T104" i="29"/>
  <c r="W124" i="29"/>
  <c r="R68" i="29"/>
  <c r="T62" i="29"/>
  <c r="S124" i="29"/>
  <c r="V104" i="29"/>
  <c r="U124" i="29"/>
  <c r="R104" i="29"/>
  <c r="Q68" i="29"/>
  <c r="T68" i="29"/>
  <c r="O124" i="29"/>
  <c r="Q62" i="29"/>
  <c r="P29" i="29"/>
  <c r="P41" i="29"/>
  <c r="V42" i="29"/>
  <c r="X124" i="29"/>
  <c r="P30" i="29"/>
  <c r="P36" i="29"/>
  <c r="Q38" i="29"/>
  <c r="P38" i="29" s="1"/>
  <c r="W62" i="29"/>
  <c r="S62" i="29"/>
  <c r="V125" i="29"/>
  <c r="S68" i="29"/>
  <c r="Y124" i="29"/>
  <c r="W68" i="29"/>
  <c r="X14" i="29"/>
  <c r="S104" i="29"/>
  <c r="W104" i="29"/>
  <c r="Q104" i="29"/>
  <c r="U104" i="29"/>
  <c r="T124" i="29"/>
  <c r="V124" i="29"/>
  <c r="V62" i="29"/>
  <c r="X125" i="29"/>
  <c r="P83" i="29"/>
  <c r="V68" i="29"/>
  <c r="X62" i="29"/>
  <c r="P23" i="29"/>
  <c r="U125" i="29"/>
  <c r="Q124" i="29"/>
  <c r="U62" i="29"/>
  <c r="Y15" i="13"/>
  <c r="N15" i="13" s="1"/>
  <c r="Y39" i="13"/>
  <c r="N39" i="13" s="1"/>
  <c r="Y19" i="13"/>
  <c r="N19" i="13" s="1"/>
  <c r="Y8" i="13"/>
  <c r="N8" i="13" s="1"/>
  <c r="Y10" i="13"/>
  <c r="N10" i="13" s="1"/>
  <c r="Y27" i="13"/>
  <c r="N27" i="13" s="1"/>
  <c r="Y42" i="13"/>
  <c r="N42" i="13" s="1"/>
  <c r="Y30" i="13"/>
  <c r="N30" i="13" s="1"/>
  <c r="V61" i="13"/>
  <c r="Y12" i="13"/>
  <c r="N12" i="13" s="1"/>
  <c r="Y36" i="13"/>
  <c r="N36" i="13" s="1"/>
  <c r="X61" i="13"/>
  <c r="W61" i="13"/>
  <c r="Y55" i="13"/>
  <c r="O55" i="13" s="1"/>
  <c r="U61" i="13"/>
  <c r="T61" i="13"/>
  <c r="Y54" i="13"/>
  <c r="O54" i="13" s="1"/>
  <c r="Y4" i="13"/>
  <c r="Y51" i="13"/>
  <c r="O51" i="13" s="1"/>
  <c r="Q61" i="13"/>
  <c r="Q14" i="29" l="1"/>
  <c r="U14" i="29"/>
  <c r="R14" i="29"/>
  <c r="W14" i="29"/>
  <c r="T14" i="29"/>
  <c r="V14" i="29"/>
  <c r="W84" i="29"/>
  <c r="W126" i="29" s="1"/>
  <c r="Q20" i="29"/>
  <c r="S20" i="29"/>
  <c r="X129" i="29"/>
  <c r="V129" i="29"/>
  <c r="T50" i="29"/>
  <c r="V50" i="29"/>
  <c r="X50" i="29"/>
  <c r="W50" i="29"/>
  <c r="Q50" i="29"/>
  <c r="S50" i="29"/>
  <c r="T56" i="29"/>
  <c r="Q56" i="29"/>
  <c r="W56" i="29"/>
  <c r="R56" i="29"/>
  <c r="U56" i="29"/>
  <c r="X56" i="29"/>
  <c r="S56" i="29"/>
  <c r="P73" i="29"/>
  <c r="V72" i="29"/>
  <c r="P72" i="29" s="1"/>
  <c r="P74" i="29" s="1"/>
  <c r="U20" i="29"/>
  <c r="R20" i="29"/>
  <c r="W20" i="29"/>
  <c r="Q116" i="29"/>
  <c r="S116" i="29"/>
  <c r="W116" i="29"/>
  <c r="U116" i="29"/>
  <c r="U8" i="29"/>
  <c r="T8" i="29"/>
  <c r="W8" i="29"/>
  <c r="Q8" i="29"/>
  <c r="X8" i="29"/>
  <c r="R8" i="29"/>
  <c r="V8" i="29"/>
  <c r="S8" i="29"/>
  <c r="P125" i="29"/>
  <c r="W129" i="29"/>
  <c r="V78" i="29"/>
  <c r="P78" i="29" s="1"/>
  <c r="P80" i="29" s="1"/>
  <c r="P79" i="29"/>
  <c r="Q26" i="29"/>
  <c r="P26" i="29" s="1"/>
  <c r="P24" i="29"/>
  <c r="X84" i="29"/>
  <c r="X126" i="29" s="1"/>
  <c r="P93" i="29"/>
  <c r="P6" i="29"/>
  <c r="P8" i="29" s="1"/>
  <c r="P66" i="29"/>
  <c r="R116" i="29"/>
  <c r="X20" i="29"/>
  <c r="T20" i="29"/>
  <c r="T116" i="29"/>
  <c r="U126" i="29"/>
  <c r="P87" i="29"/>
  <c r="Q126" i="29"/>
  <c r="V116" i="29"/>
  <c r="P68" i="29"/>
  <c r="V44" i="29"/>
  <c r="P44" i="29" s="1"/>
  <c r="P42" i="29"/>
  <c r="O61" i="13"/>
  <c r="Y61" i="13"/>
  <c r="N4" i="13"/>
  <c r="N61" i="13" s="1"/>
  <c r="W127" i="29" l="1"/>
  <c r="P50" i="29"/>
  <c r="P129" i="29"/>
  <c r="V84" i="29"/>
  <c r="P84" i="29" s="1"/>
  <c r="P86" i="29" s="1"/>
  <c r="P85" i="29"/>
  <c r="V127" i="29"/>
  <c r="P91" i="29"/>
  <c r="V90" i="29"/>
  <c r="P90" i="29" s="1"/>
  <c r="P92" i="29" s="1"/>
  <c r="R74" i="29"/>
  <c r="Q74" i="29"/>
  <c r="T74" i="29"/>
  <c r="U74" i="29"/>
  <c r="X74" i="29"/>
  <c r="S74" i="29"/>
  <c r="W74" i="29"/>
  <c r="V74" i="29"/>
  <c r="W80" i="29"/>
  <c r="S80" i="29"/>
  <c r="R80" i="29"/>
  <c r="V80" i="29"/>
  <c r="Q80" i="29"/>
  <c r="T80" i="29"/>
  <c r="U80" i="29"/>
  <c r="X80" i="29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P128" i="29" l="1"/>
  <c r="V126" i="29"/>
  <c r="P126" i="29" s="1"/>
  <c r="V92" i="29"/>
  <c r="U92" i="29"/>
  <c r="R92" i="29"/>
  <c r="T92" i="29"/>
  <c r="W92" i="29"/>
  <c r="S92" i="29"/>
  <c r="X92" i="29"/>
  <c r="X127" i="29" s="1"/>
  <c r="P127" i="29" s="1"/>
  <c r="Q92" i="29"/>
  <c r="U86" i="29"/>
  <c r="V86" i="29"/>
  <c r="V128" i="29" s="1"/>
  <c r="T86" i="29"/>
  <c r="X86" i="29"/>
  <c r="Q86" i="29"/>
  <c r="R86" i="29"/>
  <c r="W86" i="29"/>
  <c r="S86" i="29"/>
  <c r="U128" i="29" l="1"/>
  <c r="T128" i="29"/>
  <c r="R128" i="29"/>
  <c r="Q128" i="29"/>
  <c r="W128" i="29"/>
  <c r="S128" i="29"/>
  <c r="X128" i="2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<sst xmlns="http://schemas.openxmlformats.org/spreadsheetml/2006/main" count="7785" uniqueCount="968">
  <si>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</si>
  <si>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</si>
  <si>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</si>
  <si>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</si>
  <si>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</si>
  <si>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</si>
  <si>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</si>
  <si>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</si>
  <si>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</si>
  <si>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</si>
  <si>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</si>
  <si>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</si>
  <si>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</si>
  <si>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</si>
  <si>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</si>
  <si>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</si>
  <si>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</si>
  <si>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</si>
  <si>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</si>
  <si>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</si>
  <si>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</si>
  <si>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</si>
  <si>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</si>
  <si>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</si>
  <si>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</si>
  <si>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</si>
  <si>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</si>
  <si>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</si>
  <si>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</si>
  <si>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</si>
  <si>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</si>
  <si>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</si>
  <si>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</si>
  <si>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</si>
  <si>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</si>
  <si>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</si>
  <si>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</si>
  <si>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</si>
  <si>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</si>
  <si>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</si>
  <si>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</si>
  <si>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</si>
  <si>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</si>
  <si>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</si>
  <si>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</si>
  <si>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</si>
  <si>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</si>
  <si>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</si>
  <si>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</si>
  <si>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</si>
  <si>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</si>
  <si>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</si>
  <si>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</si>
  <si>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</si>
  <si>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</si>
  <si>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</si>
  <si>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</si>
  <si>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</si>
  <si>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</si>
  <si>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</si>
  <si>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</si>
  <si>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</si>
  <si>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</si>
  <si>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</si>
  <si>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</si>
  <si>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</si>
  <si>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</si>
  <si>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</si>
  <si>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</si>
  <si>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</si>
  <si>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</si>
  <si>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</si>
  <si>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</si>
  <si>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</si>
  <si>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</si>
  <si>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</si>
  <si>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</si>
  <si>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</si>
  <si>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</si>
  <si>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</si>
  <si>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</si>
  <si>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</si>
  <si>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</si>
  <si>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</si>
  <si>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</si>
  <si>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</si>
  <si>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</si>
  <si>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</si>
  <si>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</si>
  <si>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</si>
  <si>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</si>
  <si>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</si>
  <si>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</si>
  <si>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</si>
  <si>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</si>
  <si>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</si>
  <si>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</si>
  <si>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</si>
  <si>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</si>
  <si>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</si>
  <si>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</si>
  <si>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</si>
  <si>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</si>
  <si>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</si>
  <si>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</si>
  <si>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</si>
  <si>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</si>
  <si>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</si>
  <si>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</si>
  <si>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</si>
  <si>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</si>
  <si>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</si>
  <si>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</si>
  <si>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</si>
  <si>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</si>
  <si>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</si>
  <si>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</si>
  <si>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</si>
  <si>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</si>
  <si>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</si>
  <si>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</si>
  <si>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</si>
  <si>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</si>
  <si>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</si>
  <si>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</si>
  <si>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</si>
  <si>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</si>
  <si>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</si>
  <si>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</si>
  <si>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</si>
  <si>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</si>
  <si>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</si>
  <si>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</si>
  <si>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</si>
  <si>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</si>
  <si>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</si>
  <si>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</si>
  <si>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</si>
  <si>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</si>
  <si>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</si>
  <si>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</si>
  <si>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</si>
  <si>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</si>
  <si>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</si>
  <si>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</si>
  <si>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</si>
  <si>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</si>
  <si>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</si>
  <si>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</si>
  <si>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</si>
  <si>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</si>
  <si>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</si>
  <si>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</si>
  <si>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</si>
  <si>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</si>
  <si>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</si>
  <si>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</si>
  <si>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</si>
  <si>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</si>
  <si>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</si>
  <si>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</si>
  <si>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</si>
  <si>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</si>
  <si>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</si>
  <si>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</si>
  <si>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</si>
  <si>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</si>
  <si>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</si>
  <si>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</si>
  <si>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</si>
  <si>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</si>
  <si>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</si>
  <si>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</si>
  <si>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</si>
  <si>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</si>
  <si>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</si>
  <si>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</si>
  <si>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</si>
  <si>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</si>
  <si>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</si>
  <si>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</si>
  <si>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</si>
  <si>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</si>
  <si>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</si>
  <si>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</si>
  <si>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</si>
  <si>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</si>
  <si>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</si>
  <si>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</si>
  <si>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</si>
  <si>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</si>
  <si>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</si>
  <si>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</si>
  <si>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</si>
  <si>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</si>
  <si>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</si>
  <si>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</si>
  <si>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</si>
  <si>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</si>
  <si>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</si>
  <si>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</si>
  <si>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</si>
  <si>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</si>
  <si>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</si>
  <si>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</si>
  <si>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</si>
  <si>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</si>
  <si>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</si>
  <si>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</si>
  <si>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</si>
  <si>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</si>
  <si>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</si>
  <si>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</si>
  <si>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</si>
  <si>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</si>
  <si>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</si>
  <si>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</si>
  <si>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</si>
  <si>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</si>
  <si>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</si>
  <si>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</si>
  <si>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</si>
  <si>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</si>
  <si>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</si>
  <si>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</si>
  <si>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</si>
  <si>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</si>
  <si>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</si>
  <si>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</si>
  <si>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</si>
  <si>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</si>
  <si>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</si>
  <si>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</si>
  <si>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</si>
  <si>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</si>
  <si>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</si>
  <si>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</si>
  <si>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</si>
  <si>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</si>
  <si>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</si>
  <si>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</si>
  <si>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</si>
  <si>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</si>
  <si>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</si>
  <si>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</si>
  <si>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</si>
  <si>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</si>
  <si>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</si>
  <si>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</si>
  <si>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</si>
  <si>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</si>
  <si>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</si>
  <si>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</si>
  <si>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</si>
  <si>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</si>
  <si>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</si>
  <si>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</si>
  <si>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</si>
  <si>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</si>
  <si>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</si>
  <si>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</si>
  <si>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</si>
  <si>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</si>
  <si>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</si>
  <si>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</si>
  <si>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</si>
  <si>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</si>
  <si>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</si>
  <si>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</si>
  <si>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</si>
  <si>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</si>
  <si>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</si>
  <si>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</si>
  <si>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</si>
  <si>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</si>
  <si>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</si>
  <si>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</si>
  <si>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</si>
  <si>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</si>
  <si>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</si>
  <si>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</si>
  <si>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</si>
  <si>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</si>
  <si>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</si>
  <si>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</si>
  <si>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</si>
  <si>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</si>
  <si>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</si>
  <si>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</si>
  <si>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</si>
  <si>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</si>
  <si>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</si>
  <si>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</si>
  <si>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</si>
  <si>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</si>
  <si>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</si>
  <si>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</si>
  <si>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</si>
  <si>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</si>
  <si>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</si>
  <si>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</si>
  <si>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</si>
  <si>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</si>
  <si>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</si>
  <si>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</si>
  <si>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</si>
  <si>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</si>
  <si>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</si>
  <si>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</si>
  <si>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</si>
  <si>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</si>
  <si>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</si>
  <si>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</si>
  <si>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</si>
  <si>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</si>
  <si>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</si>
  <si>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</si>
  <si>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</si>
  <si>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</si>
  <si>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</si>
  <si>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</si>
  <si>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</si>
  <si>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</si>
  <si>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</si>
  <si>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</si>
  <si>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</si>
  <si>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</si>
  <si>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</si>
  <si>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</si>
  <si>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</si>
  <si>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</si>
  <si>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</si>
  <si>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</si>
  <si>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</si>
  <si>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</si>
  <si>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</si>
  <si>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</si>
  <si>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</si>
  <si>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</si>
  <si>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</si>
  <si>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</si>
  <si>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</si>
  <si>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</si>
  <si>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</si>
  <si>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</si>
  <si>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</si>
  <si>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</si>
  <si>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</si>
  <si>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</si>
  <si>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</si>
  <si>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</si>
  <si>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</si>
  <si>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</si>
  <si>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</si>
  <si>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</si>
  <si>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</si>
  <si>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</si>
  <si>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</si>
  <si>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</si>
  <si>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</si>
  <si>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</si>
  <si>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</si>
  <si>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</si>
  <si>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</si>
  <si>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</si>
  <si>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</si>
  <si>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</si>
  <si>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</si>
  <si>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</si>
  <si>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</si>
  <si>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</si>
  <si>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</si>
  <si>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</si>
  <si>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</si>
  <si>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</si>
  <si>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</si>
  <si>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</si>
  <si>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</si>
  <si>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</si>
  <si>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</si>
  <si>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</si>
  <si>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</si>
  <si>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</si>
  <si>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</si>
  <si>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</si>
  <si>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</si>
  <si>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</si>
  <si>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</si>
  <si>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</si>
  <si>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</si>
  <si>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</si>
  <si>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</si>
  <si>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</si>
  <si>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</si>
  <si>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</si>
  <si>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</si>
  <si>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</si>
  <si>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</si>
  <si>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</si>
  <si>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</si>
  <si>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</si>
  <si>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</si>
  <si>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</si>
  <si>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</si>
  <si>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</si>
  <si>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</si>
  <si>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</si>
  <si>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</si>
  <si>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</si>
  <si>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</si>
  <si>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</si>
  <si>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</si>
  <si>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</si>
  <si>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</si>
  <si>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</si>
  <si>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</si>
  <si>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</si>
  <si>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</si>
  <si>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</si>
  <si>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</si>
  <si>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</si>
  <si>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</si>
  <si>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</si>
  <si>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</si>
  <si>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</si>
  <si>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</si>
  <si>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</si>
  <si>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</si>
  <si>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</si>
  <si>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</si>
  <si>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</si>
  <si>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</si>
  <si>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</si>
  <si>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</si>
  <si>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</si>
  <si>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</si>
  <si>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</si>
  <si>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</si>
  <si>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</si>
  <si>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</si>
  <si>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</si>
  <si>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</si>
  <si>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</si>
  <si>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</si>
  <si>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</si>
  <si>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</si>
  <si>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</si>
  <si>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</si>
  <si>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</si>
  <si>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</si>
  <si>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</si>
  <si>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</si>
  <si>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</si>
  <si>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</si>
  <si>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</si>
  <si>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</si>
  <si>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</si>
  <si>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</si>
  <si>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</si>
  <si>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</si>
  <si>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</si>
  <si>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</si>
  <si>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</si>
  <si>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</si>
  <si>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</si>
  <si>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</si>
  <si>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</si>
  <si>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</si>
  <si>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</si>
  <si>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</si>
  <si>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</si>
  <si>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</si>
  <si>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</si>
  <si>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</si>
  <si>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</si>
  <si>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</si>
  <si>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</si>
  <si>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</si>
  <si>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</si>
  <si>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</si>
  <si>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</si>
  <si>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</si>
  <si>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</si>
  <si>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</si>
  <si>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</si>
  <si>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</si>
  <si>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</si>
  <si>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</si>
  <si>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</si>
  <si>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</si>
  <si>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</si>
  <si>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</si>
  <si>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</si>
  <si>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</si>
  <si>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</si>
  <si>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</si>
  <si>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</si>
  <si>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</si>
  <si>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</si>
  <si>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</si>
  <si>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</si>
  <si>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</si>
  <si>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</si>
  <si>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</si>
  <si>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</si>
  <si>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</si>
  <si>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</si>
  <si>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</si>
  <si>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</si>
  <si>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</si>
  <si>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</si>
  <si>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</si>
  <si>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</si>
  <si>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</si>
  <si>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</si>
  <si>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</si>
  <si>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</si>
  <si>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</si>
  <si>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</si>
  <si>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</si>
  <si>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</si>
  <si>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</si>
  <si>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</si>
  <si>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</si>
  <si>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</si>
  <si>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</si>
  <si>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</si>
  <si>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</si>
  <si>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</si>
  <si>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</si>
  <si>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</si>
  <si>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</si>
  <si>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</si>
  <si>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</si>
  <si>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</si>
  <si>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</si>
  <si>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</si>
  <si>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</si>
  <si>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</si>
  <si>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</si>
  <si>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</si>
  <si>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</si>
  <si>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</si>
  <si>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</si>
  <si>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</si>
  <si>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</si>
  <si>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</si>
  <si>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</si>
  <si>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</si>
  <si>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</si>
  <si>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</si>
  <si>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</si>
  <si>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</si>
  <si>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</si>
  <si>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</si>
  <si>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</si>
  <si>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</si>
  <si>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</si>
  <si>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</si>
  <si>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</si>
  <si>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</si>
  <si>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</si>
  <si>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</si>
  <si>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</si>
  <si>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</si>
  <si>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</si>
  <si>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</si>
  <si>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</si>
  <si>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</si>
  <si>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</si>
  <si>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</si>
  <si>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</si>
  <si>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</si>
  <si>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</si>
  <si>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</si>
  <si>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</si>
  <si>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</si>
  <si>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</si>
  <si>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</si>
  <si>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</si>
  <si>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</si>
  <si>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</si>
  <si>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</si>
  <si>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</si>
  <si>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</si>
  <si>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</si>
  <si>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</si>
  <si>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</si>
  <si>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</si>
  <si>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</si>
  <si>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</si>
  <si>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</si>
  <si>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</si>
  <si>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</si>
  <si>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</si>
  <si>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</si>
  <si>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</si>
  <si>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</si>
  <si>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</si>
  <si>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</si>
  <si>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</si>
  <si>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</si>
  <si>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</si>
  <si>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</si>
  <si>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</si>
  <si>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</si>
  <si>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</si>
  <si>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</si>
  <si>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</si>
  <si>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</si>
  <si>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</si>
  <si>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</si>
  <si>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</si>
  <si>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</si>
  <si>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</si>
  <si>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</si>
  <si>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</si>
  <si>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</si>
  <si>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</si>
  <si>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</si>
  <si>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</si>
  <si>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</si>
  <si>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</si>
  <si>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</si>
  <si>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</si>
  <si>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</si>
  <si>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</si>
  <si>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</si>
  <si>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</si>
  <si>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</si>
  <si>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</si>
  <si>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</si>
  <si>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</si>
  <si>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</si>
  <si>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</si>
  <si>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</si>
  <si>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</si>
  <si>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</si>
  <si>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</si>
  <si>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</si>
  <si>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</si>
  <si>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</si>
  <si>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</si>
  <si>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</si>
  <si>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</si>
  <si>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</si>
  <si>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</si>
  <si>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</si>
  <si>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</si>
  <si>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</si>
  <si>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</si>
  <si>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</si>
  <si>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</si>
  <si>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</si>
  <si>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</si>
  <si>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</si>
  <si>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</si>
  <si>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</si>
  <si>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</si>
  <si>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</si>
  <si>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</si>
  <si>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</si>
  <si>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</si>
  <si>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</si>
  <si>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</si>
  <si>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</si>
  <si>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</si>
  <si>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</si>
  <si>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</si>
  <si>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</si>
  <si>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</si>
  <si>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</si>
  <si>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</si>
  <si>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</si>
  <si>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</si>
  <si>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</si>
  <si>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</si>
  <si>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</si>
  <si>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</si>
  <si>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</si>
  <si>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</si>
  <si>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</si>
  <si>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</si>
  <si>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</si>
  <si>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</si>
  <si>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</si>
  <si>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</si>
  <si>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</si>
  <si>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</si>
  <si>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</si>
  <si>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</si>
  <si>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</si>
  <si>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</si>
  <si>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</si>
  <si>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</si>
  <si>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</si>
  <si>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</si>
  <si>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</si>
  <si>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</si>
  <si>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</si>
  <si>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</si>
  <si>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</si>
  <si>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</si>
  <si>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</si>
  <si>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</si>
  <si>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</si>
  <si>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</si>
  <si>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</si>
  <si>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</si>
  <si>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</si>
  <si>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</si>
  <si>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</si>
  <si>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</si>
  <si>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</si>
  <si>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</si>
  <si>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</si>
  <si>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</si>
  <si>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</si>
  <si>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</si>
  <si>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</si>
  <si>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</si>
  <si>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</si>
  <si>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</si>
  <si>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</si>
  <si>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</si>
  <si>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</si>
  <si>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</si>
  <si>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</si>
  <si>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</si>
  <si>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</si>
  <si>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</si>
  <si>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</si>
  <si>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</si>
  <si>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</si>
  <si>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</si>
  <si>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</si>
  <si>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</si>
  <si>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</si>
  <si>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</si>
  <si>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</si>
  <si>
    <t>060099004626842073</t>
  </si>
  <si>
    <t>060099004626842080</t>
  </si>
  <si>
    <t>060099004626842097</t>
  </si>
  <si>
    <t>060099004626842103</t>
  </si>
  <si>
    <t>060099004626842110</t>
  </si>
  <si>
    <t>060099004626842127</t>
  </si>
  <si>
    <t>060099004626842134</t>
  </si>
  <si>
    <t>060099004626842141</t>
  </si>
  <si>
    <t>060099004626842158</t>
  </si>
  <si>
    <t>060099004626842172</t>
  </si>
  <si>
    <t>060099004626842189</t>
  </si>
  <si>
    <t>060099004626842196</t>
  </si>
  <si>
    <t>060099004626842202</t>
  </si>
  <si>
    <t>060099004626842264</t>
  </si>
  <si>
    <t>060099004626842271</t>
  </si>
  <si>
    <t>060099004626842288</t>
  </si>
  <si>
    <t>060099004626842295</t>
  </si>
  <si>
    <t>060099004626842301</t>
  </si>
  <si>
    <t>060099004626842318</t>
  </si>
  <si>
    <t>060099004626842325</t>
  </si>
  <si>
    <t>060099004626842356</t>
  </si>
  <si>
    <t>060099004626842363</t>
  </si>
  <si>
    <t>060099004626842370</t>
  </si>
  <si>
    <t>060099004626842387</t>
  </si>
  <si>
    <t>060099004626842394</t>
  </si>
  <si>
    <t>060099004626842400</t>
  </si>
  <si>
    <t>060099004626842417</t>
  </si>
  <si>
    <t>060099004626842424</t>
  </si>
  <si>
    <t>060099004626842431</t>
  </si>
  <si>
    <t>060099004626842448</t>
  </si>
  <si>
    <t>060099004626842455</t>
  </si>
  <si>
    <t>060099004626842462</t>
  </si>
  <si>
    <t>060099004626842479</t>
  </si>
  <si>
    <t>060099004626842486</t>
  </si>
  <si>
    <t>060099004626842493</t>
  </si>
  <si>
    <t>060099004626842509</t>
  </si>
  <si>
    <t>060099004626842516</t>
  </si>
  <si>
    <t>060099004626842523</t>
  </si>
  <si>
    <t>060099004626842530</t>
  </si>
  <si>
    <t>060099004626842547</t>
  </si>
  <si>
    <t>060099004626842554</t>
  </si>
  <si>
    <t>060099004626842561</t>
  </si>
  <si>
    <t>060099004626842578</t>
  </si>
  <si>
    <t>060099004626842585</t>
  </si>
  <si>
    <t>060099004626842592</t>
  </si>
  <si>
    <t>060099004626842608</t>
  </si>
  <si>
    <t>060099004626842615</t>
  </si>
  <si>
    <t>060099004626842622</t>
  </si>
  <si>
    <t>060099004626842639</t>
  </si>
  <si>
    <t>060099004626842646</t>
  </si>
  <si>
    <t>060099004626842653</t>
  </si>
  <si>
    <t>060099004626842660</t>
  </si>
  <si>
    <t>060099004626842677</t>
  </si>
  <si>
    <t>060099004626842684</t>
  </si>
  <si>
    <t>060099004626842691</t>
  </si>
  <si>
    <t>060099004626842707</t>
  </si>
  <si>
    <t>060099004626842714</t>
  </si>
  <si>
    <t>060099004626842721</t>
  </si>
  <si>
    <t>060099004626842738</t>
  </si>
  <si>
    <t>060099004626842745</t>
  </si>
  <si>
    <t>060099004626842752</t>
  </si>
  <si>
    <t>060099004626842769</t>
  </si>
  <si>
    <t>060099004626842776</t>
  </si>
  <si>
    <t>060099004626842783</t>
  </si>
  <si>
    <t>060099004626842790</t>
  </si>
  <si>
    <t>060099004626842806</t>
  </si>
  <si>
    <t>060099004626842813</t>
  </si>
  <si>
    <t>060099004626842820</t>
  </si>
  <si>
    <t>R211</t>
  </si>
  <si>
    <t>IC63601374</t>
  </si>
  <si>
    <t>060099004626842240</t>
  </si>
  <si>
    <t>060099004626842257</t>
  </si>
  <si>
    <t>IC63601375</t>
  </si>
  <si>
    <t>060099004626842165</t>
  </si>
  <si>
    <t>IC63601373</t>
  </si>
  <si>
    <t>IC63601371</t>
  </si>
  <si>
    <t>IC63601372</t>
  </si>
  <si>
    <t>IC63601376</t>
  </si>
  <si>
    <t>IC63601377</t>
  </si>
  <si>
    <t>IC63601378</t>
  </si>
  <si>
    <t>060099004626842844</t>
  </si>
  <si>
    <t>9303</t>
  </si>
  <si>
    <t>060099004626842875</t>
  </si>
  <si>
    <t>060099004626842943</t>
  </si>
  <si>
    <t>060099004626842950</t>
  </si>
  <si>
    <t>060099004626842967</t>
  </si>
  <si>
    <t>060099004626842899</t>
  </si>
  <si>
    <t>IC63601379</t>
  </si>
  <si>
    <t>IC63601381</t>
  </si>
  <si>
    <t>IC63601380</t>
  </si>
  <si>
    <t>060099004626842851</t>
  </si>
  <si>
    <t>060099004626842868</t>
  </si>
  <si>
    <t>060099004626842882</t>
  </si>
  <si>
    <t>060099004626842905</t>
  </si>
  <si>
    <t>060099004626842912</t>
  </si>
  <si>
    <t>060099004626842929</t>
  </si>
  <si>
    <t>060099004626842936</t>
  </si>
  <si>
    <t>060099004626842998</t>
  </si>
  <si>
    <t>060099004626843018</t>
  </si>
  <si>
    <t>060099004626843025</t>
  </si>
  <si>
    <t>060099004626842974</t>
  </si>
  <si>
    <t>060099004626842981</t>
  </si>
  <si>
    <t>060099004626843001</t>
  </si>
  <si>
    <t>060099004626843032</t>
  </si>
  <si>
    <t>060099004626843049</t>
  </si>
  <si>
    <t>060099004626843056</t>
  </si>
  <si>
    <t>060099004626843063</t>
  </si>
  <si>
    <t>060099004626843070</t>
  </si>
  <si>
    <t>060099004626843087</t>
  </si>
  <si>
    <t>IC63601383</t>
  </si>
  <si>
    <t>IC63601384</t>
  </si>
  <si>
    <t>060099004626843094</t>
  </si>
  <si>
    <t>060099004626843162</t>
  </si>
  <si>
    <t>060099004626843186</t>
  </si>
  <si>
    <t>IC63601382</t>
  </si>
  <si>
    <t>060099004626843100</t>
  </si>
  <si>
    <t>060099004626843179</t>
  </si>
  <si>
    <t>060099004626843117</t>
  </si>
  <si>
    <t>060099004626843124</t>
  </si>
  <si>
    <t>060099004626843131</t>
  </si>
  <si>
    <t>060099004626843148</t>
  </si>
  <si>
    <t>060099004626843155</t>
  </si>
  <si>
    <t>IC63601395</t>
  </si>
  <si>
    <t>IC63601396</t>
  </si>
  <si>
    <t>060099004626843193</t>
  </si>
  <si>
    <t>IC63601385</t>
  </si>
  <si>
    <t>060099004626843223</t>
  </si>
  <si>
    <t>060099004626843230</t>
  </si>
  <si>
    <t>060099004626843315</t>
  </si>
  <si>
    <t>060099004626843322</t>
  </si>
  <si>
    <t>IC63601386</t>
  </si>
  <si>
    <t>060099004626843360</t>
  </si>
  <si>
    <t>060099004626843438</t>
  </si>
  <si>
    <t>060099004626843445</t>
  </si>
  <si>
    <t>060099004626843452</t>
  </si>
  <si>
    <t>IC63601394</t>
  </si>
  <si>
    <t>060099004626843209</t>
  </si>
  <si>
    <t>060099004626843216</t>
  </si>
  <si>
    <t>060099004626843254</t>
  </si>
  <si>
    <t>060099004626843377</t>
  </si>
  <si>
    <t>060099004626843384</t>
  </si>
  <si>
    <t>060099004626843391</t>
  </si>
  <si>
    <t>060099004626843421</t>
  </si>
  <si>
    <t>060099004626843490</t>
  </si>
  <si>
    <t>IC63601391</t>
  </si>
  <si>
    <t>060099004626843346</t>
  </si>
  <si>
    <t>IC63601387</t>
  </si>
  <si>
    <t>IC63601388</t>
  </si>
  <si>
    <t>IC63601389</t>
  </si>
  <si>
    <t>IC63601390</t>
  </si>
  <si>
    <t>060099004626843247</t>
  </si>
  <si>
    <t>060099004626843339</t>
  </si>
  <si>
    <t>060099004626843407</t>
  </si>
  <si>
    <t>060099004626843513</t>
  </si>
  <si>
    <t>060099004626843537</t>
  </si>
  <si>
    <t>060099004626843506</t>
  </si>
  <si>
    <t>IC63601392</t>
  </si>
  <si>
    <t>IC63601393</t>
  </si>
  <si>
    <t>060099004626843261</t>
  </si>
  <si>
    <t>060099004626843278</t>
  </si>
  <si>
    <t>060099004626843285</t>
  </si>
  <si>
    <t>060099004626843292</t>
  </si>
  <si>
    <t>060099004626843308</t>
  </si>
  <si>
    <t>060099004626843353</t>
  </si>
  <si>
    <t>060099004626843414</t>
  </si>
  <si>
    <t>060099004626843469</t>
  </si>
  <si>
    <t>060099004626843476</t>
  </si>
  <si>
    <t>060099004626843483</t>
  </si>
  <si>
    <t>060099004626843520</t>
  </si>
  <si>
    <t>060099004626843568</t>
  </si>
  <si>
    <t>060099004626843575</t>
  </si>
  <si>
    <t>060099004626843582</t>
  </si>
  <si>
    <t>060099004626843643</t>
  </si>
  <si>
    <t>060099004626843551</t>
  </si>
  <si>
    <t>060099004626843599</t>
  </si>
  <si>
    <t>060099004626843605</t>
  </si>
  <si>
    <t>060099004626843636</t>
  </si>
  <si>
    <t>060099004626843612</t>
  </si>
  <si>
    <t>060099004626843650</t>
  </si>
  <si>
    <t>060099004626843629</t>
  </si>
  <si>
    <t>060099004626843544</t>
  </si>
  <si>
    <t>IC63601397</t>
  </si>
  <si>
    <t>SKWN</t>
  </si>
  <si>
    <t>IC63601398</t>
  </si>
  <si>
    <t>IC63601399</t>
  </si>
  <si>
    <t>IC63601400</t>
  </si>
  <si>
    <t>RH</t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</si>
  <si>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</t>
    </r>
  </si>
  <si>
    <t>LAYER ONLY,  PACK 72-88 ORCHARD RUN</t>
  </si>
  <si>
    <t>060099004626843667</t>
  </si>
  <si>
    <t>060099004626843674</t>
  </si>
  <si>
    <t>060099004626843698</t>
  </si>
  <si>
    <t>060099004626843681</t>
  </si>
  <si>
    <t>060099004626843704</t>
  </si>
  <si>
    <t>060099004626843735</t>
  </si>
  <si>
    <t>060099004626843711</t>
  </si>
  <si>
    <t>060099004626843728</t>
  </si>
  <si>
    <t>060099004626843742</t>
  </si>
  <si>
    <t>060099004626843759</t>
  </si>
  <si>
    <t>060099004626843766</t>
  </si>
  <si>
    <t>060099004626843773</t>
  </si>
  <si>
    <t>060099004626843780</t>
  </si>
  <si>
    <t>060099004626843797</t>
  </si>
  <si>
    <t>060099004626843896</t>
  </si>
  <si>
    <t>060099004626843940</t>
  </si>
  <si>
    <t>060099004626843803</t>
  </si>
  <si>
    <t>060099004626843902</t>
  </si>
  <si>
    <t>060099004626843919</t>
  </si>
  <si>
    <t>060099004626843926</t>
  </si>
  <si>
    <t>060099004626843933</t>
  </si>
  <si>
    <t>060099004626843810</t>
  </si>
  <si>
    <t>060099004626843827</t>
  </si>
  <si>
    <t>060099004626843834</t>
  </si>
  <si>
    <t>060099004626843841</t>
  </si>
  <si>
    <t>060099004626843858</t>
  </si>
  <si>
    <t>060099004626843865</t>
  </si>
  <si>
    <t>060099004626843872</t>
  </si>
  <si>
    <t>060099004626843889</t>
  </si>
  <si>
    <t>060099004626843957</t>
  </si>
  <si>
    <t>060099004626843964</t>
  </si>
  <si>
    <t>060099004626843971</t>
  </si>
  <si>
    <t>060099004626844022</t>
  </si>
  <si>
    <t>060099004626843988</t>
  </si>
  <si>
    <t>060099004626843995</t>
  </si>
  <si>
    <t>55</t>
  </si>
  <si>
    <t>060099004626844008</t>
  </si>
  <si>
    <t>060099004626844015</t>
  </si>
  <si>
    <t>060099004626844039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</si>
</sst>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11" fillId="10" borderId="6" xfId="0" applyFon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11" fillId="12" borderId="3" xfId="0" applyFont="1" applyFill="1" applyBorder="1" applyAlignment="1">
      <alignment horizontal="center"/>
    </xf>
    <xf numFmtId="0" fontId="9" fillId="12" borderId="3" xfId="0" applyFont="1" applyFill="1" applyBorder="1" applyAlignment="1">
      <alignment horizontal="center"/>
    </xf>
    <xf numFmtId="3" fontId="11" fillId="12" borderId="3" xfId="0" applyNumberFormat="1" applyFont="1" applyFill="1" applyBorder="1" applyAlignment="1">
      <alignment horizontal="center"/>
    </xf>
    <xf numFmtId="0" fontId="11" fillId="12" borderId="3" xfId="0" applyFont="1" applyFill="1" applyBorder="1"/>
    <xf numFmtId="0" fontId="9" fillId="12" borderId="4" xfId="0" applyFont="1" applyFill="1" applyBorder="1" applyAlignment="1">
      <alignment horizontal="center"/>
    </xf>
    <xf numFmtId="0" fontId="13" fillId="12" borderId="4" xfId="0" applyFont="1" applyFill="1" applyBorder="1"/>
    <xf numFmtId="0" fontId="0" fillId="12" borderId="3" xfId="0" applyFill="1" applyBorder="1"/>
    <xf numFmtId="0" fontId="12" fillId="12" borderId="4" xfId="0" applyFont="1" applyFill="1" applyBorder="1" applyAlignment="1">
      <alignment horizontal="left" vertical="center"/>
    </xf>
    <xf numFmtId="0" fontId="11" fillId="12" borderId="4" xfId="0" applyFont="1" applyFill="1" applyBorder="1" applyAlignment="1">
      <alignment horizontal="left"/>
    </xf>
    <xf numFmtId="0" fontId="9" fillId="6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164" fontId="0" fillId="4" borderId="7" xfId="0" applyNumberFormat="1" applyFill="1" applyBorder="1" applyAlignment="1">
      <alignment horizontal="left"/>
    </xf>
    <xf numFmtId="0" fontId="0" fillId="12" borderId="6" xfId="0" applyFill="1" applyBorder="1"/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20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526-4BCA-987E-292689A2C55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526-4BCA-987E-292689A2C55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526-4BCA-987E-292689A2C557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26-4BCA-987E-292689A2C5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26-4BCA-987E-292689A2C5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526-4BCA-987E-292689A2C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1BF-4886-9686-1E705712008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1BF-4886-9686-1E705712008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1BF-4886-9686-1E705712008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BF-4886-9686-1E70571200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1BF-4886-9686-1E705712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64-40AB-8C3A-8AF7E3932FB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64-40AB-8C3A-8AF7E3932FB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64-40AB-8C3A-8AF7E3932FB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64-40AB-8C3A-8AF7E3932FB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64-40AB-8C3A-8AF7E3932F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64-40AB-8C3A-8AF7E3932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06-40E8-8ED8-05B3AACB403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06-40E8-8ED8-05B3AACB403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06-40E8-8ED8-05B3AACB4031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06-40E8-8ED8-05B3AACB40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06-40E8-8ED8-05B3AACB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45-4FB1-A5A2-2C1C2C6575B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45-4FB1-A5A2-2C1C2C6575B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45-4FB1-A5A2-2C1C2C6575B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5-4FB1-A5A2-2C1C2C6575B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5-4FB1-A5A2-2C1C2C6575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45-4FB1-A5A2-2C1C2C65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E4C-4BE1-8F87-01C37F1F8E7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E4C-4BE1-8F87-01C37F1F8E7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E4C-4BE1-8F87-01C37F1F8E7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4C-4BE1-8F87-01C37F1F8E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4C-4BE1-8F87-01C37F1F8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0A-48FB-B598-850C9D76E59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0A-48FB-B598-850C9D76E59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0A-48FB-B598-850C9D76E595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0A-48FB-B598-850C9D76E5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A-48FB-B598-850C9D76E59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0A-48FB-B598-850C9D76E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31F-4093-8D38-3F576DBDDF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31F-4093-8D38-3F576DBDDF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31F-4093-8D38-3F576DBDDFF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1F-4093-8D38-3F576DBDDFF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1F-4093-8D38-3F576DBDDF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31F-4093-8D38-3F576DBD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CD-4F72-9F88-4D31F2B44A6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CD-4F72-9F88-4D31F2B44A6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CD-4F72-9F88-4D31F2B44A6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CD-4F72-9F88-4D31F2B44A6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CD-4F72-9F88-4D31F2B44A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CD-4F72-9F88-4D31F2B44A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EA1-415F-9025-AAC048ED6D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EA1-415F-9025-AAC048ED6D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EA1-415F-9025-AAC048ED6DC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EA1-415F-9025-AAC048ED6D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EA1-415F-9025-AAC048ED6D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EA1-415F-9025-AAC048ED6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E54-4EB0-B26C-C5D090222F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E54-4EB0-B26C-C5D090222F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E54-4EB0-B26C-C5D090222F3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54-4EB0-B26C-C5D090222F3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54-4EB0-B26C-C5D090222F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E54-4EB0-B26C-C5D09022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E01-4D22-9A93-E28D1FAA79F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E01-4D22-9A93-E28D1FAA79F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E01-4D22-9A93-E28D1FAA79F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01-4D22-9A93-E28D1FAA7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21</c:v>
              </c:pt>
              <c:pt idx="1">
                <c:v>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E01-4D22-9A93-E28D1FAA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466-4106-814F-0AF0E11FBE2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466-4106-814F-0AF0E11FBE2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466-4106-814F-0AF0E11FBE2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466-4106-814F-0AF0E11FBE2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66-4106-814F-0AF0E11FBE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466-4106-814F-0AF0E11F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31C-41F7-B2FD-2A080AAE644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31C-41F7-B2FD-2A080AAE644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31C-41F7-B2FD-2A080AAE644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31C-41F7-B2FD-2A080AAE644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31C-41F7-B2FD-2A080AAE64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31C-41F7-B2FD-2A080AAE6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CFB-4000-81FC-24FFB1C42E7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CFB-4000-81FC-24FFB1C42E7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CFB-4000-81FC-24FFB1C42E7A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CFB-4000-81FC-24FFB1C42E7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FB-4000-81FC-24FFB1C42E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CFB-4000-81FC-24FFB1C4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4B0-4A12-8B2F-7E1C8F723401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4B0-4A12-8B2F-7E1C8F723401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4B0-4A12-8B2F-7E1C8F72340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B0-4A12-8B2F-7E1C8F72340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B0-4A12-8B2F-7E1C8F7234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4B0-4A12-8B2F-7E1C8F723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627-4255-9635-7B68181C265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627-4255-9635-7B68181C265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627-4255-9635-7B68181C265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27-4255-9635-7B68181C26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627-4255-9635-7B68181C2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7C-4A59-BD8D-9B576128D42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7C-4A59-BD8D-9B576128D42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7C-4A59-BD8D-9B576128D42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C-4A59-BD8D-9B576128D4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7C-4A59-BD8D-9B576128D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22F-4CE3-885D-539BEFDC0EC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22F-4CE3-885D-539BEFDC0EC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22F-4CE3-885D-539BEFDC0EC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2F-4CE3-885D-539BEFDC0EC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2F-4CE3-885D-539BEFDC0E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22F-4CE3-885D-539BEFDC0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B42-4DC5-A5E4-32FA24D73E5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B42-4DC5-A5E4-32FA24D73E5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B42-4DC5-A5E4-32FA24D73E5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2-4DC5-A5E4-32FA24D73E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42-4DC5-A5E4-32FA24D73E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B42-4DC5-A5E4-32FA24D73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CC25B67-374F-28ED-2409-B687151DD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114E580-F4C4-9EC6-755A-23F652019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3553D3-AC05-65DA-4790-72502B253C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1A8EF9E4-904C-8B69-5C73-C2E61F880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42CB7F77-33E0-288C-225C-F94F22FF3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E384D7D-1255-38AD-59FA-A366EACCB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24290ED-3650-ED9F-7216-49C8A3134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C703466-059E-386D-C1DD-112668C53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CEDD56E-C5D0-8D46-7980-EFBB05C6BF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A56610FB-B6EA-F3FF-FDD2-2F38AF512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435F24CD-157B-4B48-FA81-A1D2F2E67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3FCF5D0-C646-38B2-A7C4-806A15B173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7A1263F5-86B6-23BD-2C5B-00B5CD23F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6AADBD19-762D-8108-F03B-8DC0253ED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276ECB8F-27D3-C840-3603-5CBD31A84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F413F65-E229-B74D-6455-2C2732BF6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ED10DA0-3FBF-CFE1-6D18-01E039EAAB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165100</xdr:colOff>
      <xdr:row>20</xdr:row>
      <xdr:rowOff>25400</xdr:rowOff>
    </xdr:from>
    <xdr:to>
      <xdr:col>23</xdr:col>
      <xdr:colOff>12700</xdr:colOff>
      <xdr:row>29</xdr:row>
      <xdr:rowOff>157480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7BCA52B-7A7F-0661-797E-C93DEA56A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30</xdr:row>
      <xdr:rowOff>38100</xdr:rowOff>
    </xdr:from>
    <xdr:to>
      <xdr:col>3</xdr:col>
      <xdr:colOff>457200</xdr:colOff>
      <xdr:row>39</xdr:row>
      <xdr:rowOff>170180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CA3EC97-6FF3-5758-6F67-1DDB934E1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520700</xdr:colOff>
      <xdr:row>30</xdr:row>
      <xdr:rowOff>38100</xdr:rowOff>
    </xdr:from>
    <xdr:to>
      <xdr:col>7</xdr:col>
      <xdr:colOff>368300</xdr:colOff>
      <xdr:row>39</xdr:row>
      <xdr:rowOff>170180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A940A300-EB31-0EEE-0B8F-B111C83BCF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349" tableType="queryTable" totalsRowShown="0">
  <autoFilter ref="A1:R349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75"/>
  <sheetViews>
    <sheetView zoomScale="55" zoomScaleNormal="55" workbookViewId="0">
      <selection activeCell="W9" sqref="W9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537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2" t="s">
        <v>449</v>
      </c>
      <c r="B4" s="112" t="s">
        <v>485</v>
      </c>
      <c r="C4" s="110" t="s">
        <v>478</v>
      </c>
      <c r="D4" s="110" t="s">
        <v>508</v>
      </c>
      <c r="E4" s="110" t="s">
        <v>450</v>
      </c>
      <c r="F4" s="110">
        <v>1</v>
      </c>
      <c r="G4" s="110" t="s">
        <v>394</v>
      </c>
      <c r="H4" s="110" t="s">
        <v>391</v>
      </c>
      <c r="I4" s="113" t="s">
        <v>495</v>
      </c>
      <c r="J4" s="110" t="s">
        <v>439</v>
      </c>
      <c r="K4" s="110" t="s">
        <v>450</v>
      </c>
      <c r="L4" s="110" t="s">
        <v>484</v>
      </c>
      <c r="M4" s="110" t="s">
        <v>393</v>
      </c>
      <c r="N4" s="110">
        <f>+Y4/80</f>
        <v>2</v>
      </c>
      <c r="O4" s="110"/>
      <c r="P4" s="110" t="s">
        <v>509</v>
      </c>
      <c r="Q4" s="114"/>
      <c r="R4" s="114"/>
      <c r="S4" s="114"/>
      <c r="T4" s="114"/>
      <c r="U4" s="115"/>
      <c r="V4" s="114">
        <f>2*80</f>
        <v>160</v>
      </c>
      <c r="W4" s="114"/>
      <c r="X4" s="114"/>
      <c r="Y4" s="114">
        <f>SUM(Q4:X4)</f>
        <v>160</v>
      </c>
      <c r="Z4" s="112" t="s">
        <v>510</v>
      </c>
      <c r="AA4" s="110" t="s">
        <v>482</v>
      </c>
    </row>
    <row r="5" spans="1:31" ht="15.6" x14ac:dyDescent="0.3">
      <c r="A5" s="116"/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7"/>
      <c r="V5" s="116"/>
      <c r="W5" s="116"/>
      <c r="X5" s="116"/>
      <c r="Y5" s="116"/>
      <c r="Z5" s="118" t="s">
        <v>538</v>
      </c>
      <c r="AA5" s="59"/>
    </row>
    <row r="6" spans="1:31" ht="15.6" x14ac:dyDescent="0.3">
      <c r="A6" s="116"/>
      <c r="B6" s="116"/>
      <c r="C6" s="59"/>
      <c r="D6" s="59"/>
      <c r="E6" s="59"/>
      <c r="F6" s="59"/>
      <c r="G6" s="116"/>
      <c r="H6" s="59"/>
      <c r="I6" s="59"/>
      <c r="J6" s="59"/>
      <c r="K6" s="59"/>
      <c r="L6" s="59"/>
      <c r="M6" s="59"/>
      <c r="N6" s="119"/>
      <c r="O6" s="59"/>
      <c r="P6" s="59"/>
      <c r="Q6" s="120"/>
      <c r="R6" s="120"/>
      <c r="S6" s="120"/>
      <c r="T6" s="120"/>
      <c r="U6" s="117"/>
      <c r="V6" s="120"/>
      <c r="W6" s="120"/>
      <c r="X6" s="120"/>
      <c r="Y6" s="120"/>
      <c r="Z6" s="121" t="s">
        <v>511</v>
      </c>
      <c r="AA6" s="59"/>
    </row>
    <row r="7" spans="1:31" ht="15.6" x14ac:dyDescent="0.3">
      <c r="A7" s="116"/>
      <c r="B7" s="116"/>
      <c r="C7" s="59"/>
      <c r="D7" s="59"/>
      <c r="E7" s="59"/>
      <c r="F7" s="59"/>
      <c r="G7" s="116"/>
      <c r="H7" s="59"/>
      <c r="I7" s="59"/>
      <c r="J7" s="59"/>
      <c r="K7" s="59"/>
      <c r="L7" s="59"/>
      <c r="M7" s="59"/>
      <c r="N7" s="119"/>
      <c r="O7" s="59"/>
      <c r="P7" s="59"/>
      <c r="Q7" s="120"/>
      <c r="R7" s="120"/>
      <c r="S7" s="120"/>
      <c r="T7" s="120"/>
      <c r="U7" s="117"/>
      <c r="V7" s="120"/>
      <c r="W7" s="120"/>
      <c r="X7" s="120"/>
      <c r="Y7" s="120"/>
      <c r="Z7" s="121"/>
      <c r="AA7" s="59"/>
    </row>
    <row r="8" spans="1:31" ht="15.6" x14ac:dyDescent="0.3">
      <c r="A8" s="112" t="s">
        <v>492</v>
      </c>
      <c r="B8" s="112" t="s">
        <v>485</v>
      </c>
      <c r="C8" s="110" t="s">
        <v>478</v>
      </c>
      <c r="D8" s="110" t="s">
        <v>508</v>
      </c>
      <c r="E8" s="110" t="s">
        <v>493</v>
      </c>
      <c r="F8" s="110">
        <v>1</v>
      </c>
      <c r="G8" s="110" t="s">
        <v>394</v>
      </c>
      <c r="H8" s="110" t="s">
        <v>391</v>
      </c>
      <c r="I8" s="113" t="s">
        <v>512</v>
      </c>
      <c r="J8" s="110" t="s">
        <v>488</v>
      </c>
      <c r="K8" s="110" t="s">
        <v>493</v>
      </c>
      <c r="L8" s="110" t="s">
        <v>392</v>
      </c>
      <c r="M8" s="110" t="s">
        <v>393</v>
      </c>
      <c r="N8" s="110">
        <f>+Y8/80</f>
        <v>5</v>
      </c>
      <c r="O8" s="110"/>
      <c r="P8" s="110" t="s">
        <v>509</v>
      </c>
      <c r="Q8" s="114"/>
      <c r="R8" s="114"/>
      <c r="S8" s="114"/>
      <c r="T8" s="114"/>
      <c r="U8" s="114"/>
      <c r="V8" s="114">
        <f>2*80</f>
        <v>160</v>
      </c>
      <c r="W8" s="114">
        <f>3*80</f>
        <v>240</v>
      </c>
      <c r="X8" s="110"/>
      <c r="Y8" s="114">
        <f>SUM(Q8:X8)</f>
        <v>400</v>
      </c>
      <c r="Z8" s="112" t="s">
        <v>510</v>
      </c>
      <c r="AA8" s="110" t="s">
        <v>482</v>
      </c>
    </row>
    <row r="9" spans="1:31" ht="15.6" x14ac:dyDescent="0.3">
      <c r="A9" s="116"/>
      <c r="B9" s="116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16" t="s">
        <v>539</v>
      </c>
      <c r="AA9" s="116"/>
    </row>
    <row r="10" spans="1:31" ht="15.6" x14ac:dyDescent="0.3">
      <c r="A10" s="116"/>
      <c r="B10" s="116"/>
      <c r="C10" s="123" t="s">
        <v>478</v>
      </c>
      <c r="D10" s="123" t="s">
        <v>508</v>
      </c>
      <c r="E10" s="123" t="s">
        <v>493</v>
      </c>
      <c r="F10" s="123">
        <v>1</v>
      </c>
      <c r="G10" s="123" t="s">
        <v>394</v>
      </c>
      <c r="H10" s="123" t="s">
        <v>391</v>
      </c>
      <c r="I10" s="124" t="s">
        <v>514</v>
      </c>
      <c r="J10" s="123" t="s">
        <v>488</v>
      </c>
      <c r="K10" s="123" t="s">
        <v>493</v>
      </c>
      <c r="L10" s="123" t="s">
        <v>392</v>
      </c>
      <c r="M10" s="123" t="s">
        <v>393</v>
      </c>
      <c r="N10" s="123">
        <f>+Y10/80</f>
        <v>8</v>
      </c>
      <c r="O10" s="123"/>
      <c r="P10" s="123" t="s">
        <v>509</v>
      </c>
      <c r="Q10" s="125"/>
      <c r="R10" s="125"/>
      <c r="S10" s="125"/>
      <c r="T10" s="125"/>
      <c r="U10" s="125"/>
      <c r="V10" s="125">
        <f>3*80</f>
        <v>240</v>
      </c>
      <c r="W10" s="126">
        <f>1*80</f>
        <v>80</v>
      </c>
      <c r="X10" s="123">
        <f>4*80</f>
        <v>320</v>
      </c>
      <c r="Y10" s="125">
        <f>SUM(Q10:X10)</f>
        <v>640</v>
      </c>
      <c r="Z10" s="121" t="s">
        <v>515</v>
      </c>
      <c r="AA10" s="59"/>
      <c r="AE10" s="82"/>
    </row>
    <row r="11" spans="1:31" ht="15.6" x14ac:dyDescent="0.3">
      <c r="A11" s="116"/>
      <c r="B11" s="116"/>
      <c r="C11" s="59"/>
      <c r="D11" s="59"/>
      <c r="E11" s="59"/>
      <c r="F11" s="59"/>
      <c r="G11" s="116"/>
      <c r="H11" s="59"/>
      <c r="I11" s="59"/>
      <c r="J11" s="59"/>
      <c r="K11" s="59"/>
      <c r="L11" s="59"/>
      <c r="M11" s="59"/>
      <c r="N11" s="119"/>
      <c r="O11" s="59"/>
      <c r="P11" s="59"/>
      <c r="Q11" s="120"/>
      <c r="R11" s="120"/>
      <c r="S11" s="120"/>
      <c r="T11" s="120"/>
      <c r="U11" s="117"/>
      <c r="V11" s="120"/>
      <c r="W11" s="120"/>
      <c r="X11" s="120"/>
      <c r="Y11" s="120"/>
      <c r="Z11" s="127"/>
      <c r="AA11" s="59"/>
    </row>
    <row r="12" spans="1:31" ht="15.6" x14ac:dyDescent="0.3">
      <c r="A12" s="34" t="s">
        <v>540</v>
      </c>
      <c r="B12" s="43" t="s">
        <v>485</v>
      </c>
      <c r="C12" s="44" t="s">
        <v>478</v>
      </c>
      <c r="D12" s="44" t="s">
        <v>508</v>
      </c>
      <c r="E12" s="44" t="s">
        <v>541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541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542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543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28" t="s">
        <v>544</v>
      </c>
      <c r="B15" s="128" t="s">
        <v>485</v>
      </c>
      <c r="C15" s="129" t="s">
        <v>478</v>
      </c>
      <c r="D15" s="129" t="s">
        <v>508</v>
      </c>
      <c r="E15" s="129" t="s">
        <v>545</v>
      </c>
      <c r="F15" s="129">
        <v>1</v>
      </c>
      <c r="G15" s="129" t="s">
        <v>394</v>
      </c>
      <c r="H15" s="129" t="s">
        <v>391</v>
      </c>
      <c r="I15" s="130" t="s">
        <v>546</v>
      </c>
      <c r="J15" s="129" t="s">
        <v>488</v>
      </c>
      <c r="K15" s="129" t="s">
        <v>545</v>
      </c>
      <c r="L15" s="129" t="s">
        <v>392</v>
      </c>
      <c r="M15" s="129" t="s">
        <v>393</v>
      </c>
      <c r="N15" s="129">
        <f>+Y15/80</f>
        <v>20</v>
      </c>
      <c r="O15" s="129"/>
      <c r="P15" s="129" t="s">
        <v>542</v>
      </c>
      <c r="Q15" s="131"/>
      <c r="R15" s="131"/>
      <c r="S15" s="131"/>
      <c r="T15" s="131"/>
      <c r="U15" s="131">
        <f>8*80</f>
        <v>640</v>
      </c>
      <c r="V15" s="131">
        <f>12*80</f>
        <v>960</v>
      </c>
      <c r="W15" s="131"/>
      <c r="X15" s="131"/>
      <c r="Y15" s="131">
        <f>SUM(Q15:X15)</f>
        <v>1600</v>
      </c>
      <c r="Z15" s="128" t="s">
        <v>510</v>
      </c>
      <c r="AA15" s="129" t="s">
        <v>482</v>
      </c>
    </row>
    <row r="16" spans="1:31" ht="15.6" x14ac:dyDescent="0.3">
      <c r="A16" s="132"/>
      <c r="B16" s="132"/>
      <c r="C16" s="133"/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4"/>
      <c r="R16" s="134"/>
      <c r="S16" s="134"/>
      <c r="T16" s="134"/>
      <c r="U16" s="135"/>
      <c r="V16" s="134"/>
      <c r="W16" s="134"/>
      <c r="X16" s="134"/>
      <c r="Y16" s="134"/>
      <c r="Z16" s="136" t="s">
        <v>543</v>
      </c>
      <c r="AA16" s="133"/>
    </row>
    <row r="17" spans="1:31" ht="15.6" x14ac:dyDescent="0.3">
      <c r="A17" s="137" t="s">
        <v>547</v>
      </c>
      <c r="B17" s="132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4"/>
      <c r="R17" s="134"/>
      <c r="S17" s="134"/>
      <c r="T17" s="134"/>
      <c r="U17" s="135"/>
      <c r="V17" s="134"/>
      <c r="W17" s="134"/>
      <c r="X17" s="134"/>
      <c r="Y17" s="134"/>
      <c r="Z17" s="138" t="s">
        <v>548</v>
      </c>
      <c r="AA17" s="133"/>
    </row>
    <row r="18" spans="1:31" ht="15.6" x14ac:dyDescent="0.3">
      <c r="A18" s="132"/>
      <c r="B18" s="132"/>
      <c r="C18" s="133"/>
      <c r="D18" s="133"/>
      <c r="E18" s="133"/>
      <c r="F18" s="133"/>
      <c r="G18" s="132"/>
      <c r="H18" s="133"/>
      <c r="I18" s="133"/>
      <c r="J18" s="133"/>
      <c r="K18" s="133"/>
      <c r="L18" s="133"/>
      <c r="M18" s="133"/>
      <c r="N18" s="139"/>
      <c r="O18" s="133"/>
      <c r="P18" s="133"/>
      <c r="Q18" s="134"/>
      <c r="R18" s="134"/>
      <c r="S18" s="134"/>
      <c r="T18" s="134"/>
      <c r="U18" s="135"/>
      <c r="V18" s="134"/>
      <c r="W18" s="134"/>
      <c r="X18" s="134"/>
      <c r="Y18" s="134"/>
      <c r="Z18" s="137"/>
      <c r="AA18" s="133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542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543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92"/>
      <c r="D22" s="49"/>
      <c r="E22" s="49"/>
      <c r="F22" s="49"/>
      <c r="G22" s="61"/>
      <c r="H22" s="49"/>
      <c r="I22" s="49"/>
      <c r="J22" s="49"/>
      <c r="K22" s="49"/>
      <c r="L22" s="49"/>
      <c r="M22" s="49"/>
      <c r="N22" s="168"/>
      <c r="O22" s="49"/>
      <c r="P22" s="49"/>
      <c r="Q22" s="50"/>
      <c r="R22" s="50"/>
      <c r="S22" s="50"/>
      <c r="T22" s="50"/>
      <c r="U22" s="169"/>
      <c r="V22" s="50"/>
      <c r="W22" s="50"/>
      <c r="X22" s="50"/>
      <c r="Y22" s="50"/>
      <c r="Z22" s="48"/>
      <c r="AA22" s="40"/>
    </row>
    <row r="23" spans="1:31" ht="15.6" x14ac:dyDescent="0.3">
      <c r="A23" s="34" t="s">
        <v>492</v>
      </c>
      <c r="B23" s="43" t="s">
        <v>485</v>
      </c>
      <c r="C23" s="39" t="s">
        <v>478</v>
      </c>
      <c r="D23" s="40" t="s">
        <v>508</v>
      </c>
      <c r="E23" s="40" t="s">
        <v>493</v>
      </c>
      <c r="F23" s="40">
        <v>1</v>
      </c>
      <c r="G23" s="40" t="s">
        <v>394</v>
      </c>
      <c r="H23" s="40" t="s">
        <v>391</v>
      </c>
      <c r="I23" s="167" t="s">
        <v>549</v>
      </c>
      <c r="J23" s="39" t="s">
        <v>488</v>
      </c>
      <c r="K23" s="39" t="s">
        <v>493</v>
      </c>
      <c r="L23" s="39" t="s">
        <v>392</v>
      </c>
      <c r="M23" s="39" t="s">
        <v>393</v>
      </c>
      <c r="N23" s="40">
        <f>+Y23/80</f>
        <v>20</v>
      </c>
      <c r="O23" s="40"/>
      <c r="P23" s="40" t="s">
        <v>542</v>
      </c>
      <c r="Q23" s="41"/>
      <c r="R23" s="41"/>
      <c r="S23" s="41"/>
      <c r="T23" s="41"/>
      <c r="U23" s="41"/>
      <c r="V23" s="41">
        <f>8*80</f>
        <v>640</v>
      </c>
      <c r="W23" s="41">
        <f>7*80</f>
        <v>560</v>
      </c>
      <c r="X23" s="40">
        <f>5*80</f>
        <v>400</v>
      </c>
      <c r="Y23" s="41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53"/>
      <c r="V24" s="42"/>
      <c r="W24" s="42"/>
      <c r="X24" s="42"/>
      <c r="Y24" s="42"/>
      <c r="Z24" s="42" t="s">
        <v>513</v>
      </c>
      <c r="AA24" s="42"/>
    </row>
    <row r="25" spans="1:31" ht="15.6" x14ac:dyDescent="0.3">
      <c r="A25" s="42"/>
      <c r="B25" s="79"/>
      <c r="C25" s="39"/>
      <c r="D25" s="40"/>
      <c r="E25" s="40"/>
      <c r="F25" s="40"/>
      <c r="G25" s="42"/>
      <c r="H25" s="40"/>
      <c r="I25" s="40"/>
      <c r="J25" s="40"/>
      <c r="K25" s="40"/>
      <c r="L25" s="40"/>
      <c r="M25" s="40"/>
      <c r="N25" s="80"/>
      <c r="O25" s="40"/>
      <c r="P25" s="40"/>
      <c r="Q25" s="41"/>
      <c r="R25" s="41"/>
      <c r="S25" s="41"/>
      <c r="T25" s="41"/>
      <c r="U25" s="53"/>
      <c r="V25" s="41"/>
      <c r="W25" s="41"/>
      <c r="X25" s="41"/>
      <c r="Y25" s="41"/>
      <c r="Z25" s="48" t="s">
        <v>515</v>
      </c>
      <c r="AA25" s="40"/>
      <c r="AE25" s="82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550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4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5" t="s">
        <v>551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4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5"/>
      <c r="AA29" s="39"/>
    </row>
    <row r="30" spans="1:31" ht="15.6" x14ac:dyDescent="0.3">
      <c r="A30" s="42"/>
      <c r="B30" s="86" t="s">
        <v>389</v>
      </c>
      <c r="C30" s="81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534</v>
      </c>
      <c r="Q30" s="47"/>
      <c r="R30" s="47"/>
      <c r="S30" s="47"/>
      <c r="T30" s="36"/>
      <c r="U30" s="87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6" t="s">
        <v>516</v>
      </c>
      <c r="AA30" s="81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5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4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5"/>
      <c r="AA32" s="39"/>
    </row>
    <row r="33" spans="1:27" ht="15.6" x14ac:dyDescent="0.3">
      <c r="A33" s="42"/>
      <c r="B33" s="86" t="s">
        <v>485</v>
      </c>
      <c r="C33" s="81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542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6" t="s">
        <v>510</v>
      </c>
      <c r="AA33" s="81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4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5" t="s">
        <v>927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4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5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550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4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5" t="s">
        <v>551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4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5"/>
      <c r="AA38" s="39"/>
    </row>
    <row r="39" spans="1:27" ht="15.6" x14ac:dyDescent="0.3">
      <c r="A39" s="42"/>
      <c r="B39" s="86" t="s">
        <v>389</v>
      </c>
      <c r="C39" s="81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534</v>
      </c>
      <c r="Q39" s="47"/>
      <c r="R39" s="47"/>
      <c r="S39" s="47"/>
      <c r="T39" s="36"/>
      <c r="U39" s="87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6" t="s">
        <v>516</v>
      </c>
      <c r="AA39" s="81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5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4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5"/>
      <c r="AA41" s="39"/>
    </row>
    <row r="42" spans="1:27" ht="15.6" x14ac:dyDescent="0.3">
      <c r="A42" s="42"/>
      <c r="B42" s="86" t="s">
        <v>485</v>
      </c>
      <c r="C42" s="81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542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6" t="s">
        <v>510</v>
      </c>
      <c r="AA42" s="81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4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5" t="s">
        <v>927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4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5"/>
      <c r="AA44" s="39"/>
    </row>
    <row r="45" spans="1:27" ht="15.6" x14ac:dyDescent="0.3">
      <c r="A45" s="132"/>
      <c r="B45" s="161" t="s">
        <v>389</v>
      </c>
      <c r="C45" s="158" t="s">
        <v>396</v>
      </c>
      <c r="D45" s="158" t="s">
        <v>508</v>
      </c>
      <c r="E45" s="158" t="s">
        <v>487</v>
      </c>
      <c r="F45" s="158">
        <v>1</v>
      </c>
      <c r="G45" s="158" t="s">
        <v>390</v>
      </c>
      <c r="H45" s="158" t="s">
        <v>391</v>
      </c>
      <c r="I45" s="158"/>
      <c r="J45" s="158" t="s">
        <v>488</v>
      </c>
      <c r="K45" s="158" t="s">
        <v>487</v>
      </c>
      <c r="L45" s="158" t="s">
        <v>481</v>
      </c>
      <c r="M45" s="158" t="s">
        <v>393</v>
      </c>
      <c r="N45" s="158">
        <f>+Y45/80</f>
        <v>20</v>
      </c>
      <c r="O45" s="158"/>
      <c r="P45" s="158" t="s">
        <v>534</v>
      </c>
      <c r="Q45" s="161"/>
      <c r="R45" s="161"/>
      <c r="S45" s="161"/>
      <c r="T45" s="160"/>
      <c r="U45" s="164"/>
      <c r="V45" s="160">
        <f>7*80</f>
        <v>560</v>
      </c>
      <c r="W45" s="160">
        <f t="shared" ref="W45" si="0">7*80</f>
        <v>560</v>
      </c>
      <c r="X45" s="160">
        <f>6*80</f>
        <v>480</v>
      </c>
      <c r="Y45" s="160">
        <f>SUM(Q45:X45)</f>
        <v>1600</v>
      </c>
      <c r="Z45" s="161" t="s">
        <v>516</v>
      </c>
      <c r="AA45" s="158" t="s">
        <v>406</v>
      </c>
    </row>
    <row r="46" spans="1:27" ht="15.6" x14ac:dyDescent="0.3">
      <c r="A46" s="132"/>
      <c r="B46" s="165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2"/>
      <c r="R46" s="132"/>
      <c r="S46" s="132"/>
      <c r="T46" s="134"/>
      <c r="U46" s="135"/>
      <c r="V46" s="134"/>
      <c r="W46" s="134"/>
      <c r="X46" s="134"/>
      <c r="Y46" s="134"/>
      <c r="Z46" s="136" t="s">
        <v>517</v>
      </c>
      <c r="AA46" s="133"/>
    </row>
    <row r="47" spans="1:27" ht="15.6" x14ac:dyDescent="0.3">
      <c r="A47" s="132"/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66"/>
      <c r="O47" s="133"/>
      <c r="P47" s="133"/>
      <c r="Q47" s="132"/>
      <c r="R47" s="132"/>
      <c r="S47" s="132"/>
      <c r="T47" s="134"/>
      <c r="U47" s="135"/>
      <c r="V47" s="134"/>
      <c r="W47" s="134"/>
      <c r="X47" s="134"/>
      <c r="Y47" s="134"/>
      <c r="Z47" s="136"/>
      <c r="AA47" s="133"/>
    </row>
    <row r="48" spans="1:27" ht="15.6" x14ac:dyDescent="0.3">
      <c r="A48" s="132"/>
      <c r="B48" s="161" t="s">
        <v>485</v>
      </c>
      <c r="C48" s="158" t="s">
        <v>478</v>
      </c>
      <c r="D48" s="158" t="s">
        <v>508</v>
      </c>
      <c r="E48" s="158" t="s">
        <v>487</v>
      </c>
      <c r="F48" s="158">
        <v>1</v>
      </c>
      <c r="G48" s="158" t="s">
        <v>411</v>
      </c>
      <c r="H48" s="158" t="s">
        <v>391</v>
      </c>
      <c r="I48" s="158"/>
      <c r="J48" s="158" t="s">
        <v>488</v>
      </c>
      <c r="K48" s="158" t="s">
        <v>487</v>
      </c>
      <c r="L48" s="158" t="s">
        <v>481</v>
      </c>
      <c r="M48" s="158" t="s">
        <v>393</v>
      </c>
      <c r="N48" s="158">
        <f>+Y48/80</f>
        <v>40</v>
      </c>
      <c r="O48" s="158"/>
      <c r="P48" s="158" t="s">
        <v>542</v>
      </c>
      <c r="Q48" s="161"/>
      <c r="R48" s="161"/>
      <c r="S48" s="161"/>
      <c r="T48" s="160"/>
      <c r="U48" s="160"/>
      <c r="V48" s="160">
        <f>20*80</f>
        <v>1600</v>
      </c>
      <c r="W48" s="160">
        <f>20*80</f>
        <v>1600</v>
      </c>
      <c r="X48" s="160"/>
      <c r="Y48" s="160">
        <f>SUM(Q48:X48)</f>
        <v>3200</v>
      </c>
      <c r="Z48" s="161" t="s">
        <v>510</v>
      </c>
      <c r="AA48" s="158" t="s">
        <v>482</v>
      </c>
    </row>
    <row r="49" spans="1:28" ht="15.6" x14ac:dyDescent="0.3">
      <c r="A49" s="132"/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66"/>
      <c r="O49" s="133"/>
      <c r="P49" s="133"/>
      <c r="Q49" s="132"/>
      <c r="R49" s="132"/>
      <c r="S49" s="132"/>
      <c r="T49" s="134"/>
      <c r="U49" s="135"/>
      <c r="V49" s="134"/>
      <c r="W49" s="134"/>
      <c r="X49" s="134"/>
      <c r="Y49" s="134"/>
      <c r="Z49" s="136" t="s">
        <v>927</v>
      </c>
      <c r="AA49" s="133"/>
    </row>
    <row r="50" spans="1:28" ht="15.6" x14ac:dyDescent="0.3">
      <c r="A50" s="132"/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66"/>
      <c r="O50" s="133"/>
      <c r="P50" s="133"/>
      <c r="Q50" s="132"/>
      <c r="R50" s="132"/>
      <c r="S50" s="132"/>
      <c r="T50" s="134"/>
      <c r="U50" s="135"/>
      <c r="V50" s="134"/>
      <c r="W50" s="134"/>
      <c r="X50" s="134"/>
      <c r="Y50" s="134"/>
      <c r="Z50" s="136"/>
      <c r="AA50" s="133"/>
    </row>
    <row r="51" spans="1:28" ht="15.6" x14ac:dyDescent="0.3">
      <c r="A51" s="112" t="s">
        <v>395</v>
      </c>
      <c r="B51" s="112" t="s">
        <v>389</v>
      </c>
      <c r="C51" s="110" t="s">
        <v>396</v>
      </c>
      <c r="D51" s="110" t="s">
        <v>508</v>
      </c>
      <c r="E51" s="110" t="s">
        <v>397</v>
      </c>
      <c r="F51" s="110">
        <v>1</v>
      </c>
      <c r="G51" s="110" t="s">
        <v>390</v>
      </c>
      <c r="H51" s="110" t="s">
        <v>391</v>
      </c>
      <c r="I51" s="113" t="s">
        <v>533</v>
      </c>
      <c r="J51" s="110" t="s">
        <v>398</v>
      </c>
      <c r="K51" s="110" t="s">
        <v>397</v>
      </c>
      <c r="L51" s="110" t="s">
        <v>392</v>
      </c>
      <c r="M51" s="110" t="s">
        <v>399</v>
      </c>
      <c r="N51" s="110"/>
      <c r="O51" s="110">
        <f>+Y51/70</f>
        <v>74</v>
      </c>
      <c r="P51" s="110" t="s">
        <v>534</v>
      </c>
      <c r="Q51" s="115"/>
      <c r="R51" s="114"/>
      <c r="S51" s="114">
        <f>20*70</f>
        <v>1400</v>
      </c>
      <c r="T51" s="114">
        <f>27*70</f>
        <v>1890</v>
      </c>
      <c r="U51" s="114">
        <f>27*70</f>
        <v>1890</v>
      </c>
      <c r="V51" s="114"/>
      <c r="W51" s="114"/>
      <c r="X51" s="114"/>
      <c r="Y51" s="114">
        <f>SUM(Q51:X51)</f>
        <v>5180</v>
      </c>
      <c r="Z51" s="140" t="s">
        <v>552</v>
      </c>
      <c r="AA51" s="110" t="s">
        <v>406</v>
      </c>
    </row>
    <row r="52" spans="1:28" ht="15.6" x14ac:dyDescent="0.3">
      <c r="A52" s="116"/>
      <c r="B52" s="116"/>
      <c r="C52" s="116"/>
      <c r="D52" s="59"/>
      <c r="E52" s="59"/>
      <c r="F52" s="59"/>
      <c r="G52" s="59"/>
      <c r="H52" s="59"/>
      <c r="I52" s="141"/>
      <c r="J52" s="59"/>
      <c r="K52" s="59"/>
      <c r="L52" s="59"/>
      <c r="M52" s="59"/>
      <c r="N52" s="59"/>
      <c r="O52" s="142"/>
      <c r="P52" s="142" t="s">
        <v>553</v>
      </c>
      <c r="Q52" s="117"/>
      <c r="R52" s="120"/>
      <c r="S52" s="120"/>
      <c r="T52" s="120"/>
      <c r="U52" s="120"/>
      <c r="V52" s="120"/>
      <c r="W52" s="120"/>
      <c r="X52" s="120"/>
      <c r="Y52" s="116"/>
      <c r="Z52" s="116" t="s">
        <v>554</v>
      </c>
      <c r="AA52" s="59"/>
    </row>
    <row r="53" spans="1:28" ht="15.6" x14ac:dyDescent="0.3">
      <c r="A53" s="116"/>
      <c r="B53" s="116"/>
      <c r="C53" s="59"/>
      <c r="D53" s="116"/>
      <c r="E53" s="116"/>
      <c r="F53" s="116"/>
      <c r="G53" s="116"/>
      <c r="H53" s="116"/>
      <c r="I53" s="116"/>
      <c r="J53" s="116"/>
      <c r="K53" s="117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7"/>
      <c r="W53" s="143"/>
      <c r="X53" s="116"/>
      <c r="Y53" s="116"/>
      <c r="Z53" s="144"/>
      <c r="AA53" s="145"/>
    </row>
    <row r="54" spans="1:28" ht="15.6" x14ac:dyDescent="0.3">
      <c r="A54" s="53"/>
      <c r="B54" s="53"/>
      <c r="C54" s="81" t="s">
        <v>396</v>
      </c>
      <c r="D54" s="35" t="s">
        <v>508</v>
      </c>
      <c r="E54" s="35" t="s">
        <v>397</v>
      </c>
      <c r="F54" s="35">
        <v>1</v>
      </c>
      <c r="G54" s="35" t="s">
        <v>555</v>
      </c>
      <c r="H54" s="146" t="s">
        <v>419</v>
      </c>
      <c r="I54" s="146" t="s">
        <v>430</v>
      </c>
      <c r="J54" s="35" t="s">
        <v>398</v>
      </c>
      <c r="K54" s="35" t="s">
        <v>397</v>
      </c>
      <c r="L54" s="35" t="s">
        <v>392</v>
      </c>
      <c r="M54" s="35" t="s">
        <v>399</v>
      </c>
      <c r="N54" s="35"/>
      <c r="O54" s="35">
        <f>+Y54/55</f>
        <v>15</v>
      </c>
      <c r="P54" s="35" t="s">
        <v>534</v>
      </c>
      <c r="Q54" s="36">
        <f>2*55</f>
        <v>110</v>
      </c>
      <c r="R54" s="36">
        <f>5*55</f>
        <v>275</v>
      </c>
      <c r="S54" s="36">
        <f>8*55</f>
        <v>440</v>
      </c>
      <c r="T54" s="36"/>
      <c r="U54" s="36"/>
      <c r="V54" s="36"/>
      <c r="W54" s="36"/>
      <c r="X54" s="36"/>
      <c r="Y54" s="36">
        <f>SUM(Q54:X54)</f>
        <v>825</v>
      </c>
      <c r="Z54" s="47" t="s">
        <v>516</v>
      </c>
      <c r="AA54" s="40" t="s">
        <v>406</v>
      </c>
    </row>
    <row r="55" spans="1:28" ht="15.6" x14ac:dyDescent="0.3">
      <c r="A55" s="42"/>
      <c r="B55" s="79"/>
      <c r="C55" s="40" t="s">
        <v>396</v>
      </c>
      <c r="D55" s="40" t="s">
        <v>508</v>
      </c>
      <c r="E55" s="40" t="s">
        <v>397</v>
      </c>
      <c r="F55" s="40">
        <v>1</v>
      </c>
      <c r="G55" s="40" t="s">
        <v>390</v>
      </c>
      <c r="H55" s="40" t="s">
        <v>391</v>
      </c>
      <c r="I55" s="83" t="s">
        <v>430</v>
      </c>
      <c r="J55" s="40" t="s">
        <v>398</v>
      </c>
      <c r="K55" s="40" t="s">
        <v>397</v>
      </c>
      <c r="L55" s="40" t="s">
        <v>392</v>
      </c>
      <c r="M55" s="40" t="s">
        <v>399</v>
      </c>
      <c r="N55" s="40"/>
      <c r="O55" s="40">
        <f>+Y55/70</f>
        <v>15</v>
      </c>
      <c r="P55" s="40" t="s">
        <v>534</v>
      </c>
      <c r="Q55" s="53"/>
      <c r="R55" s="41"/>
      <c r="S55" s="41"/>
      <c r="T55" s="41">
        <f>8*70</f>
        <v>560</v>
      </c>
      <c r="U55" s="41">
        <f>7*70</f>
        <v>490</v>
      </c>
      <c r="V55" s="41"/>
      <c r="W55" s="41"/>
      <c r="X55" s="41"/>
      <c r="Y55" s="41">
        <f>SUM(Q55:X55)</f>
        <v>1050</v>
      </c>
      <c r="Z55" s="37" t="s">
        <v>518</v>
      </c>
      <c r="AA55" s="40"/>
    </row>
    <row r="56" spans="1:28" ht="15.6" x14ac:dyDescent="0.3">
      <c r="A56" s="42"/>
      <c r="B56" s="79"/>
      <c r="C56" s="42"/>
      <c r="D56" s="40"/>
      <c r="E56" s="40"/>
      <c r="F56" s="40"/>
      <c r="G56" s="40"/>
      <c r="H56" s="40"/>
      <c r="I56" s="83"/>
      <c r="J56" s="40"/>
      <c r="K56" s="40"/>
      <c r="L56" s="40"/>
      <c r="M56" s="40"/>
      <c r="N56" s="40"/>
      <c r="O56" s="40"/>
      <c r="P56" s="40"/>
      <c r="Q56" s="53"/>
      <c r="R56" s="41"/>
      <c r="S56" s="41"/>
      <c r="T56" s="41"/>
      <c r="U56" s="41"/>
      <c r="V56" s="41"/>
      <c r="W56" s="41"/>
      <c r="X56" s="41"/>
      <c r="Y56" s="41"/>
      <c r="Z56" s="90" t="s">
        <v>519</v>
      </c>
      <c r="AA56" s="40"/>
    </row>
    <row r="57" spans="1:28" ht="15.6" x14ac:dyDescent="0.3">
      <c r="A57" s="135"/>
      <c r="B57" s="135"/>
      <c r="C57" s="158" t="s">
        <v>396</v>
      </c>
      <c r="D57" s="158" t="s">
        <v>508</v>
      </c>
      <c r="E57" s="158" t="s">
        <v>397</v>
      </c>
      <c r="F57" s="158">
        <v>1</v>
      </c>
      <c r="G57" s="158" t="s">
        <v>555</v>
      </c>
      <c r="H57" s="159" t="s">
        <v>419</v>
      </c>
      <c r="I57" s="159" t="s">
        <v>926</v>
      </c>
      <c r="J57" s="158" t="s">
        <v>398</v>
      </c>
      <c r="K57" s="158" t="s">
        <v>397</v>
      </c>
      <c r="L57" s="158" t="s">
        <v>392</v>
      </c>
      <c r="M57" s="158" t="s">
        <v>399</v>
      </c>
      <c r="N57" s="158"/>
      <c r="O57" s="158">
        <f>+Y57/55</f>
        <v>25</v>
      </c>
      <c r="P57" s="158" t="s">
        <v>534</v>
      </c>
      <c r="Q57" s="160">
        <f>8*55</f>
        <v>440</v>
      </c>
      <c r="R57" s="160">
        <f t="shared" ref="R57" si="1">8*55</f>
        <v>440</v>
      </c>
      <c r="S57" s="160">
        <f>9*55</f>
        <v>495</v>
      </c>
      <c r="T57" s="160"/>
      <c r="U57" s="160"/>
      <c r="V57" s="160"/>
      <c r="W57" s="160"/>
      <c r="X57" s="160"/>
      <c r="Y57" s="160">
        <f>SUM(Q57:X57)</f>
        <v>1375</v>
      </c>
      <c r="Z57" s="161"/>
      <c r="AA57" s="133" t="s">
        <v>406</v>
      </c>
    </row>
    <row r="58" spans="1:28" ht="15.6" x14ac:dyDescent="0.3">
      <c r="A58" s="132"/>
      <c r="B58" s="132"/>
      <c r="C58" s="133" t="s">
        <v>396</v>
      </c>
      <c r="D58" s="133" t="s">
        <v>508</v>
      </c>
      <c r="E58" s="133" t="s">
        <v>397</v>
      </c>
      <c r="F58" s="133">
        <v>1</v>
      </c>
      <c r="G58" s="133" t="s">
        <v>390</v>
      </c>
      <c r="H58" s="133" t="s">
        <v>391</v>
      </c>
      <c r="I58" s="162" t="s">
        <v>926</v>
      </c>
      <c r="J58" s="133" t="s">
        <v>398</v>
      </c>
      <c r="K58" s="133" t="s">
        <v>397</v>
      </c>
      <c r="L58" s="133" t="s">
        <v>392</v>
      </c>
      <c r="M58" s="133" t="s">
        <v>399</v>
      </c>
      <c r="N58" s="133"/>
      <c r="O58" s="133">
        <f>+Y58/70</f>
        <v>25</v>
      </c>
      <c r="P58" s="133" t="s">
        <v>534</v>
      </c>
      <c r="Q58" s="135"/>
      <c r="R58" s="134"/>
      <c r="S58" s="134"/>
      <c r="T58" s="134">
        <f>13*70</f>
        <v>910</v>
      </c>
      <c r="U58" s="134">
        <f>12*70</f>
        <v>840</v>
      </c>
      <c r="V58" s="134"/>
      <c r="W58" s="134"/>
      <c r="X58" s="134"/>
      <c r="Y58" s="134">
        <f>SUM(Q58:X58)</f>
        <v>1750</v>
      </c>
      <c r="Z58" s="163"/>
      <c r="AA58" s="133"/>
    </row>
    <row r="59" spans="1:28" ht="15.6" x14ac:dyDescent="0.3">
      <c r="A59" s="42"/>
      <c r="B59" s="79"/>
      <c r="C59" s="39"/>
      <c r="D59" s="42"/>
      <c r="E59" s="42"/>
      <c r="F59" s="42"/>
      <c r="G59" s="42"/>
      <c r="H59" s="42"/>
      <c r="I59" s="42"/>
      <c r="J59" s="42"/>
      <c r="K59" s="5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53"/>
      <c r="W59" s="88"/>
      <c r="X59" s="88"/>
      <c r="Y59" s="42"/>
      <c r="Z59" s="89"/>
      <c r="AA59" s="40"/>
    </row>
    <row r="60" spans="1:28" ht="15.6" x14ac:dyDescent="0.3">
      <c r="A60" s="61"/>
      <c r="B60" s="6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50"/>
      <c r="R60" s="50"/>
      <c r="S60" s="50"/>
      <c r="T60" s="61"/>
      <c r="U60" s="61"/>
      <c r="V60" s="50"/>
      <c r="W60" s="50"/>
      <c r="X60" s="50"/>
      <c r="Y60" s="50"/>
      <c r="Z60" s="91"/>
      <c r="AA60" s="92"/>
    </row>
    <row r="61" spans="1:28" ht="15.6" x14ac:dyDescent="0.3">
      <c r="A61" s="33" t="s">
        <v>407</v>
      </c>
      <c r="B61" s="33"/>
      <c r="C61" s="52"/>
      <c r="D61" s="52"/>
      <c r="E61" s="33"/>
      <c r="F61" s="33"/>
      <c r="G61" s="52"/>
      <c r="H61" s="33"/>
      <c r="I61" s="52"/>
      <c r="J61" s="52"/>
      <c r="K61" s="52"/>
      <c r="L61" s="33"/>
      <c r="M61" s="33"/>
      <c r="N61" s="51">
        <f>SUM(N4:N60)</f>
        <v>375</v>
      </c>
      <c r="O61" s="51">
        <f>SUM(O4:O60)</f>
        <v>154</v>
      </c>
      <c r="P61" s="51"/>
      <c r="Q61" s="51">
        <f t="shared" ref="Q61:Y61" si="2">SUM(Q4:Q60)</f>
        <v>550</v>
      </c>
      <c r="R61" s="51">
        <f t="shared" si="2"/>
        <v>715</v>
      </c>
      <c r="S61" s="51">
        <f t="shared" si="2"/>
        <v>2335</v>
      </c>
      <c r="T61" s="51">
        <f t="shared" si="2"/>
        <v>3360</v>
      </c>
      <c r="U61" s="51">
        <f t="shared" si="2"/>
        <v>5460</v>
      </c>
      <c r="V61" s="51">
        <f t="shared" si="2"/>
        <v>13520</v>
      </c>
      <c r="W61" s="51">
        <f t="shared" si="2"/>
        <v>10800</v>
      </c>
      <c r="X61" s="51">
        <f t="shared" si="2"/>
        <v>3440</v>
      </c>
      <c r="Y61" s="51">
        <f t="shared" si="2"/>
        <v>40180</v>
      </c>
      <c r="Z61" s="51"/>
      <c r="AA61" s="51"/>
    </row>
    <row r="62" spans="1:28" ht="15.6" x14ac:dyDescent="0.3">
      <c r="A62" s="93" t="s">
        <v>496</v>
      </c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</row>
    <row r="63" spans="1:28" ht="15.6" x14ac:dyDescent="0.3">
      <c r="A63" s="96" t="s">
        <v>497</v>
      </c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4"/>
      <c r="AB63" s="95"/>
    </row>
    <row r="64" spans="1:28" ht="15.6" x14ac:dyDescent="0.3">
      <c r="A64" s="98" t="s">
        <v>498</v>
      </c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5"/>
    </row>
    <row r="65" spans="1:28" ht="15.6" x14ac:dyDescent="0.3">
      <c r="A65" s="99" t="s">
        <v>499</v>
      </c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5"/>
    </row>
    <row r="66" spans="1:28" ht="15.6" x14ac:dyDescent="0.3">
      <c r="A66" s="99" t="s">
        <v>500</v>
      </c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5"/>
    </row>
    <row r="67" spans="1:28" ht="15.6" x14ac:dyDescent="0.3">
      <c r="A67" s="99" t="s">
        <v>501</v>
      </c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5"/>
    </row>
    <row r="68" spans="1:28" ht="15.6" x14ac:dyDescent="0.3">
      <c r="A68" s="99" t="s">
        <v>502</v>
      </c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5"/>
    </row>
    <row r="69" spans="1:28" x14ac:dyDescent="0.3">
      <c r="AA69"/>
      <c r="AB69" s="1"/>
    </row>
    <row r="70" spans="1:28" x14ac:dyDescent="0.3">
      <c r="AA70"/>
      <c r="AB70" s="1"/>
    </row>
    <row r="71" spans="1:28" x14ac:dyDescent="0.3">
      <c r="AA71"/>
      <c r="AB71" s="1"/>
    </row>
    <row r="72" spans="1:28" x14ac:dyDescent="0.3">
      <c r="AA72"/>
      <c r="AB72" s="1"/>
    </row>
    <row r="73" spans="1:28" x14ac:dyDescent="0.3">
      <c r="AA73"/>
      <c r="AB73" s="1"/>
    </row>
    <row r="74" spans="1:28" x14ac:dyDescent="0.3">
      <c r="AA74"/>
      <c r="AB74" s="1"/>
    </row>
    <row r="75" spans="1:28" x14ac:dyDescent="0.3">
      <c r="AA75"/>
      <c r="AB75" s="1"/>
    </row>
  </sheetData>
  <phoneticPr fontId="7" type="noConversion"/>
  <pageMargins left="0.31496062992126" right="0.118110236220472" top="5.1181101999999999E-2" bottom="0.25" header="0.31496062992126" footer="0.31496062992126"/>
  <pageSetup paperSize="9" scale="5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349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524</v>
      </c>
      <c r="W1" t="s">
        <v>535</v>
      </c>
      <c r="X1" t="s">
        <v>536</v>
      </c>
      <c r="Y1" t="s">
        <v>524</v>
      </c>
      <c r="Z1">
        <v>9103</v>
      </c>
      <c r="AA1">
        <v>9203</v>
      </c>
    </row>
    <row r="2" spans="1:50" x14ac:dyDescent="0.3">
      <c r="A2" t="s">
        <v>559</v>
      </c>
      <c r="B2" t="s">
        <v>560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550</v>
      </c>
      <c r="M2" t="s">
        <v>528</v>
      </c>
      <c r="N2" t="s">
        <v>526</v>
      </c>
      <c r="O2" t="s">
        <v>562</v>
      </c>
      <c r="P2" t="s">
        <v>508</v>
      </c>
      <c r="Q2">
        <v>1</v>
      </c>
      <c r="R2" t="s">
        <v>480</v>
      </c>
    </row>
    <row r="3" spans="1:50" x14ac:dyDescent="0.3">
      <c r="A3" t="s">
        <v>559</v>
      </c>
      <c r="B3" t="s">
        <v>560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550</v>
      </c>
      <c r="M3" t="s">
        <v>528</v>
      </c>
      <c r="N3" t="s">
        <v>526</v>
      </c>
      <c r="O3" t="s">
        <v>563</v>
      </c>
      <c r="P3" t="s">
        <v>508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559</v>
      </c>
      <c r="B4" t="s">
        <v>564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550</v>
      </c>
      <c r="M4" t="s">
        <v>528</v>
      </c>
      <c r="N4" t="s">
        <v>526</v>
      </c>
      <c r="O4" t="s">
        <v>567</v>
      </c>
      <c r="P4" t="s">
        <v>508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559</v>
      </c>
      <c r="B5" t="s">
        <v>564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550</v>
      </c>
      <c r="M5" t="s">
        <v>528</v>
      </c>
      <c r="N5" t="s">
        <v>526</v>
      </c>
      <c r="O5" t="s">
        <v>569</v>
      </c>
      <c r="P5" t="s">
        <v>508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559</v>
      </c>
      <c r="B6" t="s">
        <v>571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550</v>
      </c>
      <c r="M6" t="s">
        <v>528</v>
      </c>
      <c r="N6" t="s">
        <v>526</v>
      </c>
      <c r="O6" t="s">
        <v>572</v>
      </c>
      <c r="P6" t="s">
        <v>508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559</v>
      </c>
      <c r="B7" t="s">
        <v>564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550</v>
      </c>
      <c r="M7" t="s">
        <v>528</v>
      </c>
      <c r="N7" t="s">
        <v>526</v>
      </c>
      <c r="O7" t="s">
        <v>573</v>
      </c>
      <c r="P7" t="s">
        <v>508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559</v>
      </c>
      <c r="B8" t="s">
        <v>571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550</v>
      </c>
      <c r="M8" t="s">
        <v>528</v>
      </c>
      <c r="N8" t="s">
        <v>526</v>
      </c>
      <c r="O8" t="s">
        <v>576</v>
      </c>
      <c r="P8" t="s">
        <v>508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559</v>
      </c>
      <c r="B9" t="s">
        <v>571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550</v>
      </c>
      <c r="M9" t="s">
        <v>528</v>
      </c>
      <c r="N9" t="s">
        <v>526</v>
      </c>
      <c r="O9" t="s">
        <v>577</v>
      </c>
      <c r="P9" t="s">
        <v>508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559</v>
      </c>
      <c r="B10" t="s">
        <v>564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550</v>
      </c>
      <c r="M10" t="s">
        <v>528</v>
      </c>
      <c r="N10" t="s">
        <v>526</v>
      </c>
      <c r="O10" t="s">
        <v>580</v>
      </c>
      <c r="P10" t="s">
        <v>508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559</v>
      </c>
      <c r="B11" t="s">
        <v>571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550</v>
      </c>
      <c r="M11" t="s">
        <v>528</v>
      </c>
      <c r="N11" t="s">
        <v>526</v>
      </c>
      <c r="O11" t="s">
        <v>582</v>
      </c>
      <c r="P11" t="s">
        <v>508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559</v>
      </c>
      <c r="B12" t="s">
        <v>571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550</v>
      </c>
      <c r="M12" t="s">
        <v>528</v>
      </c>
      <c r="N12" t="s">
        <v>586</v>
      </c>
      <c r="O12" t="s">
        <v>587</v>
      </c>
      <c r="P12" t="s">
        <v>508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559</v>
      </c>
      <c r="B13" t="s">
        <v>588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550</v>
      </c>
      <c r="M13" t="s">
        <v>528</v>
      </c>
      <c r="N13" t="s">
        <v>586</v>
      </c>
      <c r="O13" t="s">
        <v>589</v>
      </c>
      <c r="P13" t="s">
        <v>508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559</v>
      </c>
      <c r="B14" t="s">
        <v>588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550</v>
      </c>
      <c r="M14" t="s">
        <v>528</v>
      </c>
      <c r="N14" t="s">
        <v>586</v>
      </c>
      <c r="O14" t="s">
        <v>590</v>
      </c>
      <c r="P14" t="s">
        <v>508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559</v>
      </c>
      <c r="B15" t="s">
        <v>588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550</v>
      </c>
      <c r="M15" t="s">
        <v>528</v>
      </c>
      <c r="N15" t="s">
        <v>586</v>
      </c>
      <c r="O15" t="s">
        <v>592</v>
      </c>
      <c r="P15" t="s">
        <v>508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559</v>
      </c>
      <c r="B16" t="s">
        <v>588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550</v>
      </c>
      <c r="M16" t="s">
        <v>528</v>
      </c>
      <c r="N16" t="s">
        <v>586</v>
      </c>
      <c r="O16" t="s">
        <v>596</v>
      </c>
      <c r="P16" t="s">
        <v>508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559</v>
      </c>
      <c r="B17" t="s">
        <v>588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550</v>
      </c>
      <c r="M17" t="s">
        <v>528</v>
      </c>
      <c r="N17" t="s">
        <v>586</v>
      </c>
      <c r="O17" t="s">
        <v>598</v>
      </c>
      <c r="P17" t="s">
        <v>508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559</v>
      </c>
      <c r="B18" t="s">
        <v>588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550</v>
      </c>
      <c r="M18" t="s">
        <v>528</v>
      </c>
      <c r="N18" t="s">
        <v>586</v>
      </c>
      <c r="O18" t="s">
        <v>599</v>
      </c>
      <c r="P18" t="s">
        <v>508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559</v>
      </c>
      <c r="B19" t="s">
        <v>603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550</v>
      </c>
      <c r="M19" t="s">
        <v>528</v>
      </c>
      <c r="N19" t="s">
        <v>586</v>
      </c>
      <c r="O19" t="s">
        <v>606</v>
      </c>
      <c r="P19" t="s">
        <v>508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559</v>
      </c>
      <c r="B20" t="s">
        <v>603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550</v>
      </c>
      <c r="M20" t="s">
        <v>528</v>
      </c>
      <c r="N20" t="s">
        <v>586</v>
      </c>
      <c r="O20" t="s">
        <v>607</v>
      </c>
      <c r="P20" t="s">
        <v>508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559</v>
      </c>
      <c r="B21" t="s">
        <v>603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550</v>
      </c>
      <c r="M21" t="s">
        <v>528</v>
      </c>
      <c r="N21" t="s">
        <v>586</v>
      </c>
      <c r="O21" t="s">
        <v>608</v>
      </c>
      <c r="P21" t="s">
        <v>508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559</v>
      </c>
      <c r="B22" t="s">
        <v>603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550</v>
      </c>
      <c r="M22" t="s">
        <v>528</v>
      </c>
      <c r="N22" t="s">
        <v>586</v>
      </c>
      <c r="O22" t="s">
        <v>609</v>
      </c>
      <c r="P22" t="s">
        <v>508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559</v>
      </c>
      <c r="B23" t="s">
        <v>603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550</v>
      </c>
      <c r="M23" t="s">
        <v>528</v>
      </c>
      <c r="N23" t="s">
        <v>586</v>
      </c>
      <c r="O23" t="s">
        <v>610</v>
      </c>
      <c r="P23" t="s">
        <v>508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559</v>
      </c>
      <c r="B24" t="s">
        <v>603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550</v>
      </c>
      <c r="M24" t="s">
        <v>528</v>
      </c>
      <c r="N24" t="s">
        <v>586</v>
      </c>
      <c r="O24" t="s">
        <v>612</v>
      </c>
      <c r="P24" t="s">
        <v>508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559</v>
      </c>
      <c r="B25" t="s">
        <v>614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550</v>
      </c>
      <c r="M25" t="s">
        <v>528</v>
      </c>
      <c r="N25" t="s">
        <v>586</v>
      </c>
      <c r="O25" t="s">
        <v>616</v>
      </c>
      <c r="P25" t="s">
        <v>508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559</v>
      </c>
      <c r="B26" t="s">
        <v>614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550</v>
      </c>
      <c r="M26" t="s">
        <v>528</v>
      </c>
      <c r="N26" t="s">
        <v>586</v>
      </c>
      <c r="O26" t="s">
        <v>618</v>
      </c>
      <c r="P26" t="s">
        <v>508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559</v>
      </c>
      <c r="B27" t="s">
        <v>614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550</v>
      </c>
      <c r="M27" t="s">
        <v>528</v>
      </c>
      <c r="N27" t="s">
        <v>586</v>
      </c>
      <c r="O27" t="s">
        <v>620</v>
      </c>
      <c r="P27" t="s">
        <v>508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622</v>
      </c>
      <c r="B28" t="s">
        <v>614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550</v>
      </c>
      <c r="M28" t="s">
        <v>528</v>
      </c>
      <c r="N28" t="s">
        <v>586</v>
      </c>
      <c r="O28" t="s">
        <v>623</v>
      </c>
      <c r="P28" t="s">
        <v>508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622</v>
      </c>
      <c r="B29" t="s">
        <v>815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550</v>
      </c>
      <c r="M29" t="s">
        <v>528</v>
      </c>
      <c r="N29" t="s">
        <v>586</v>
      </c>
      <c r="O29" t="s">
        <v>627</v>
      </c>
      <c r="P29" t="s">
        <v>508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622</v>
      </c>
      <c r="B30" t="s">
        <v>815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550</v>
      </c>
      <c r="M30" t="s">
        <v>528</v>
      </c>
      <c r="N30" t="s">
        <v>586</v>
      </c>
      <c r="O30" t="s">
        <v>628</v>
      </c>
      <c r="P30" t="s">
        <v>508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622</v>
      </c>
      <c r="B31" t="s">
        <v>815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550</v>
      </c>
      <c r="M31" t="s">
        <v>528</v>
      </c>
      <c r="N31" t="s">
        <v>586</v>
      </c>
      <c r="O31" t="s">
        <v>629</v>
      </c>
      <c r="P31" t="s">
        <v>508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622</v>
      </c>
      <c r="B32" t="s">
        <v>815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550</v>
      </c>
      <c r="M32" t="s">
        <v>528</v>
      </c>
      <c r="N32" t="s">
        <v>586</v>
      </c>
      <c r="O32" t="s">
        <v>630</v>
      </c>
      <c r="P32" t="s">
        <v>508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622</v>
      </c>
      <c r="B33" t="s">
        <v>815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550</v>
      </c>
      <c r="M33" t="s">
        <v>528</v>
      </c>
      <c r="N33" t="s">
        <v>586</v>
      </c>
      <c r="O33" t="s">
        <v>632</v>
      </c>
      <c r="P33" t="s">
        <v>508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622</v>
      </c>
      <c r="B34" t="s">
        <v>815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550</v>
      </c>
      <c r="M34" t="s">
        <v>528</v>
      </c>
      <c r="N34" t="s">
        <v>586</v>
      </c>
      <c r="O34" t="s">
        <v>633</v>
      </c>
      <c r="P34" t="s">
        <v>508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622</v>
      </c>
      <c r="B35" t="s">
        <v>816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550</v>
      </c>
      <c r="M35" t="s">
        <v>528</v>
      </c>
      <c r="N35" t="s">
        <v>586</v>
      </c>
      <c r="O35" t="s">
        <v>635</v>
      </c>
      <c r="P35" t="s">
        <v>508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622</v>
      </c>
      <c r="B36" t="s">
        <v>816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550</v>
      </c>
      <c r="M36" t="s">
        <v>528</v>
      </c>
      <c r="N36" t="s">
        <v>586</v>
      </c>
      <c r="O36" t="s">
        <v>636</v>
      </c>
      <c r="P36" t="s">
        <v>508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622</v>
      </c>
      <c r="B37" t="s">
        <v>816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550</v>
      </c>
      <c r="M37" t="s">
        <v>528</v>
      </c>
      <c r="N37" t="s">
        <v>586</v>
      </c>
      <c r="O37" t="s">
        <v>641</v>
      </c>
      <c r="P37" t="s">
        <v>508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622</v>
      </c>
      <c r="B38" t="s">
        <v>817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550</v>
      </c>
      <c r="M38" t="s">
        <v>528</v>
      </c>
      <c r="N38" t="s">
        <v>586</v>
      </c>
      <c r="O38" t="s">
        <v>741</v>
      </c>
      <c r="P38" t="s">
        <v>508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622</v>
      </c>
      <c r="B39" t="s">
        <v>817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550</v>
      </c>
      <c r="M39" t="s">
        <v>528</v>
      </c>
      <c r="N39" t="s">
        <v>586</v>
      </c>
      <c r="O39" t="s">
        <v>743</v>
      </c>
      <c r="P39" t="s">
        <v>508</v>
      </c>
      <c r="Q39">
        <v>1</v>
      </c>
      <c r="R39" t="s">
        <v>480</v>
      </c>
    </row>
    <row r="40" spans="1:48" x14ac:dyDescent="0.3">
      <c r="A40" t="s">
        <v>622</v>
      </c>
      <c r="B40" t="s">
        <v>818</v>
      </c>
      <c r="C40" t="s">
        <v>396</v>
      </c>
      <c r="D40" t="s">
        <v>508</v>
      </c>
      <c r="E40" t="s">
        <v>487</v>
      </c>
      <c r="F40" t="s">
        <v>479</v>
      </c>
      <c r="G40" t="s">
        <v>390</v>
      </c>
      <c r="H40" t="s">
        <v>391</v>
      </c>
      <c r="I40" t="s">
        <v>480</v>
      </c>
      <c r="J40" t="s">
        <v>488</v>
      </c>
      <c r="K40" t="s">
        <v>487</v>
      </c>
      <c r="L40" t="s">
        <v>534</v>
      </c>
      <c r="M40" t="s">
        <v>528</v>
      </c>
      <c r="N40" t="s">
        <v>586</v>
      </c>
      <c r="O40" t="s">
        <v>746</v>
      </c>
      <c r="P40" t="s">
        <v>508</v>
      </c>
      <c r="Q40">
        <v>1</v>
      </c>
      <c r="R40" t="s">
        <v>480</v>
      </c>
    </row>
    <row r="41" spans="1:48" x14ac:dyDescent="0.3">
      <c r="A41" t="s">
        <v>622</v>
      </c>
      <c r="B41" t="s">
        <v>817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550</v>
      </c>
      <c r="M41" t="s">
        <v>528</v>
      </c>
      <c r="N41" t="s">
        <v>586</v>
      </c>
      <c r="O41" t="s">
        <v>748</v>
      </c>
      <c r="P41" t="s">
        <v>508</v>
      </c>
      <c r="Q41">
        <v>1</v>
      </c>
      <c r="R41" t="s">
        <v>480</v>
      </c>
    </row>
    <row r="42" spans="1:48" x14ac:dyDescent="0.3">
      <c r="A42" t="s">
        <v>622</v>
      </c>
      <c r="B42" t="s">
        <v>818</v>
      </c>
      <c r="C42" t="s">
        <v>396</v>
      </c>
      <c r="D42" t="s">
        <v>508</v>
      </c>
      <c r="E42" t="s">
        <v>487</v>
      </c>
      <c r="F42" t="s">
        <v>479</v>
      </c>
      <c r="G42" t="s">
        <v>390</v>
      </c>
      <c r="H42" t="s">
        <v>391</v>
      </c>
      <c r="I42" t="s">
        <v>480</v>
      </c>
      <c r="J42" t="s">
        <v>488</v>
      </c>
      <c r="K42" t="s">
        <v>487</v>
      </c>
      <c r="L42" t="s">
        <v>534</v>
      </c>
      <c r="M42" t="s">
        <v>528</v>
      </c>
      <c r="N42" t="s">
        <v>586</v>
      </c>
      <c r="O42" t="s">
        <v>750</v>
      </c>
      <c r="P42" t="s">
        <v>508</v>
      </c>
      <c r="Q42">
        <v>1</v>
      </c>
      <c r="R42" t="s">
        <v>480</v>
      </c>
    </row>
    <row r="43" spans="1:48" x14ac:dyDescent="0.3">
      <c r="A43" t="s">
        <v>622</v>
      </c>
      <c r="B43" t="s">
        <v>818</v>
      </c>
      <c r="C43" t="s">
        <v>396</v>
      </c>
      <c r="D43" t="s">
        <v>508</v>
      </c>
      <c r="E43" t="s">
        <v>487</v>
      </c>
      <c r="F43" t="s">
        <v>479</v>
      </c>
      <c r="G43" t="s">
        <v>390</v>
      </c>
      <c r="H43" t="s">
        <v>391</v>
      </c>
      <c r="I43" t="s">
        <v>480</v>
      </c>
      <c r="J43" t="s">
        <v>488</v>
      </c>
      <c r="K43" t="s">
        <v>487</v>
      </c>
      <c r="L43" t="s">
        <v>534</v>
      </c>
      <c r="M43" t="s">
        <v>528</v>
      </c>
      <c r="N43" t="s">
        <v>586</v>
      </c>
      <c r="O43" t="s">
        <v>754</v>
      </c>
      <c r="P43" t="s">
        <v>508</v>
      </c>
      <c r="Q43">
        <v>1</v>
      </c>
      <c r="R43" t="s">
        <v>480</v>
      </c>
    </row>
    <row r="44" spans="1:48" x14ac:dyDescent="0.3">
      <c r="A44" t="s">
        <v>622</v>
      </c>
      <c r="B44" t="s">
        <v>819</v>
      </c>
      <c r="C44" t="s">
        <v>396</v>
      </c>
      <c r="D44" t="s">
        <v>508</v>
      </c>
      <c r="E44" t="s">
        <v>487</v>
      </c>
      <c r="F44" t="s">
        <v>479</v>
      </c>
      <c r="G44" t="s">
        <v>390</v>
      </c>
      <c r="H44" t="s">
        <v>391</v>
      </c>
      <c r="I44" t="s">
        <v>480</v>
      </c>
      <c r="J44" t="s">
        <v>488</v>
      </c>
      <c r="K44" t="s">
        <v>487</v>
      </c>
      <c r="L44" t="s">
        <v>534</v>
      </c>
      <c r="M44" t="s">
        <v>528</v>
      </c>
      <c r="N44" t="s">
        <v>586</v>
      </c>
      <c r="O44" t="s">
        <v>761</v>
      </c>
      <c r="P44" t="s">
        <v>508</v>
      </c>
      <c r="Q44">
        <v>1</v>
      </c>
      <c r="R44" t="s">
        <v>480</v>
      </c>
    </row>
    <row r="45" spans="1:48" x14ac:dyDescent="0.3">
      <c r="A45" t="s">
        <v>622</v>
      </c>
      <c r="B45" t="s">
        <v>819</v>
      </c>
      <c r="C45" t="s">
        <v>396</v>
      </c>
      <c r="D45" t="s">
        <v>508</v>
      </c>
      <c r="E45" t="s">
        <v>487</v>
      </c>
      <c r="F45" t="s">
        <v>479</v>
      </c>
      <c r="G45" t="s">
        <v>390</v>
      </c>
      <c r="H45" t="s">
        <v>391</v>
      </c>
      <c r="I45" t="s">
        <v>480</v>
      </c>
      <c r="J45" t="s">
        <v>488</v>
      </c>
      <c r="K45" t="s">
        <v>487</v>
      </c>
      <c r="L45" t="s">
        <v>534</v>
      </c>
      <c r="M45" t="s">
        <v>528</v>
      </c>
      <c r="N45" t="s">
        <v>586</v>
      </c>
      <c r="O45" t="s">
        <v>765</v>
      </c>
      <c r="P45" t="s">
        <v>508</v>
      </c>
      <c r="Q45">
        <v>1</v>
      </c>
      <c r="R45" t="s">
        <v>480</v>
      </c>
    </row>
    <row r="46" spans="1:48" x14ac:dyDescent="0.3">
      <c r="A46" t="s">
        <v>622</v>
      </c>
      <c r="B46" t="s">
        <v>819</v>
      </c>
      <c r="C46" t="s">
        <v>396</v>
      </c>
      <c r="D46" t="s">
        <v>508</v>
      </c>
      <c r="E46" t="s">
        <v>487</v>
      </c>
      <c r="F46" t="s">
        <v>479</v>
      </c>
      <c r="G46" t="s">
        <v>390</v>
      </c>
      <c r="H46" t="s">
        <v>391</v>
      </c>
      <c r="I46" t="s">
        <v>480</v>
      </c>
      <c r="J46" t="s">
        <v>488</v>
      </c>
      <c r="K46" t="s">
        <v>487</v>
      </c>
      <c r="L46" t="s">
        <v>534</v>
      </c>
      <c r="M46" t="s">
        <v>528</v>
      </c>
      <c r="N46" t="s">
        <v>586</v>
      </c>
      <c r="O46" t="s">
        <v>766</v>
      </c>
      <c r="P46" t="s">
        <v>508</v>
      </c>
      <c r="Q46">
        <v>1</v>
      </c>
      <c r="R46" t="s">
        <v>480</v>
      </c>
    </row>
    <row r="47" spans="1:48" x14ac:dyDescent="0.3">
      <c r="A47" t="s">
        <v>622</v>
      </c>
      <c r="B47" t="s">
        <v>819</v>
      </c>
      <c r="C47" t="s">
        <v>396</v>
      </c>
      <c r="D47" t="s">
        <v>508</v>
      </c>
      <c r="E47" t="s">
        <v>487</v>
      </c>
      <c r="F47" t="s">
        <v>479</v>
      </c>
      <c r="G47" t="s">
        <v>390</v>
      </c>
      <c r="H47" t="s">
        <v>391</v>
      </c>
      <c r="I47" t="s">
        <v>480</v>
      </c>
      <c r="J47" t="s">
        <v>488</v>
      </c>
      <c r="K47" t="s">
        <v>487</v>
      </c>
      <c r="L47" t="s">
        <v>534</v>
      </c>
      <c r="M47" t="s">
        <v>528</v>
      </c>
      <c r="N47" t="s">
        <v>586</v>
      </c>
      <c r="O47" t="s">
        <v>768</v>
      </c>
      <c r="P47" t="s">
        <v>508</v>
      </c>
      <c r="Q47">
        <v>1</v>
      </c>
      <c r="R47" t="s">
        <v>480</v>
      </c>
    </row>
    <row r="48" spans="1:48" x14ac:dyDescent="0.3">
      <c r="A48" t="s">
        <v>821</v>
      </c>
      <c r="B48" t="s">
        <v>870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550</v>
      </c>
      <c r="M48" t="s">
        <v>528</v>
      </c>
      <c r="N48" t="s">
        <v>586</v>
      </c>
      <c r="O48" t="s">
        <v>871</v>
      </c>
      <c r="P48" t="s">
        <v>508</v>
      </c>
      <c r="Q48">
        <v>1</v>
      </c>
      <c r="R48" t="s">
        <v>480</v>
      </c>
    </row>
    <row r="49" spans="1:18" x14ac:dyDescent="0.3">
      <c r="A49" t="s">
        <v>622</v>
      </c>
      <c r="B49" t="s">
        <v>849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550</v>
      </c>
      <c r="M49" t="s">
        <v>528</v>
      </c>
      <c r="N49" t="s">
        <v>586</v>
      </c>
      <c r="O49" t="s">
        <v>776</v>
      </c>
      <c r="P49" t="s">
        <v>508</v>
      </c>
      <c r="Q49">
        <v>0</v>
      </c>
      <c r="R49" t="s">
        <v>480</v>
      </c>
    </row>
    <row r="50" spans="1:18" x14ac:dyDescent="0.3">
      <c r="A50" t="s">
        <v>622</v>
      </c>
      <c r="B50" t="s">
        <v>849</v>
      </c>
      <c r="C50" t="s">
        <v>478</v>
      </c>
      <c r="D50" t="s">
        <v>508</v>
      </c>
      <c r="E50" t="s">
        <v>487</v>
      </c>
      <c r="F50" t="s">
        <v>479</v>
      </c>
      <c r="G50" t="s">
        <v>411</v>
      </c>
      <c r="H50" t="s">
        <v>391</v>
      </c>
      <c r="I50" t="s">
        <v>480</v>
      </c>
      <c r="J50" t="s">
        <v>488</v>
      </c>
      <c r="K50" t="s">
        <v>487</v>
      </c>
      <c r="L50" t="s">
        <v>542</v>
      </c>
      <c r="M50" t="s">
        <v>528</v>
      </c>
      <c r="N50" t="s">
        <v>586</v>
      </c>
      <c r="O50" t="s">
        <v>777</v>
      </c>
      <c r="P50" t="s">
        <v>508</v>
      </c>
      <c r="Q50">
        <v>0</v>
      </c>
      <c r="R50" t="s">
        <v>480</v>
      </c>
    </row>
    <row r="51" spans="1:18" x14ac:dyDescent="0.3">
      <c r="A51" t="s">
        <v>622</v>
      </c>
      <c r="B51" t="s">
        <v>849</v>
      </c>
      <c r="C51" t="s">
        <v>478</v>
      </c>
      <c r="D51" t="s">
        <v>508</v>
      </c>
      <c r="E51" t="s">
        <v>487</v>
      </c>
      <c r="F51" t="s">
        <v>479</v>
      </c>
      <c r="G51" t="s">
        <v>411</v>
      </c>
      <c r="H51" t="s">
        <v>391</v>
      </c>
      <c r="I51" t="s">
        <v>480</v>
      </c>
      <c r="J51" t="s">
        <v>488</v>
      </c>
      <c r="K51" t="s">
        <v>487</v>
      </c>
      <c r="L51" t="s">
        <v>542</v>
      </c>
      <c r="M51" t="s">
        <v>528</v>
      </c>
      <c r="N51" t="s">
        <v>586</v>
      </c>
      <c r="O51" t="s">
        <v>778</v>
      </c>
      <c r="P51" t="s">
        <v>508</v>
      </c>
      <c r="Q51">
        <v>0</v>
      </c>
      <c r="R51" t="s">
        <v>480</v>
      </c>
    </row>
    <row r="52" spans="1:18" x14ac:dyDescent="0.3">
      <c r="A52" t="s">
        <v>622</v>
      </c>
      <c r="B52" t="s">
        <v>849</v>
      </c>
      <c r="C52" t="s">
        <v>478</v>
      </c>
      <c r="D52" t="s">
        <v>508</v>
      </c>
      <c r="E52" t="s">
        <v>487</v>
      </c>
      <c r="F52" t="s">
        <v>479</v>
      </c>
      <c r="G52" t="s">
        <v>411</v>
      </c>
      <c r="H52" t="s">
        <v>391</v>
      </c>
      <c r="I52" t="s">
        <v>480</v>
      </c>
      <c r="J52" t="s">
        <v>488</v>
      </c>
      <c r="K52" t="s">
        <v>487</v>
      </c>
      <c r="L52" t="s">
        <v>542</v>
      </c>
      <c r="M52" t="s">
        <v>528</v>
      </c>
      <c r="N52" t="s">
        <v>586</v>
      </c>
      <c r="O52" t="s">
        <v>780</v>
      </c>
      <c r="P52" t="s">
        <v>508</v>
      </c>
      <c r="Q52">
        <v>0</v>
      </c>
      <c r="R52" t="s">
        <v>480</v>
      </c>
    </row>
    <row r="53" spans="1:18" x14ac:dyDescent="0.3">
      <c r="A53" t="s">
        <v>622</v>
      </c>
      <c r="B53" t="s">
        <v>849</v>
      </c>
      <c r="C53" t="s">
        <v>478</v>
      </c>
      <c r="D53" t="s">
        <v>508</v>
      </c>
      <c r="E53" t="s">
        <v>487</v>
      </c>
      <c r="F53" t="s">
        <v>479</v>
      </c>
      <c r="G53" t="s">
        <v>411</v>
      </c>
      <c r="H53" t="s">
        <v>391</v>
      </c>
      <c r="I53" t="s">
        <v>480</v>
      </c>
      <c r="J53" t="s">
        <v>488</v>
      </c>
      <c r="K53" t="s">
        <v>487</v>
      </c>
      <c r="L53" t="s">
        <v>542</v>
      </c>
      <c r="M53" t="s">
        <v>528</v>
      </c>
      <c r="N53" t="s">
        <v>586</v>
      </c>
      <c r="O53" t="s">
        <v>787</v>
      </c>
      <c r="P53" t="s">
        <v>508</v>
      </c>
      <c r="Q53">
        <v>0</v>
      </c>
      <c r="R53" t="s">
        <v>480</v>
      </c>
    </row>
    <row r="54" spans="1:18" x14ac:dyDescent="0.3">
      <c r="A54" t="s">
        <v>622</v>
      </c>
      <c r="B54" t="s">
        <v>849</v>
      </c>
      <c r="C54" t="s">
        <v>478</v>
      </c>
      <c r="D54" t="s">
        <v>508</v>
      </c>
      <c r="E54" t="s">
        <v>487</v>
      </c>
      <c r="F54" t="s">
        <v>479</v>
      </c>
      <c r="G54" t="s">
        <v>411</v>
      </c>
      <c r="H54" t="s">
        <v>391</v>
      </c>
      <c r="I54" t="s">
        <v>480</v>
      </c>
      <c r="J54" t="s">
        <v>488</v>
      </c>
      <c r="K54" t="s">
        <v>487</v>
      </c>
      <c r="L54" t="s">
        <v>542</v>
      </c>
      <c r="M54" t="s">
        <v>528</v>
      </c>
      <c r="N54" t="s">
        <v>586</v>
      </c>
      <c r="O54" t="s">
        <v>792</v>
      </c>
      <c r="P54" t="s">
        <v>508</v>
      </c>
      <c r="Q54">
        <v>0</v>
      </c>
      <c r="R54" t="s">
        <v>480</v>
      </c>
    </row>
    <row r="55" spans="1:18" x14ac:dyDescent="0.3">
      <c r="A55" t="s">
        <v>622</v>
      </c>
      <c r="B55" t="s">
        <v>850</v>
      </c>
      <c r="C55" t="s">
        <v>478</v>
      </c>
      <c r="D55" t="s">
        <v>508</v>
      </c>
      <c r="E55" t="s">
        <v>487</v>
      </c>
      <c r="F55" t="s">
        <v>479</v>
      </c>
      <c r="G55" t="s">
        <v>411</v>
      </c>
      <c r="H55" t="s">
        <v>391</v>
      </c>
      <c r="I55" t="s">
        <v>480</v>
      </c>
      <c r="J55" t="s">
        <v>488</v>
      </c>
      <c r="K55" t="s">
        <v>487</v>
      </c>
      <c r="L55" t="s">
        <v>542</v>
      </c>
      <c r="M55" t="s">
        <v>528</v>
      </c>
      <c r="N55" t="s">
        <v>586</v>
      </c>
      <c r="O55" t="s">
        <v>794</v>
      </c>
      <c r="P55" t="s">
        <v>508</v>
      </c>
      <c r="Q55">
        <v>0</v>
      </c>
      <c r="R55" t="s">
        <v>480</v>
      </c>
    </row>
    <row r="56" spans="1:18" x14ac:dyDescent="0.3">
      <c r="A56" t="s">
        <v>622</v>
      </c>
      <c r="B56" t="s">
        <v>850</v>
      </c>
      <c r="C56" t="s">
        <v>478</v>
      </c>
      <c r="D56" t="s">
        <v>508</v>
      </c>
      <c r="E56" t="s">
        <v>487</v>
      </c>
      <c r="F56" t="s">
        <v>479</v>
      </c>
      <c r="G56" t="s">
        <v>411</v>
      </c>
      <c r="H56" t="s">
        <v>391</v>
      </c>
      <c r="I56" t="s">
        <v>480</v>
      </c>
      <c r="J56" t="s">
        <v>488</v>
      </c>
      <c r="K56" t="s">
        <v>487</v>
      </c>
      <c r="L56" t="s">
        <v>542</v>
      </c>
      <c r="M56" t="s">
        <v>528</v>
      </c>
      <c r="N56" t="s">
        <v>586</v>
      </c>
      <c r="O56" t="s">
        <v>797</v>
      </c>
      <c r="P56" t="s">
        <v>508</v>
      </c>
      <c r="Q56">
        <v>0</v>
      </c>
      <c r="R56" t="s">
        <v>480</v>
      </c>
    </row>
    <row r="57" spans="1:18" x14ac:dyDescent="0.3">
      <c r="A57" t="s">
        <v>622</v>
      </c>
      <c r="B57" t="s">
        <v>850</v>
      </c>
      <c r="C57" t="s">
        <v>478</v>
      </c>
      <c r="D57" t="s">
        <v>508</v>
      </c>
      <c r="E57" t="s">
        <v>487</v>
      </c>
      <c r="F57" t="s">
        <v>479</v>
      </c>
      <c r="G57" t="s">
        <v>411</v>
      </c>
      <c r="H57" t="s">
        <v>391</v>
      </c>
      <c r="I57" t="s">
        <v>480</v>
      </c>
      <c r="J57" t="s">
        <v>488</v>
      </c>
      <c r="K57" t="s">
        <v>487</v>
      </c>
      <c r="L57" t="s">
        <v>542</v>
      </c>
      <c r="M57" t="s">
        <v>528</v>
      </c>
      <c r="N57" t="s">
        <v>586</v>
      </c>
      <c r="O57" t="s">
        <v>798</v>
      </c>
      <c r="P57" t="s">
        <v>508</v>
      </c>
      <c r="Q57">
        <v>0</v>
      </c>
      <c r="R57" t="s">
        <v>480</v>
      </c>
    </row>
    <row r="58" spans="1:18" x14ac:dyDescent="0.3">
      <c r="A58" t="s">
        <v>622</v>
      </c>
      <c r="B58" t="s">
        <v>850</v>
      </c>
      <c r="C58" t="s">
        <v>478</v>
      </c>
      <c r="D58" t="s">
        <v>508</v>
      </c>
      <c r="E58" t="s">
        <v>487</v>
      </c>
      <c r="F58" t="s">
        <v>479</v>
      </c>
      <c r="G58" t="s">
        <v>411</v>
      </c>
      <c r="H58" t="s">
        <v>391</v>
      </c>
      <c r="I58" t="s">
        <v>480</v>
      </c>
      <c r="J58" t="s">
        <v>488</v>
      </c>
      <c r="K58" t="s">
        <v>487</v>
      </c>
      <c r="L58" t="s">
        <v>542</v>
      </c>
      <c r="M58" t="s">
        <v>528</v>
      </c>
      <c r="N58" t="s">
        <v>586</v>
      </c>
      <c r="O58" t="s">
        <v>806</v>
      </c>
      <c r="P58" t="s">
        <v>508</v>
      </c>
      <c r="Q58">
        <v>0</v>
      </c>
      <c r="R58" t="s">
        <v>480</v>
      </c>
    </row>
    <row r="59" spans="1:18" x14ac:dyDescent="0.3">
      <c r="A59" t="s">
        <v>622</v>
      </c>
      <c r="B59" t="s">
        <v>850</v>
      </c>
      <c r="C59" t="s">
        <v>478</v>
      </c>
      <c r="D59" t="s">
        <v>508</v>
      </c>
      <c r="E59" t="s">
        <v>487</v>
      </c>
      <c r="F59" t="s">
        <v>479</v>
      </c>
      <c r="G59" t="s">
        <v>411</v>
      </c>
      <c r="H59" t="s">
        <v>391</v>
      </c>
      <c r="I59" t="s">
        <v>480</v>
      </c>
      <c r="J59" t="s">
        <v>488</v>
      </c>
      <c r="K59" t="s">
        <v>487</v>
      </c>
      <c r="L59" t="s">
        <v>542</v>
      </c>
      <c r="M59" t="s">
        <v>528</v>
      </c>
      <c r="N59" t="s">
        <v>586</v>
      </c>
      <c r="O59" t="s">
        <v>820</v>
      </c>
      <c r="P59" t="s">
        <v>508</v>
      </c>
      <c r="Q59">
        <v>0</v>
      </c>
      <c r="R59" t="s">
        <v>480</v>
      </c>
    </row>
    <row r="60" spans="1:18" x14ac:dyDescent="0.3">
      <c r="A60" t="s">
        <v>821</v>
      </c>
      <c r="B60" t="s">
        <v>850</v>
      </c>
      <c r="C60" t="s">
        <v>478</v>
      </c>
      <c r="D60" t="s">
        <v>508</v>
      </c>
      <c r="E60" t="s">
        <v>487</v>
      </c>
      <c r="F60" t="s">
        <v>479</v>
      </c>
      <c r="G60" t="s">
        <v>411</v>
      </c>
      <c r="H60" t="s">
        <v>391</v>
      </c>
      <c r="I60" t="s">
        <v>480</v>
      </c>
      <c r="J60" t="s">
        <v>488</v>
      </c>
      <c r="K60" t="s">
        <v>487</v>
      </c>
      <c r="L60" t="s">
        <v>542</v>
      </c>
      <c r="M60" t="s">
        <v>528</v>
      </c>
      <c r="N60" t="s">
        <v>526</v>
      </c>
      <c r="O60" t="s">
        <v>822</v>
      </c>
      <c r="P60" t="s">
        <v>508</v>
      </c>
      <c r="Q60">
        <v>0</v>
      </c>
      <c r="R60" t="s">
        <v>480</v>
      </c>
    </row>
    <row r="61" spans="1:18" x14ac:dyDescent="0.3">
      <c r="A61" t="s">
        <v>821</v>
      </c>
      <c r="B61" t="s">
        <v>862</v>
      </c>
      <c r="C61" t="s">
        <v>478</v>
      </c>
      <c r="D61" t="s">
        <v>508</v>
      </c>
      <c r="E61" t="s">
        <v>487</v>
      </c>
      <c r="F61" t="s">
        <v>479</v>
      </c>
      <c r="G61" t="s">
        <v>411</v>
      </c>
      <c r="H61" t="s">
        <v>391</v>
      </c>
      <c r="I61" t="s">
        <v>480</v>
      </c>
      <c r="J61" t="s">
        <v>488</v>
      </c>
      <c r="K61" t="s">
        <v>487</v>
      </c>
      <c r="L61" t="s">
        <v>542</v>
      </c>
      <c r="M61" t="s">
        <v>528</v>
      </c>
      <c r="N61" t="s">
        <v>586</v>
      </c>
      <c r="O61" t="s">
        <v>823</v>
      </c>
      <c r="P61" t="s">
        <v>508</v>
      </c>
      <c r="Q61">
        <v>0</v>
      </c>
      <c r="R61" t="s">
        <v>480</v>
      </c>
    </row>
    <row r="62" spans="1:18" x14ac:dyDescent="0.3">
      <c r="A62" t="s">
        <v>821</v>
      </c>
      <c r="B62" t="s">
        <v>862</v>
      </c>
      <c r="C62" t="s">
        <v>478</v>
      </c>
      <c r="D62" t="s">
        <v>508</v>
      </c>
      <c r="E62" t="s">
        <v>487</v>
      </c>
      <c r="F62" t="s">
        <v>479</v>
      </c>
      <c r="G62" t="s">
        <v>411</v>
      </c>
      <c r="H62" t="s">
        <v>391</v>
      </c>
      <c r="I62" t="s">
        <v>480</v>
      </c>
      <c r="J62" t="s">
        <v>488</v>
      </c>
      <c r="K62" t="s">
        <v>487</v>
      </c>
      <c r="L62" t="s">
        <v>542</v>
      </c>
      <c r="M62" t="s">
        <v>528</v>
      </c>
      <c r="N62" t="s">
        <v>526</v>
      </c>
      <c r="O62" t="s">
        <v>825</v>
      </c>
      <c r="P62" t="s">
        <v>508</v>
      </c>
      <c r="Q62">
        <v>0</v>
      </c>
      <c r="R62" t="s">
        <v>480</v>
      </c>
    </row>
    <row r="63" spans="1:18" x14ac:dyDescent="0.3">
      <c r="A63" t="s">
        <v>821</v>
      </c>
      <c r="B63" t="s">
        <v>862</v>
      </c>
      <c r="C63" t="s">
        <v>478</v>
      </c>
      <c r="D63" t="s">
        <v>508</v>
      </c>
      <c r="E63" t="s">
        <v>487</v>
      </c>
      <c r="F63" t="s">
        <v>479</v>
      </c>
      <c r="G63" t="s">
        <v>411</v>
      </c>
      <c r="H63" t="s">
        <v>391</v>
      </c>
      <c r="I63" t="s">
        <v>480</v>
      </c>
      <c r="J63" t="s">
        <v>488</v>
      </c>
      <c r="K63" t="s">
        <v>487</v>
      </c>
      <c r="L63" t="s">
        <v>542</v>
      </c>
      <c r="M63" t="s">
        <v>528</v>
      </c>
      <c r="N63" t="s">
        <v>526</v>
      </c>
      <c r="O63" t="s">
        <v>837</v>
      </c>
      <c r="P63" t="s">
        <v>508</v>
      </c>
      <c r="Q63">
        <v>0</v>
      </c>
      <c r="R63" t="s">
        <v>480</v>
      </c>
    </row>
    <row r="64" spans="1:18" x14ac:dyDescent="0.3">
      <c r="A64" t="s">
        <v>821</v>
      </c>
      <c r="B64" t="s">
        <v>862</v>
      </c>
      <c r="C64" t="s">
        <v>478</v>
      </c>
      <c r="D64" t="s">
        <v>508</v>
      </c>
      <c r="E64" t="s">
        <v>487</v>
      </c>
      <c r="F64" t="s">
        <v>479</v>
      </c>
      <c r="G64" t="s">
        <v>411</v>
      </c>
      <c r="H64" t="s">
        <v>391</v>
      </c>
      <c r="I64" t="s">
        <v>480</v>
      </c>
      <c r="J64" t="s">
        <v>488</v>
      </c>
      <c r="K64" t="s">
        <v>487</v>
      </c>
      <c r="L64" t="s">
        <v>542</v>
      </c>
      <c r="M64" t="s">
        <v>528</v>
      </c>
      <c r="N64" t="s">
        <v>526</v>
      </c>
      <c r="O64" t="s">
        <v>838</v>
      </c>
      <c r="P64" t="s">
        <v>508</v>
      </c>
      <c r="Q64">
        <v>0</v>
      </c>
      <c r="R64" t="s">
        <v>480</v>
      </c>
    </row>
    <row r="65" spans="1:18" x14ac:dyDescent="0.3">
      <c r="A65" t="s">
        <v>821</v>
      </c>
      <c r="B65" t="s">
        <v>862</v>
      </c>
      <c r="C65" t="s">
        <v>478</v>
      </c>
      <c r="D65" t="s">
        <v>508</v>
      </c>
      <c r="E65" t="s">
        <v>487</v>
      </c>
      <c r="F65" t="s">
        <v>479</v>
      </c>
      <c r="G65" t="s">
        <v>411</v>
      </c>
      <c r="H65" t="s">
        <v>391</v>
      </c>
      <c r="I65" t="s">
        <v>480</v>
      </c>
      <c r="J65" t="s">
        <v>488</v>
      </c>
      <c r="K65" t="s">
        <v>487</v>
      </c>
      <c r="L65" t="s">
        <v>542</v>
      </c>
      <c r="M65" t="s">
        <v>528</v>
      </c>
      <c r="N65" t="s">
        <v>526</v>
      </c>
      <c r="O65" t="s">
        <v>839</v>
      </c>
      <c r="P65" t="s">
        <v>508</v>
      </c>
      <c r="Q65">
        <v>0</v>
      </c>
      <c r="R65" t="s">
        <v>480</v>
      </c>
    </row>
    <row r="66" spans="1:18" x14ac:dyDescent="0.3">
      <c r="A66" t="s">
        <v>821</v>
      </c>
      <c r="B66" t="s">
        <v>862</v>
      </c>
      <c r="C66" t="s">
        <v>478</v>
      </c>
      <c r="D66" t="s">
        <v>508</v>
      </c>
      <c r="E66" t="s">
        <v>487</v>
      </c>
      <c r="F66" t="s">
        <v>479</v>
      </c>
      <c r="G66" t="s">
        <v>411</v>
      </c>
      <c r="H66" t="s">
        <v>391</v>
      </c>
      <c r="I66" t="s">
        <v>480</v>
      </c>
      <c r="J66" t="s">
        <v>488</v>
      </c>
      <c r="K66" t="s">
        <v>487</v>
      </c>
      <c r="L66" t="s">
        <v>542</v>
      </c>
      <c r="M66" t="s">
        <v>528</v>
      </c>
      <c r="N66" t="s">
        <v>526</v>
      </c>
      <c r="O66" t="s">
        <v>851</v>
      </c>
      <c r="P66" t="s">
        <v>508</v>
      </c>
      <c r="Q66">
        <v>0</v>
      </c>
      <c r="R66" t="s">
        <v>480</v>
      </c>
    </row>
    <row r="67" spans="1:18" x14ac:dyDescent="0.3">
      <c r="A67" t="s">
        <v>821</v>
      </c>
      <c r="B67" t="s">
        <v>862</v>
      </c>
      <c r="C67" t="s">
        <v>478</v>
      </c>
      <c r="D67" t="s">
        <v>508</v>
      </c>
      <c r="E67" t="s">
        <v>487</v>
      </c>
      <c r="F67" t="s">
        <v>479</v>
      </c>
      <c r="G67" t="s">
        <v>411</v>
      </c>
      <c r="H67" t="s">
        <v>391</v>
      </c>
      <c r="I67" t="s">
        <v>480</v>
      </c>
      <c r="J67" t="s">
        <v>488</v>
      </c>
      <c r="K67" t="s">
        <v>487</v>
      </c>
      <c r="L67" t="s">
        <v>542</v>
      </c>
      <c r="M67" t="s">
        <v>528</v>
      </c>
      <c r="N67" t="s">
        <v>526</v>
      </c>
      <c r="O67" t="s">
        <v>852</v>
      </c>
      <c r="P67" t="s">
        <v>508</v>
      </c>
      <c r="Q67">
        <v>0</v>
      </c>
      <c r="R67" t="s">
        <v>480</v>
      </c>
    </row>
    <row r="68" spans="1:18" x14ac:dyDescent="0.3">
      <c r="A68" t="s">
        <v>821</v>
      </c>
      <c r="B68" t="s">
        <v>862</v>
      </c>
      <c r="C68" t="s">
        <v>478</v>
      </c>
      <c r="D68" t="s">
        <v>508</v>
      </c>
      <c r="E68" t="s">
        <v>487</v>
      </c>
      <c r="F68" t="s">
        <v>479</v>
      </c>
      <c r="G68" t="s">
        <v>411</v>
      </c>
      <c r="H68" t="s">
        <v>391</v>
      </c>
      <c r="I68" t="s">
        <v>480</v>
      </c>
      <c r="J68" t="s">
        <v>488</v>
      </c>
      <c r="K68" t="s">
        <v>487</v>
      </c>
      <c r="L68" t="s">
        <v>542</v>
      </c>
      <c r="M68" t="s">
        <v>528</v>
      </c>
      <c r="N68" t="s">
        <v>526</v>
      </c>
      <c r="O68" t="s">
        <v>853</v>
      </c>
      <c r="P68" t="s">
        <v>508</v>
      </c>
      <c r="Q68">
        <v>0</v>
      </c>
      <c r="R68" t="s">
        <v>480</v>
      </c>
    </row>
    <row r="69" spans="1:18" x14ac:dyDescent="0.3">
      <c r="A69" t="s">
        <v>821</v>
      </c>
      <c r="B69" t="s">
        <v>863</v>
      </c>
      <c r="C69" t="s">
        <v>478</v>
      </c>
      <c r="D69" t="s">
        <v>508</v>
      </c>
      <c r="E69" t="s">
        <v>487</v>
      </c>
      <c r="F69" t="s">
        <v>479</v>
      </c>
      <c r="G69" t="s">
        <v>411</v>
      </c>
      <c r="H69" t="s">
        <v>391</v>
      </c>
      <c r="I69" t="s">
        <v>480</v>
      </c>
      <c r="J69" t="s">
        <v>488</v>
      </c>
      <c r="K69" t="s">
        <v>487</v>
      </c>
      <c r="L69" t="s">
        <v>542</v>
      </c>
      <c r="M69" t="s">
        <v>528</v>
      </c>
      <c r="N69" t="s">
        <v>526</v>
      </c>
      <c r="O69" t="s">
        <v>864</v>
      </c>
      <c r="P69" t="s">
        <v>508</v>
      </c>
      <c r="Q69">
        <v>0</v>
      </c>
      <c r="R69" t="s">
        <v>480</v>
      </c>
    </row>
    <row r="70" spans="1:18" x14ac:dyDescent="0.3">
      <c r="A70" t="s">
        <v>821</v>
      </c>
      <c r="B70" t="s">
        <v>865</v>
      </c>
      <c r="C70" t="s">
        <v>478</v>
      </c>
      <c r="D70" t="s">
        <v>508</v>
      </c>
      <c r="E70" t="s">
        <v>487</v>
      </c>
      <c r="F70" t="s">
        <v>479</v>
      </c>
      <c r="G70" t="s">
        <v>411</v>
      </c>
      <c r="H70" t="s">
        <v>391</v>
      </c>
      <c r="I70" t="s">
        <v>480</v>
      </c>
      <c r="J70" t="s">
        <v>488</v>
      </c>
      <c r="K70" t="s">
        <v>487</v>
      </c>
      <c r="L70" t="s">
        <v>542</v>
      </c>
      <c r="M70" t="s">
        <v>528</v>
      </c>
      <c r="N70" t="s">
        <v>586</v>
      </c>
      <c r="O70" t="s">
        <v>866</v>
      </c>
      <c r="P70" t="s">
        <v>508</v>
      </c>
      <c r="Q70">
        <v>0</v>
      </c>
      <c r="R70" t="s">
        <v>480</v>
      </c>
    </row>
    <row r="71" spans="1:18" x14ac:dyDescent="0.3">
      <c r="A71" t="s">
        <v>821</v>
      </c>
      <c r="B71" t="s">
        <v>865</v>
      </c>
      <c r="C71" t="s">
        <v>478</v>
      </c>
      <c r="D71" t="s">
        <v>508</v>
      </c>
      <c r="E71" t="s">
        <v>487</v>
      </c>
      <c r="F71" t="s">
        <v>479</v>
      </c>
      <c r="G71" t="s">
        <v>411</v>
      </c>
      <c r="H71" t="s">
        <v>391</v>
      </c>
      <c r="I71" t="s">
        <v>480</v>
      </c>
      <c r="J71" t="s">
        <v>488</v>
      </c>
      <c r="K71" t="s">
        <v>487</v>
      </c>
      <c r="L71" t="s">
        <v>542</v>
      </c>
      <c r="M71" t="s">
        <v>528</v>
      </c>
      <c r="N71" t="s">
        <v>586</v>
      </c>
      <c r="O71" t="s">
        <v>867</v>
      </c>
      <c r="P71" t="s">
        <v>508</v>
      </c>
      <c r="Q71">
        <v>0</v>
      </c>
      <c r="R71" t="s">
        <v>480</v>
      </c>
    </row>
    <row r="72" spans="1:18" x14ac:dyDescent="0.3">
      <c r="A72" t="s">
        <v>821</v>
      </c>
      <c r="B72" t="s">
        <v>863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550</v>
      </c>
      <c r="M72" t="s">
        <v>528</v>
      </c>
      <c r="N72" t="s">
        <v>586</v>
      </c>
      <c r="O72" t="s">
        <v>868</v>
      </c>
      <c r="P72" t="s">
        <v>508</v>
      </c>
      <c r="Q72">
        <v>0</v>
      </c>
      <c r="R72" t="s">
        <v>480</v>
      </c>
    </row>
    <row r="73" spans="1:18" x14ac:dyDescent="0.3">
      <c r="A73" t="s">
        <v>821</v>
      </c>
      <c r="B73" t="s">
        <v>863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550</v>
      </c>
      <c r="M73" t="s">
        <v>528</v>
      </c>
      <c r="N73" t="s">
        <v>586</v>
      </c>
      <c r="O73" t="s">
        <v>869</v>
      </c>
      <c r="P73" t="s">
        <v>508</v>
      </c>
      <c r="Q73">
        <v>0</v>
      </c>
      <c r="R73" t="s">
        <v>480</v>
      </c>
    </row>
    <row r="74" spans="1:18" x14ac:dyDescent="0.3">
      <c r="A74" t="s">
        <v>821</v>
      </c>
      <c r="B74" t="s">
        <v>863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550</v>
      </c>
      <c r="M74" t="s">
        <v>528</v>
      </c>
      <c r="N74" t="s">
        <v>586</v>
      </c>
      <c r="O74" t="s">
        <v>872</v>
      </c>
      <c r="P74" t="s">
        <v>508</v>
      </c>
      <c r="Q74">
        <v>0</v>
      </c>
      <c r="R74" t="s">
        <v>480</v>
      </c>
    </row>
    <row r="75" spans="1:18" x14ac:dyDescent="0.3">
      <c r="A75" t="s">
        <v>821</v>
      </c>
      <c r="B75" t="s">
        <v>863</v>
      </c>
      <c r="C75" t="s">
        <v>478</v>
      </c>
      <c r="D75" t="s">
        <v>508</v>
      </c>
      <c r="E75" t="s">
        <v>487</v>
      </c>
      <c r="F75" t="s">
        <v>479</v>
      </c>
      <c r="G75" t="s">
        <v>394</v>
      </c>
      <c r="H75" t="s">
        <v>391</v>
      </c>
      <c r="I75" t="s">
        <v>480</v>
      </c>
      <c r="J75" t="s">
        <v>488</v>
      </c>
      <c r="K75" t="s">
        <v>487</v>
      </c>
      <c r="L75" t="s">
        <v>550</v>
      </c>
      <c r="M75" t="s">
        <v>528</v>
      </c>
      <c r="N75" t="s">
        <v>586</v>
      </c>
      <c r="O75" t="s">
        <v>873</v>
      </c>
      <c r="P75" t="s">
        <v>508</v>
      </c>
      <c r="Q75">
        <v>0</v>
      </c>
      <c r="R75" t="s">
        <v>480</v>
      </c>
    </row>
    <row r="76" spans="1:18" x14ac:dyDescent="0.3">
      <c r="A76" t="s">
        <v>821</v>
      </c>
      <c r="B76" t="s">
        <v>863</v>
      </c>
      <c r="C76" t="s">
        <v>478</v>
      </c>
      <c r="D76" t="s">
        <v>508</v>
      </c>
      <c r="E76" t="s">
        <v>487</v>
      </c>
      <c r="F76" t="s">
        <v>479</v>
      </c>
      <c r="G76" t="s">
        <v>394</v>
      </c>
      <c r="H76" t="s">
        <v>391</v>
      </c>
      <c r="I76" t="s">
        <v>480</v>
      </c>
      <c r="J76" t="s">
        <v>488</v>
      </c>
      <c r="K76" t="s">
        <v>487</v>
      </c>
      <c r="L76" t="s">
        <v>550</v>
      </c>
      <c r="M76" t="s">
        <v>528</v>
      </c>
      <c r="N76" t="s">
        <v>586</v>
      </c>
      <c r="O76" t="s">
        <v>874</v>
      </c>
      <c r="P76" t="s">
        <v>508</v>
      </c>
      <c r="Q76">
        <v>0</v>
      </c>
      <c r="R76" t="s">
        <v>480</v>
      </c>
    </row>
    <row r="77" spans="1:18" x14ac:dyDescent="0.3">
      <c r="A77" t="s">
        <v>821</v>
      </c>
      <c r="B77" t="s">
        <v>483</v>
      </c>
      <c r="C77" t="s">
        <v>478</v>
      </c>
      <c r="D77" t="s">
        <v>508</v>
      </c>
      <c r="E77" t="s">
        <v>487</v>
      </c>
      <c r="F77" t="s">
        <v>479</v>
      </c>
      <c r="G77" t="s">
        <v>394</v>
      </c>
      <c r="H77" t="s">
        <v>391</v>
      </c>
      <c r="I77" t="s">
        <v>480</v>
      </c>
      <c r="J77" t="s">
        <v>488</v>
      </c>
      <c r="K77" t="s">
        <v>487</v>
      </c>
      <c r="L77" t="s">
        <v>550</v>
      </c>
      <c r="M77" t="s">
        <v>528</v>
      </c>
      <c r="N77" t="s">
        <v>586</v>
      </c>
      <c r="O77" t="s">
        <v>909</v>
      </c>
      <c r="P77" t="s">
        <v>508</v>
      </c>
      <c r="Q77">
        <v>0</v>
      </c>
      <c r="R77" t="s">
        <v>480</v>
      </c>
    </row>
    <row r="78" spans="1:18" x14ac:dyDescent="0.3">
      <c r="A78" t="s">
        <v>821</v>
      </c>
      <c r="B78" t="s">
        <v>483</v>
      </c>
      <c r="C78" t="s">
        <v>478</v>
      </c>
      <c r="D78" t="s">
        <v>508</v>
      </c>
      <c r="E78" t="s">
        <v>487</v>
      </c>
      <c r="F78" t="s">
        <v>479</v>
      </c>
      <c r="G78" t="s">
        <v>394</v>
      </c>
      <c r="H78" t="s">
        <v>391</v>
      </c>
      <c r="I78" t="s">
        <v>480</v>
      </c>
      <c r="J78" t="s">
        <v>488</v>
      </c>
      <c r="K78" t="s">
        <v>487</v>
      </c>
      <c r="L78" t="s">
        <v>550</v>
      </c>
      <c r="M78" t="s">
        <v>528</v>
      </c>
      <c r="N78" t="s">
        <v>586</v>
      </c>
      <c r="O78" t="s">
        <v>910</v>
      </c>
      <c r="P78" t="s">
        <v>508</v>
      </c>
      <c r="Q78">
        <v>0</v>
      </c>
      <c r="R78" t="s">
        <v>480</v>
      </c>
    </row>
    <row r="79" spans="1:18" x14ac:dyDescent="0.3">
      <c r="A79" t="s">
        <v>821</v>
      </c>
      <c r="B79" t="s">
        <v>483</v>
      </c>
      <c r="C79" t="s">
        <v>478</v>
      </c>
      <c r="D79" t="s">
        <v>508</v>
      </c>
      <c r="E79" t="s">
        <v>487</v>
      </c>
      <c r="F79" t="s">
        <v>479</v>
      </c>
      <c r="G79" t="s">
        <v>394</v>
      </c>
      <c r="H79" t="s">
        <v>391</v>
      </c>
      <c r="I79" t="s">
        <v>480</v>
      </c>
      <c r="J79" t="s">
        <v>488</v>
      </c>
      <c r="K79" t="s">
        <v>487</v>
      </c>
      <c r="L79" t="s">
        <v>550</v>
      </c>
      <c r="M79" t="s">
        <v>528</v>
      </c>
      <c r="N79" t="s">
        <v>586</v>
      </c>
      <c r="O79" t="s">
        <v>911</v>
      </c>
      <c r="P79" t="s">
        <v>508</v>
      </c>
      <c r="Q79">
        <v>0</v>
      </c>
      <c r="R79" t="s">
        <v>480</v>
      </c>
    </row>
    <row r="80" spans="1:18" x14ac:dyDescent="0.3">
      <c r="A80" t="s">
        <v>821</v>
      </c>
      <c r="B80" t="s">
        <v>483</v>
      </c>
      <c r="C80" t="s">
        <v>478</v>
      </c>
      <c r="D80" t="s">
        <v>508</v>
      </c>
      <c r="E80" t="s">
        <v>487</v>
      </c>
      <c r="F80" t="s">
        <v>479</v>
      </c>
      <c r="G80" t="s">
        <v>394</v>
      </c>
      <c r="H80" t="s">
        <v>391</v>
      </c>
      <c r="I80" t="s">
        <v>480</v>
      </c>
      <c r="J80" t="s">
        <v>488</v>
      </c>
      <c r="K80" t="s">
        <v>487</v>
      </c>
      <c r="L80" t="s">
        <v>550</v>
      </c>
      <c r="M80" t="s">
        <v>528</v>
      </c>
      <c r="N80" t="s">
        <v>586</v>
      </c>
      <c r="O80" t="s">
        <v>912</v>
      </c>
      <c r="P80" t="s">
        <v>508</v>
      </c>
      <c r="Q80">
        <v>0</v>
      </c>
      <c r="R80" t="s">
        <v>480</v>
      </c>
    </row>
    <row r="81" spans="1:18" x14ac:dyDescent="0.3">
      <c r="A81" t="s">
        <v>821</v>
      </c>
      <c r="B81" t="s">
        <v>483</v>
      </c>
      <c r="C81" t="s">
        <v>478</v>
      </c>
      <c r="D81" t="s">
        <v>508</v>
      </c>
      <c r="E81" t="s">
        <v>487</v>
      </c>
      <c r="F81" t="s">
        <v>479</v>
      </c>
      <c r="G81" t="s">
        <v>394</v>
      </c>
      <c r="H81" t="s">
        <v>391</v>
      </c>
      <c r="I81" t="s">
        <v>480</v>
      </c>
      <c r="J81" t="s">
        <v>488</v>
      </c>
      <c r="K81" t="s">
        <v>487</v>
      </c>
      <c r="L81" t="s">
        <v>550</v>
      </c>
      <c r="M81" t="s">
        <v>528</v>
      </c>
      <c r="N81" t="s">
        <v>586</v>
      </c>
      <c r="O81" t="s">
        <v>929</v>
      </c>
      <c r="P81" t="s">
        <v>508</v>
      </c>
      <c r="Q81">
        <v>0</v>
      </c>
      <c r="R81" t="s">
        <v>480</v>
      </c>
    </row>
    <row r="82" spans="1:18" x14ac:dyDescent="0.3">
      <c r="A82" t="s">
        <v>821</v>
      </c>
      <c r="B82" t="s">
        <v>483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534</v>
      </c>
      <c r="M82" t="s">
        <v>528</v>
      </c>
      <c r="N82" t="s">
        <v>586</v>
      </c>
      <c r="O82" t="s">
        <v>930</v>
      </c>
      <c r="P82" t="s">
        <v>508</v>
      </c>
      <c r="Q82">
        <v>0</v>
      </c>
      <c r="R82" t="s">
        <v>480</v>
      </c>
    </row>
    <row r="83" spans="1:18" x14ac:dyDescent="0.3">
      <c r="A83" t="s">
        <v>821</v>
      </c>
      <c r="B83" t="s">
        <v>483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534</v>
      </c>
      <c r="M83" t="s">
        <v>528</v>
      </c>
      <c r="N83" t="s">
        <v>586</v>
      </c>
      <c r="O83" t="s">
        <v>931</v>
      </c>
      <c r="P83" t="s">
        <v>508</v>
      </c>
      <c r="Q83">
        <v>0</v>
      </c>
      <c r="R83" t="s">
        <v>480</v>
      </c>
    </row>
    <row r="84" spans="1:18" x14ac:dyDescent="0.3">
      <c r="A84" t="s">
        <v>821</v>
      </c>
      <c r="B84" t="s">
        <v>483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534</v>
      </c>
      <c r="M84" t="s">
        <v>528</v>
      </c>
      <c r="N84" t="s">
        <v>586</v>
      </c>
      <c r="O84" t="s">
        <v>934</v>
      </c>
      <c r="P84" t="s">
        <v>508</v>
      </c>
      <c r="Q84">
        <v>0</v>
      </c>
      <c r="R84" t="s">
        <v>480</v>
      </c>
    </row>
    <row r="85" spans="1:18" x14ac:dyDescent="0.3">
      <c r="A85" t="s">
        <v>821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534</v>
      </c>
      <c r="M85" t="s">
        <v>528</v>
      </c>
      <c r="N85" t="s">
        <v>586</v>
      </c>
      <c r="O85" t="s">
        <v>940</v>
      </c>
      <c r="P85" t="s">
        <v>508</v>
      </c>
      <c r="Q85">
        <v>0</v>
      </c>
      <c r="R85" t="s">
        <v>480</v>
      </c>
    </row>
    <row r="86" spans="1:18" x14ac:dyDescent="0.3">
      <c r="A86" t="s">
        <v>821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534</v>
      </c>
      <c r="M86" t="s">
        <v>528</v>
      </c>
      <c r="N86" t="s">
        <v>586</v>
      </c>
      <c r="O86" t="s">
        <v>941</v>
      </c>
      <c r="P86" t="s">
        <v>508</v>
      </c>
      <c r="Q86">
        <v>0</v>
      </c>
      <c r="R86" t="s">
        <v>480</v>
      </c>
    </row>
    <row r="87" spans="1:18" x14ac:dyDescent="0.3">
      <c r="A87" t="s">
        <v>821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534</v>
      </c>
      <c r="M87" t="s">
        <v>528</v>
      </c>
      <c r="N87" t="s">
        <v>586</v>
      </c>
      <c r="O87" t="s">
        <v>942</v>
      </c>
      <c r="P87" t="s">
        <v>508</v>
      </c>
      <c r="Q87">
        <v>0</v>
      </c>
      <c r="R87" t="s">
        <v>480</v>
      </c>
    </row>
    <row r="88" spans="1:18" x14ac:dyDescent="0.3">
      <c r="A88" t="s">
        <v>821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534</v>
      </c>
      <c r="M88" t="s">
        <v>528</v>
      </c>
      <c r="N88" t="s">
        <v>586</v>
      </c>
      <c r="O88" t="s">
        <v>943</v>
      </c>
      <c r="P88" t="s">
        <v>508</v>
      </c>
      <c r="Q88">
        <v>0</v>
      </c>
      <c r="R88" t="s">
        <v>480</v>
      </c>
    </row>
    <row r="89" spans="1:18" x14ac:dyDescent="0.3">
      <c r="A89" t="s">
        <v>821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534</v>
      </c>
      <c r="M89" t="s">
        <v>528</v>
      </c>
      <c r="N89" t="s">
        <v>586</v>
      </c>
      <c r="O89" t="s">
        <v>944</v>
      </c>
      <c r="P89" t="s">
        <v>508</v>
      </c>
      <c r="Q89">
        <v>0</v>
      </c>
      <c r="R89" t="s">
        <v>480</v>
      </c>
    </row>
    <row r="90" spans="1:18" x14ac:dyDescent="0.3">
      <c r="A90" t="s">
        <v>821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534</v>
      </c>
      <c r="M90" t="s">
        <v>528</v>
      </c>
      <c r="N90" t="s">
        <v>586</v>
      </c>
      <c r="O90" t="s">
        <v>960</v>
      </c>
      <c r="P90" t="s">
        <v>508</v>
      </c>
      <c r="Q90">
        <v>0</v>
      </c>
      <c r="R90" t="s">
        <v>480</v>
      </c>
    </row>
    <row r="91" spans="1:18" x14ac:dyDescent="0.3">
      <c r="A91" t="s">
        <v>559</v>
      </c>
      <c r="B91" t="s">
        <v>560</v>
      </c>
      <c r="C91" t="s">
        <v>478</v>
      </c>
      <c r="D91" t="s">
        <v>508</v>
      </c>
      <c r="E91" t="s">
        <v>487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487</v>
      </c>
      <c r="L91" t="s">
        <v>550</v>
      </c>
      <c r="M91" t="s">
        <v>527</v>
      </c>
      <c r="N91" t="s">
        <v>526</v>
      </c>
      <c r="O91" t="s">
        <v>561</v>
      </c>
      <c r="P91" t="s">
        <v>508</v>
      </c>
      <c r="Q91">
        <v>1</v>
      </c>
      <c r="R91" t="s">
        <v>480</v>
      </c>
    </row>
    <row r="92" spans="1:18" x14ac:dyDescent="0.3">
      <c r="A92" t="s">
        <v>559</v>
      </c>
      <c r="B92" t="s">
        <v>564</v>
      </c>
      <c r="C92" t="s">
        <v>478</v>
      </c>
      <c r="D92" t="s">
        <v>508</v>
      </c>
      <c r="E92" t="s">
        <v>487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487</v>
      </c>
      <c r="L92" t="s">
        <v>550</v>
      </c>
      <c r="M92" t="s">
        <v>527</v>
      </c>
      <c r="N92" t="s">
        <v>526</v>
      </c>
      <c r="O92" t="s">
        <v>565</v>
      </c>
      <c r="P92" t="s">
        <v>508</v>
      </c>
      <c r="Q92">
        <v>1</v>
      </c>
      <c r="R92" t="s">
        <v>480</v>
      </c>
    </row>
    <row r="93" spans="1:18" x14ac:dyDescent="0.3">
      <c r="A93" t="s">
        <v>559</v>
      </c>
      <c r="B93" t="s">
        <v>560</v>
      </c>
      <c r="C93" t="s">
        <v>478</v>
      </c>
      <c r="D93" t="s">
        <v>508</v>
      </c>
      <c r="E93" t="s">
        <v>487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487</v>
      </c>
      <c r="L93" t="s">
        <v>550</v>
      </c>
      <c r="M93" t="s">
        <v>529</v>
      </c>
      <c r="N93" t="s">
        <v>526</v>
      </c>
      <c r="O93" t="s">
        <v>566</v>
      </c>
      <c r="P93" t="s">
        <v>508</v>
      </c>
      <c r="Q93">
        <v>1</v>
      </c>
      <c r="R93" t="s">
        <v>480</v>
      </c>
    </row>
    <row r="94" spans="1:18" x14ac:dyDescent="0.3">
      <c r="A94" t="s">
        <v>559</v>
      </c>
      <c r="B94" t="s">
        <v>564</v>
      </c>
      <c r="C94" t="s">
        <v>478</v>
      </c>
      <c r="D94" t="s">
        <v>508</v>
      </c>
      <c r="E94" t="s">
        <v>487</v>
      </c>
      <c r="F94" t="s">
        <v>479</v>
      </c>
      <c r="G94" t="s">
        <v>394</v>
      </c>
      <c r="H94" t="s">
        <v>391</v>
      </c>
      <c r="I94" t="s">
        <v>480</v>
      </c>
      <c r="J94" t="s">
        <v>488</v>
      </c>
      <c r="K94" t="s">
        <v>487</v>
      </c>
      <c r="L94" t="s">
        <v>550</v>
      </c>
      <c r="M94" t="s">
        <v>527</v>
      </c>
      <c r="N94" t="s">
        <v>526</v>
      </c>
      <c r="O94" t="s">
        <v>568</v>
      </c>
      <c r="P94" t="s">
        <v>508</v>
      </c>
      <c r="Q94">
        <v>1</v>
      </c>
      <c r="R94" t="s">
        <v>480</v>
      </c>
    </row>
    <row r="95" spans="1:18" x14ac:dyDescent="0.3">
      <c r="A95" t="s">
        <v>559</v>
      </c>
      <c r="B95" t="s">
        <v>564</v>
      </c>
      <c r="C95" t="s">
        <v>478</v>
      </c>
      <c r="D95" t="s">
        <v>508</v>
      </c>
      <c r="E95" t="s">
        <v>487</v>
      </c>
      <c r="F95" t="s">
        <v>479</v>
      </c>
      <c r="G95" t="s">
        <v>394</v>
      </c>
      <c r="H95" t="s">
        <v>391</v>
      </c>
      <c r="I95" t="s">
        <v>480</v>
      </c>
      <c r="J95" t="s">
        <v>488</v>
      </c>
      <c r="K95" t="s">
        <v>487</v>
      </c>
      <c r="L95" t="s">
        <v>550</v>
      </c>
      <c r="M95" t="s">
        <v>527</v>
      </c>
      <c r="N95" t="s">
        <v>526</v>
      </c>
      <c r="O95" t="s">
        <v>570</v>
      </c>
      <c r="P95" t="s">
        <v>508</v>
      </c>
      <c r="Q95">
        <v>1</v>
      </c>
      <c r="R95" t="s">
        <v>480</v>
      </c>
    </row>
    <row r="96" spans="1:18" x14ac:dyDescent="0.3">
      <c r="A96" t="s">
        <v>559</v>
      </c>
      <c r="B96" t="s">
        <v>564</v>
      </c>
      <c r="C96" t="s">
        <v>478</v>
      </c>
      <c r="D96" t="s">
        <v>508</v>
      </c>
      <c r="E96" t="s">
        <v>487</v>
      </c>
      <c r="F96" t="s">
        <v>479</v>
      </c>
      <c r="G96" t="s">
        <v>394</v>
      </c>
      <c r="H96" t="s">
        <v>391</v>
      </c>
      <c r="I96" t="s">
        <v>480</v>
      </c>
      <c r="J96" t="s">
        <v>488</v>
      </c>
      <c r="K96" t="s">
        <v>487</v>
      </c>
      <c r="L96" t="s">
        <v>550</v>
      </c>
      <c r="M96" t="s">
        <v>529</v>
      </c>
      <c r="N96" t="s">
        <v>526</v>
      </c>
      <c r="O96" t="s">
        <v>574</v>
      </c>
      <c r="P96" t="s">
        <v>508</v>
      </c>
      <c r="Q96">
        <v>1</v>
      </c>
      <c r="R96" t="s">
        <v>480</v>
      </c>
    </row>
    <row r="97" spans="1:18" x14ac:dyDescent="0.3">
      <c r="A97" t="s">
        <v>559</v>
      </c>
      <c r="B97" t="s">
        <v>564</v>
      </c>
      <c r="C97" t="s">
        <v>478</v>
      </c>
      <c r="D97" t="s">
        <v>508</v>
      </c>
      <c r="E97" t="s">
        <v>487</v>
      </c>
      <c r="F97" t="s">
        <v>479</v>
      </c>
      <c r="G97" t="s">
        <v>394</v>
      </c>
      <c r="H97" t="s">
        <v>391</v>
      </c>
      <c r="I97" t="s">
        <v>480</v>
      </c>
      <c r="J97" t="s">
        <v>488</v>
      </c>
      <c r="K97" t="s">
        <v>487</v>
      </c>
      <c r="L97" t="s">
        <v>550</v>
      </c>
      <c r="M97" t="s">
        <v>527</v>
      </c>
      <c r="N97" t="s">
        <v>526</v>
      </c>
      <c r="O97" t="s">
        <v>575</v>
      </c>
      <c r="P97" t="s">
        <v>508</v>
      </c>
      <c r="Q97">
        <v>1</v>
      </c>
      <c r="R97" t="s">
        <v>480</v>
      </c>
    </row>
    <row r="98" spans="1:18" x14ac:dyDescent="0.3">
      <c r="A98" t="s">
        <v>559</v>
      </c>
      <c r="B98" t="s">
        <v>564</v>
      </c>
      <c r="C98" t="s">
        <v>478</v>
      </c>
      <c r="D98" t="s">
        <v>508</v>
      </c>
      <c r="E98" t="s">
        <v>487</v>
      </c>
      <c r="F98" t="s">
        <v>479</v>
      </c>
      <c r="G98" t="s">
        <v>394</v>
      </c>
      <c r="H98" t="s">
        <v>391</v>
      </c>
      <c r="I98" t="s">
        <v>480</v>
      </c>
      <c r="J98" t="s">
        <v>488</v>
      </c>
      <c r="K98" t="s">
        <v>487</v>
      </c>
      <c r="L98" t="s">
        <v>550</v>
      </c>
      <c r="M98" t="s">
        <v>527</v>
      </c>
      <c r="N98" t="s">
        <v>526</v>
      </c>
      <c r="O98" t="s">
        <v>578</v>
      </c>
      <c r="P98" t="s">
        <v>508</v>
      </c>
      <c r="Q98">
        <v>1</v>
      </c>
      <c r="R98" t="s">
        <v>480</v>
      </c>
    </row>
    <row r="99" spans="1:18" x14ac:dyDescent="0.3">
      <c r="A99" t="s">
        <v>559</v>
      </c>
      <c r="B99" t="s">
        <v>571</v>
      </c>
      <c r="C99" t="s">
        <v>478</v>
      </c>
      <c r="D99" t="s">
        <v>508</v>
      </c>
      <c r="E99" t="s">
        <v>487</v>
      </c>
      <c r="F99" t="s">
        <v>479</v>
      </c>
      <c r="G99" t="s">
        <v>394</v>
      </c>
      <c r="H99" t="s">
        <v>391</v>
      </c>
      <c r="I99" t="s">
        <v>480</v>
      </c>
      <c r="J99" t="s">
        <v>488</v>
      </c>
      <c r="K99" t="s">
        <v>487</v>
      </c>
      <c r="L99" t="s">
        <v>550</v>
      </c>
      <c r="M99" t="s">
        <v>527</v>
      </c>
      <c r="N99" t="s">
        <v>526</v>
      </c>
      <c r="O99" t="s">
        <v>579</v>
      </c>
      <c r="P99" t="s">
        <v>508</v>
      </c>
      <c r="Q99">
        <v>1</v>
      </c>
      <c r="R99" t="s">
        <v>480</v>
      </c>
    </row>
    <row r="100" spans="1:18" x14ac:dyDescent="0.3">
      <c r="A100" t="s">
        <v>559</v>
      </c>
      <c r="B100" t="s">
        <v>564</v>
      </c>
      <c r="C100" t="s">
        <v>478</v>
      </c>
      <c r="D100" t="s">
        <v>508</v>
      </c>
      <c r="E100" t="s">
        <v>487</v>
      </c>
      <c r="F100" t="s">
        <v>479</v>
      </c>
      <c r="G100" t="s">
        <v>394</v>
      </c>
      <c r="H100" t="s">
        <v>391</v>
      </c>
      <c r="I100" t="s">
        <v>480</v>
      </c>
      <c r="J100" t="s">
        <v>488</v>
      </c>
      <c r="K100" t="s">
        <v>487</v>
      </c>
      <c r="L100" t="s">
        <v>550</v>
      </c>
      <c r="M100" t="s">
        <v>529</v>
      </c>
      <c r="N100" t="s">
        <v>526</v>
      </c>
      <c r="O100" t="s">
        <v>581</v>
      </c>
      <c r="P100" t="s">
        <v>508</v>
      </c>
      <c r="Q100">
        <v>1</v>
      </c>
      <c r="R100" t="s">
        <v>480</v>
      </c>
    </row>
    <row r="101" spans="1:18" x14ac:dyDescent="0.3">
      <c r="A101" t="s">
        <v>559</v>
      </c>
      <c r="B101" t="s">
        <v>571</v>
      </c>
      <c r="C101" t="s">
        <v>478</v>
      </c>
      <c r="D101" t="s">
        <v>508</v>
      </c>
      <c r="E101" t="s">
        <v>487</v>
      </c>
      <c r="F101" t="s">
        <v>479</v>
      </c>
      <c r="G101" t="s">
        <v>394</v>
      </c>
      <c r="H101" t="s">
        <v>391</v>
      </c>
      <c r="I101" t="s">
        <v>480</v>
      </c>
      <c r="J101" t="s">
        <v>488</v>
      </c>
      <c r="K101" t="s">
        <v>487</v>
      </c>
      <c r="L101" t="s">
        <v>550</v>
      </c>
      <c r="M101" t="s">
        <v>527</v>
      </c>
      <c r="N101" t="s">
        <v>526</v>
      </c>
      <c r="O101" t="s">
        <v>583</v>
      </c>
      <c r="P101" t="s">
        <v>508</v>
      </c>
      <c r="Q101">
        <v>1</v>
      </c>
      <c r="R101" t="s">
        <v>480</v>
      </c>
    </row>
    <row r="102" spans="1:18" x14ac:dyDescent="0.3">
      <c r="A102" t="s">
        <v>559</v>
      </c>
      <c r="B102" t="s">
        <v>571</v>
      </c>
      <c r="C102" t="s">
        <v>478</v>
      </c>
      <c r="D102" t="s">
        <v>508</v>
      </c>
      <c r="E102" t="s">
        <v>487</v>
      </c>
      <c r="F102" t="s">
        <v>479</v>
      </c>
      <c r="G102" t="s">
        <v>394</v>
      </c>
      <c r="H102" t="s">
        <v>391</v>
      </c>
      <c r="I102" t="s">
        <v>480</v>
      </c>
      <c r="J102" t="s">
        <v>488</v>
      </c>
      <c r="K102" t="s">
        <v>487</v>
      </c>
      <c r="L102" t="s">
        <v>550</v>
      </c>
      <c r="M102" t="s">
        <v>529</v>
      </c>
      <c r="N102" t="s">
        <v>526</v>
      </c>
      <c r="O102" t="s">
        <v>584</v>
      </c>
      <c r="P102" t="s">
        <v>508</v>
      </c>
      <c r="Q102">
        <v>1</v>
      </c>
      <c r="R102" t="s">
        <v>480</v>
      </c>
    </row>
    <row r="103" spans="1:18" x14ac:dyDescent="0.3">
      <c r="A103" t="s">
        <v>559</v>
      </c>
      <c r="B103" t="s">
        <v>642</v>
      </c>
      <c r="C103" t="s">
        <v>396</v>
      </c>
      <c r="D103" t="s">
        <v>508</v>
      </c>
      <c r="E103" t="s">
        <v>487</v>
      </c>
      <c r="F103" t="s">
        <v>479</v>
      </c>
      <c r="G103" t="s">
        <v>390</v>
      </c>
      <c r="H103" t="s">
        <v>391</v>
      </c>
      <c r="I103" t="s">
        <v>480</v>
      </c>
      <c r="J103" t="s">
        <v>488</v>
      </c>
      <c r="K103" t="s">
        <v>487</v>
      </c>
      <c r="L103" t="s">
        <v>534</v>
      </c>
      <c r="M103" t="s">
        <v>530</v>
      </c>
      <c r="N103" t="s">
        <v>526</v>
      </c>
      <c r="O103" t="s">
        <v>643</v>
      </c>
      <c r="P103" t="s">
        <v>508</v>
      </c>
      <c r="Q103">
        <v>1</v>
      </c>
      <c r="R103" t="s">
        <v>480</v>
      </c>
    </row>
    <row r="104" spans="1:18" x14ac:dyDescent="0.3">
      <c r="A104" t="s">
        <v>559</v>
      </c>
      <c r="B104" t="s">
        <v>571</v>
      </c>
      <c r="C104" t="s">
        <v>478</v>
      </c>
      <c r="D104" t="s">
        <v>508</v>
      </c>
      <c r="E104" t="s">
        <v>487</v>
      </c>
      <c r="F104" t="s">
        <v>479</v>
      </c>
      <c r="G104" t="s">
        <v>394</v>
      </c>
      <c r="H104" t="s">
        <v>391</v>
      </c>
      <c r="I104" t="s">
        <v>480</v>
      </c>
      <c r="J104" t="s">
        <v>488</v>
      </c>
      <c r="K104" t="s">
        <v>487</v>
      </c>
      <c r="L104" t="s">
        <v>550</v>
      </c>
      <c r="M104" t="s">
        <v>529</v>
      </c>
      <c r="N104" t="s">
        <v>526</v>
      </c>
      <c r="O104" t="s">
        <v>585</v>
      </c>
      <c r="P104" t="s">
        <v>508</v>
      </c>
      <c r="Q104">
        <v>1</v>
      </c>
      <c r="R104" t="s">
        <v>480</v>
      </c>
    </row>
    <row r="105" spans="1:18" x14ac:dyDescent="0.3">
      <c r="A105" t="s">
        <v>559</v>
      </c>
      <c r="B105" t="s">
        <v>642</v>
      </c>
      <c r="C105" t="s">
        <v>396</v>
      </c>
      <c r="D105" t="s">
        <v>508</v>
      </c>
      <c r="E105" t="s">
        <v>487</v>
      </c>
      <c r="F105" t="s">
        <v>479</v>
      </c>
      <c r="G105" t="s">
        <v>390</v>
      </c>
      <c r="H105" t="s">
        <v>391</v>
      </c>
      <c r="I105" t="s">
        <v>480</v>
      </c>
      <c r="J105" t="s">
        <v>488</v>
      </c>
      <c r="K105" t="s">
        <v>487</v>
      </c>
      <c r="L105" t="s">
        <v>534</v>
      </c>
      <c r="M105" t="s">
        <v>530</v>
      </c>
      <c r="N105" t="s">
        <v>586</v>
      </c>
      <c r="O105" t="s">
        <v>644</v>
      </c>
      <c r="P105" t="s">
        <v>508</v>
      </c>
      <c r="Q105">
        <v>1</v>
      </c>
      <c r="R105" t="s">
        <v>480</v>
      </c>
    </row>
    <row r="106" spans="1:18" x14ac:dyDescent="0.3">
      <c r="A106" t="s">
        <v>559</v>
      </c>
      <c r="B106" t="s">
        <v>588</v>
      </c>
      <c r="C106" t="s">
        <v>478</v>
      </c>
      <c r="D106" t="s">
        <v>508</v>
      </c>
      <c r="E106" t="s">
        <v>487</v>
      </c>
      <c r="F106" t="s">
        <v>479</v>
      </c>
      <c r="G106" t="s">
        <v>394</v>
      </c>
      <c r="H106" t="s">
        <v>391</v>
      </c>
      <c r="I106" t="s">
        <v>480</v>
      </c>
      <c r="J106" t="s">
        <v>488</v>
      </c>
      <c r="K106" t="s">
        <v>487</v>
      </c>
      <c r="L106" t="s">
        <v>550</v>
      </c>
      <c r="M106" t="s">
        <v>527</v>
      </c>
      <c r="N106" t="s">
        <v>526</v>
      </c>
      <c r="O106" t="s">
        <v>591</v>
      </c>
      <c r="P106" t="s">
        <v>508</v>
      </c>
      <c r="Q106">
        <v>1</v>
      </c>
      <c r="R106" t="s">
        <v>480</v>
      </c>
    </row>
    <row r="107" spans="1:18" x14ac:dyDescent="0.3">
      <c r="A107" t="s">
        <v>559</v>
      </c>
      <c r="B107" t="s">
        <v>588</v>
      </c>
      <c r="C107" t="s">
        <v>478</v>
      </c>
      <c r="D107" t="s">
        <v>508</v>
      </c>
      <c r="E107" t="s">
        <v>487</v>
      </c>
      <c r="F107" t="s">
        <v>479</v>
      </c>
      <c r="G107" t="s">
        <v>394</v>
      </c>
      <c r="H107" t="s">
        <v>391</v>
      </c>
      <c r="I107" t="s">
        <v>480</v>
      </c>
      <c r="J107" t="s">
        <v>488</v>
      </c>
      <c r="K107" t="s">
        <v>487</v>
      </c>
      <c r="L107" t="s">
        <v>550</v>
      </c>
      <c r="M107" t="s">
        <v>529</v>
      </c>
      <c r="N107" t="s">
        <v>586</v>
      </c>
      <c r="O107" t="s">
        <v>593</v>
      </c>
      <c r="P107" t="s">
        <v>508</v>
      </c>
      <c r="Q107">
        <v>1</v>
      </c>
      <c r="R107" t="s">
        <v>480</v>
      </c>
    </row>
    <row r="108" spans="1:18" x14ac:dyDescent="0.3">
      <c r="A108" t="s">
        <v>559</v>
      </c>
      <c r="B108" t="s">
        <v>588</v>
      </c>
      <c r="C108" t="s">
        <v>478</v>
      </c>
      <c r="D108" t="s">
        <v>508</v>
      </c>
      <c r="E108" t="s">
        <v>487</v>
      </c>
      <c r="F108" t="s">
        <v>479</v>
      </c>
      <c r="G108" t="s">
        <v>394</v>
      </c>
      <c r="H108" t="s">
        <v>391</v>
      </c>
      <c r="I108" t="s">
        <v>480</v>
      </c>
      <c r="J108" t="s">
        <v>488</v>
      </c>
      <c r="K108" t="s">
        <v>487</v>
      </c>
      <c r="L108" t="s">
        <v>550</v>
      </c>
      <c r="M108" t="s">
        <v>529</v>
      </c>
      <c r="N108" t="s">
        <v>586</v>
      </c>
      <c r="O108" t="s">
        <v>594</v>
      </c>
      <c r="P108" t="s">
        <v>508</v>
      </c>
      <c r="Q108">
        <v>1</v>
      </c>
      <c r="R108" t="s">
        <v>480</v>
      </c>
    </row>
    <row r="109" spans="1:18" x14ac:dyDescent="0.3">
      <c r="A109" t="s">
        <v>559</v>
      </c>
      <c r="B109" t="s">
        <v>645</v>
      </c>
      <c r="C109" t="s">
        <v>396</v>
      </c>
      <c r="D109" t="s">
        <v>508</v>
      </c>
      <c r="E109" t="s">
        <v>487</v>
      </c>
      <c r="F109" t="s">
        <v>479</v>
      </c>
      <c r="G109" t="s">
        <v>390</v>
      </c>
      <c r="H109" t="s">
        <v>391</v>
      </c>
      <c r="I109" t="s">
        <v>480</v>
      </c>
      <c r="J109" t="s">
        <v>488</v>
      </c>
      <c r="K109" t="s">
        <v>487</v>
      </c>
      <c r="L109" t="s">
        <v>534</v>
      </c>
      <c r="M109" t="s">
        <v>530</v>
      </c>
      <c r="N109" t="s">
        <v>586</v>
      </c>
      <c r="O109" t="s">
        <v>646</v>
      </c>
      <c r="P109" t="s">
        <v>508</v>
      </c>
      <c r="Q109">
        <v>1</v>
      </c>
      <c r="R109" t="s">
        <v>480</v>
      </c>
    </row>
    <row r="110" spans="1:18" x14ac:dyDescent="0.3">
      <c r="A110" t="s">
        <v>559</v>
      </c>
      <c r="B110" t="s">
        <v>588</v>
      </c>
      <c r="C110" t="s">
        <v>478</v>
      </c>
      <c r="D110" t="s">
        <v>508</v>
      </c>
      <c r="E110" t="s">
        <v>487</v>
      </c>
      <c r="F110" t="s">
        <v>479</v>
      </c>
      <c r="G110" t="s">
        <v>394</v>
      </c>
      <c r="H110" t="s">
        <v>391</v>
      </c>
      <c r="I110" t="s">
        <v>480</v>
      </c>
      <c r="J110" t="s">
        <v>488</v>
      </c>
      <c r="K110" t="s">
        <v>487</v>
      </c>
      <c r="L110" t="s">
        <v>550</v>
      </c>
      <c r="M110" t="s">
        <v>527</v>
      </c>
      <c r="N110" t="s">
        <v>586</v>
      </c>
      <c r="O110" t="s">
        <v>595</v>
      </c>
      <c r="P110" t="s">
        <v>508</v>
      </c>
      <c r="Q110">
        <v>1</v>
      </c>
      <c r="R110" t="s">
        <v>480</v>
      </c>
    </row>
    <row r="111" spans="1:18" x14ac:dyDescent="0.3">
      <c r="A111" t="s">
        <v>559</v>
      </c>
      <c r="B111" t="s">
        <v>588</v>
      </c>
      <c r="C111" t="s">
        <v>478</v>
      </c>
      <c r="D111" t="s">
        <v>508</v>
      </c>
      <c r="E111" t="s">
        <v>487</v>
      </c>
      <c r="F111" t="s">
        <v>479</v>
      </c>
      <c r="G111" t="s">
        <v>394</v>
      </c>
      <c r="H111" t="s">
        <v>391</v>
      </c>
      <c r="I111" t="s">
        <v>480</v>
      </c>
      <c r="J111" t="s">
        <v>488</v>
      </c>
      <c r="K111" t="s">
        <v>487</v>
      </c>
      <c r="L111" t="s">
        <v>550</v>
      </c>
      <c r="M111" t="s">
        <v>529</v>
      </c>
      <c r="N111" t="s">
        <v>586</v>
      </c>
      <c r="O111" t="s">
        <v>597</v>
      </c>
      <c r="P111" t="s">
        <v>508</v>
      </c>
      <c r="Q111">
        <v>1</v>
      </c>
      <c r="R111" t="s">
        <v>480</v>
      </c>
    </row>
    <row r="112" spans="1:18" x14ac:dyDescent="0.3">
      <c r="A112" t="s">
        <v>559</v>
      </c>
      <c r="B112" t="s">
        <v>645</v>
      </c>
      <c r="C112" t="s">
        <v>396</v>
      </c>
      <c r="D112" t="s">
        <v>508</v>
      </c>
      <c r="E112" t="s">
        <v>487</v>
      </c>
      <c r="F112" t="s">
        <v>479</v>
      </c>
      <c r="G112" t="s">
        <v>390</v>
      </c>
      <c r="H112" t="s">
        <v>391</v>
      </c>
      <c r="I112" t="s">
        <v>480</v>
      </c>
      <c r="J112" t="s">
        <v>488</v>
      </c>
      <c r="K112" t="s">
        <v>487</v>
      </c>
      <c r="L112" t="s">
        <v>534</v>
      </c>
      <c r="M112" t="s">
        <v>530</v>
      </c>
      <c r="N112" t="s">
        <v>586</v>
      </c>
      <c r="O112" t="s">
        <v>647</v>
      </c>
      <c r="P112" t="s">
        <v>508</v>
      </c>
      <c r="Q112">
        <v>1</v>
      </c>
      <c r="R112" t="s">
        <v>480</v>
      </c>
    </row>
    <row r="113" spans="1:18" x14ac:dyDescent="0.3">
      <c r="A113" t="s">
        <v>559</v>
      </c>
      <c r="B113" t="s">
        <v>645</v>
      </c>
      <c r="C113" t="s">
        <v>396</v>
      </c>
      <c r="D113" t="s">
        <v>508</v>
      </c>
      <c r="E113" t="s">
        <v>487</v>
      </c>
      <c r="F113" t="s">
        <v>479</v>
      </c>
      <c r="G113" t="s">
        <v>390</v>
      </c>
      <c r="H113" t="s">
        <v>391</v>
      </c>
      <c r="I113" t="s">
        <v>480</v>
      </c>
      <c r="J113" t="s">
        <v>488</v>
      </c>
      <c r="K113" t="s">
        <v>487</v>
      </c>
      <c r="L113" t="s">
        <v>534</v>
      </c>
      <c r="M113" t="s">
        <v>530</v>
      </c>
      <c r="N113" t="s">
        <v>586</v>
      </c>
      <c r="O113" t="s">
        <v>648</v>
      </c>
      <c r="P113" t="s">
        <v>508</v>
      </c>
      <c r="Q113">
        <v>1</v>
      </c>
      <c r="R113" t="s">
        <v>480</v>
      </c>
    </row>
    <row r="114" spans="1:18" x14ac:dyDescent="0.3">
      <c r="A114" t="s">
        <v>559</v>
      </c>
      <c r="B114" t="s">
        <v>645</v>
      </c>
      <c r="C114" t="s">
        <v>396</v>
      </c>
      <c r="D114" t="s">
        <v>508</v>
      </c>
      <c r="E114" t="s">
        <v>487</v>
      </c>
      <c r="F114" t="s">
        <v>479</v>
      </c>
      <c r="G114" t="s">
        <v>390</v>
      </c>
      <c r="H114" t="s">
        <v>391</v>
      </c>
      <c r="I114" t="s">
        <v>480</v>
      </c>
      <c r="J114" t="s">
        <v>488</v>
      </c>
      <c r="K114" t="s">
        <v>487</v>
      </c>
      <c r="L114" t="s">
        <v>534</v>
      </c>
      <c r="M114" t="s">
        <v>530</v>
      </c>
      <c r="N114" t="s">
        <v>586</v>
      </c>
      <c r="O114" t="s">
        <v>649</v>
      </c>
      <c r="P114" t="s">
        <v>508</v>
      </c>
      <c r="Q114">
        <v>1</v>
      </c>
      <c r="R114" t="s">
        <v>480</v>
      </c>
    </row>
    <row r="115" spans="1:18" x14ac:dyDescent="0.3">
      <c r="A115" t="s">
        <v>559</v>
      </c>
      <c r="B115" t="s">
        <v>588</v>
      </c>
      <c r="C115" t="s">
        <v>478</v>
      </c>
      <c r="D115" t="s">
        <v>508</v>
      </c>
      <c r="E115" t="s">
        <v>487</v>
      </c>
      <c r="F115" t="s">
        <v>479</v>
      </c>
      <c r="G115" t="s">
        <v>394</v>
      </c>
      <c r="H115" t="s">
        <v>391</v>
      </c>
      <c r="I115" t="s">
        <v>480</v>
      </c>
      <c r="J115" t="s">
        <v>488</v>
      </c>
      <c r="K115" t="s">
        <v>487</v>
      </c>
      <c r="L115" t="s">
        <v>550</v>
      </c>
      <c r="M115" t="s">
        <v>529</v>
      </c>
      <c r="N115" t="s">
        <v>586</v>
      </c>
      <c r="O115" t="s">
        <v>600</v>
      </c>
      <c r="P115" t="s">
        <v>508</v>
      </c>
      <c r="Q115">
        <v>1</v>
      </c>
      <c r="R115" t="s">
        <v>480</v>
      </c>
    </row>
    <row r="116" spans="1:18" x14ac:dyDescent="0.3">
      <c r="A116" t="s">
        <v>559</v>
      </c>
      <c r="B116" t="s">
        <v>601</v>
      </c>
      <c r="C116" t="s">
        <v>478</v>
      </c>
      <c r="D116" t="s">
        <v>508</v>
      </c>
      <c r="E116" t="s">
        <v>487</v>
      </c>
      <c r="F116" t="s">
        <v>479</v>
      </c>
      <c r="G116" t="s">
        <v>394</v>
      </c>
      <c r="H116" t="s">
        <v>391</v>
      </c>
      <c r="I116" t="s">
        <v>480</v>
      </c>
      <c r="J116" t="s">
        <v>488</v>
      </c>
      <c r="K116" t="s">
        <v>487</v>
      </c>
      <c r="L116" t="s">
        <v>550</v>
      </c>
      <c r="M116" t="s">
        <v>529</v>
      </c>
      <c r="N116" t="s">
        <v>586</v>
      </c>
      <c r="O116" t="s">
        <v>602</v>
      </c>
      <c r="P116" t="s">
        <v>508</v>
      </c>
      <c r="Q116">
        <v>1</v>
      </c>
      <c r="R116" t="s">
        <v>480</v>
      </c>
    </row>
    <row r="117" spans="1:18" x14ac:dyDescent="0.3">
      <c r="A117" t="s">
        <v>559</v>
      </c>
      <c r="B117" t="s">
        <v>603</v>
      </c>
      <c r="C117" t="s">
        <v>478</v>
      </c>
      <c r="D117" t="s">
        <v>508</v>
      </c>
      <c r="E117" t="s">
        <v>487</v>
      </c>
      <c r="F117" t="s">
        <v>479</v>
      </c>
      <c r="G117" t="s">
        <v>394</v>
      </c>
      <c r="H117" t="s">
        <v>391</v>
      </c>
      <c r="I117" t="s">
        <v>480</v>
      </c>
      <c r="J117" t="s">
        <v>488</v>
      </c>
      <c r="K117" t="s">
        <v>487</v>
      </c>
      <c r="L117" t="s">
        <v>550</v>
      </c>
      <c r="M117" t="s">
        <v>527</v>
      </c>
      <c r="N117" t="s">
        <v>586</v>
      </c>
      <c r="O117" t="s">
        <v>604</v>
      </c>
      <c r="P117" t="s">
        <v>508</v>
      </c>
      <c r="Q117">
        <v>1</v>
      </c>
      <c r="R117" t="s">
        <v>480</v>
      </c>
    </row>
    <row r="118" spans="1:18" x14ac:dyDescent="0.3">
      <c r="A118" t="s">
        <v>559</v>
      </c>
      <c r="B118" t="s">
        <v>603</v>
      </c>
      <c r="C118" t="s">
        <v>478</v>
      </c>
      <c r="D118" t="s">
        <v>508</v>
      </c>
      <c r="E118" t="s">
        <v>487</v>
      </c>
      <c r="F118" t="s">
        <v>479</v>
      </c>
      <c r="G118" t="s">
        <v>394</v>
      </c>
      <c r="H118" t="s">
        <v>391</v>
      </c>
      <c r="I118" t="s">
        <v>480</v>
      </c>
      <c r="J118" t="s">
        <v>488</v>
      </c>
      <c r="K118" t="s">
        <v>487</v>
      </c>
      <c r="L118" t="s">
        <v>550</v>
      </c>
      <c r="M118" t="s">
        <v>527</v>
      </c>
      <c r="N118" t="s">
        <v>586</v>
      </c>
      <c r="O118" t="s">
        <v>605</v>
      </c>
      <c r="P118" t="s">
        <v>508</v>
      </c>
      <c r="Q118">
        <v>1</v>
      </c>
      <c r="R118" t="s">
        <v>480</v>
      </c>
    </row>
    <row r="119" spans="1:18" x14ac:dyDescent="0.3">
      <c r="A119" t="s">
        <v>559</v>
      </c>
      <c r="B119" t="s">
        <v>650</v>
      </c>
      <c r="C119" t="s">
        <v>396</v>
      </c>
      <c r="D119" t="s">
        <v>508</v>
      </c>
      <c r="E119" t="s">
        <v>487</v>
      </c>
      <c r="F119" t="s">
        <v>479</v>
      </c>
      <c r="G119" t="s">
        <v>390</v>
      </c>
      <c r="H119" t="s">
        <v>391</v>
      </c>
      <c r="I119" t="s">
        <v>480</v>
      </c>
      <c r="J119" t="s">
        <v>488</v>
      </c>
      <c r="K119" t="s">
        <v>487</v>
      </c>
      <c r="L119" t="s">
        <v>534</v>
      </c>
      <c r="M119" t="s">
        <v>530</v>
      </c>
      <c r="N119" t="s">
        <v>586</v>
      </c>
      <c r="O119" t="s">
        <v>651</v>
      </c>
      <c r="P119" t="s">
        <v>508</v>
      </c>
      <c r="Q119">
        <v>1</v>
      </c>
      <c r="R119" t="s">
        <v>480</v>
      </c>
    </row>
    <row r="120" spans="1:18" x14ac:dyDescent="0.3">
      <c r="A120" t="s">
        <v>559</v>
      </c>
      <c r="B120" t="s">
        <v>603</v>
      </c>
      <c r="C120" t="s">
        <v>478</v>
      </c>
      <c r="D120" t="s">
        <v>508</v>
      </c>
      <c r="E120" t="s">
        <v>487</v>
      </c>
      <c r="F120" t="s">
        <v>479</v>
      </c>
      <c r="G120" t="s">
        <v>394</v>
      </c>
      <c r="H120" t="s">
        <v>391</v>
      </c>
      <c r="I120" t="s">
        <v>480</v>
      </c>
      <c r="J120" t="s">
        <v>488</v>
      </c>
      <c r="K120" t="s">
        <v>487</v>
      </c>
      <c r="L120" t="s">
        <v>550</v>
      </c>
      <c r="M120" t="s">
        <v>529</v>
      </c>
      <c r="N120" t="s">
        <v>586</v>
      </c>
      <c r="O120" t="s">
        <v>611</v>
      </c>
      <c r="P120" t="s">
        <v>508</v>
      </c>
      <c r="Q120">
        <v>1</v>
      </c>
      <c r="R120" t="s">
        <v>480</v>
      </c>
    </row>
    <row r="121" spans="1:18" x14ac:dyDescent="0.3">
      <c r="A121" t="s">
        <v>559</v>
      </c>
      <c r="B121" t="s">
        <v>603</v>
      </c>
      <c r="C121" t="s">
        <v>478</v>
      </c>
      <c r="D121" t="s">
        <v>508</v>
      </c>
      <c r="E121" t="s">
        <v>487</v>
      </c>
      <c r="F121" t="s">
        <v>479</v>
      </c>
      <c r="G121" t="s">
        <v>394</v>
      </c>
      <c r="H121" t="s">
        <v>391</v>
      </c>
      <c r="I121" t="s">
        <v>480</v>
      </c>
      <c r="J121" t="s">
        <v>488</v>
      </c>
      <c r="K121" t="s">
        <v>487</v>
      </c>
      <c r="L121" t="s">
        <v>550</v>
      </c>
      <c r="M121" t="s">
        <v>527</v>
      </c>
      <c r="N121" t="s">
        <v>586</v>
      </c>
      <c r="O121" t="s">
        <v>613</v>
      </c>
      <c r="P121" t="s">
        <v>508</v>
      </c>
      <c r="Q121">
        <v>1</v>
      </c>
      <c r="R121" t="s">
        <v>480</v>
      </c>
    </row>
    <row r="122" spans="1:18" x14ac:dyDescent="0.3">
      <c r="A122" t="s">
        <v>559</v>
      </c>
      <c r="B122" t="s">
        <v>614</v>
      </c>
      <c r="C122" t="s">
        <v>478</v>
      </c>
      <c r="D122" t="s">
        <v>508</v>
      </c>
      <c r="E122" t="s">
        <v>487</v>
      </c>
      <c r="F122" t="s">
        <v>479</v>
      </c>
      <c r="G122" t="s">
        <v>394</v>
      </c>
      <c r="H122" t="s">
        <v>391</v>
      </c>
      <c r="I122" t="s">
        <v>480</v>
      </c>
      <c r="J122" t="s">
        <v>488</v>
      </c>
      <c r="K122" t="s">
        <v>487</v>
      </c>
      <c r="L122" t="s">
        <v>550</v>
      </c>
      <c r="M122" t="s">
        <v>529</v>
      </c>
      <c r="N122" t="s">
        <v>586</v>
      </c>
      <c r="O122" t="s">
        <v>615</v>
      </c>
      <c r="P122" t="s">
        <v>508</v>
      </c>
      <c r="Q122">
        <v>1</v>
      </c>
      <c r="R122" t="s">
        <v>480</v>
      </c>
    </row>
    <row r="123" spans="1:18" x14ac:dyDescent="0.3">
      <c r="A123" t="s">
        <v>559</v>
      </c>
      <c r="B123" t="s">
        <v>614</v>
      </c>
      <c r="C123" t="s">
        <v>478</v>
      </c>
      <c r="D123" t="s">
        <v>508</v>
      </c>
      <c r="E123" t="s">
        <v>487</v>
      </c>
      <c r="F123" t="s">
        <v>479</v>
      </c>
      <c r="G123" t="s">
        <v>394</v>
      </c>
      <c r="H123" t="s">
        <v>391</v>
      </c>
      <c r="I123" t="s">
        <v>480</v>
      </c>
      <c r="J123" t="s">
        <v>488</v>
      </c>
      <c r="K123" t="s">
        <v>487</v>
      </c>
      <c r="L123" t="s">
        <v>550</v>
      </c>
      <c r="M123" t="s">
        <v>527</v>
      </c>
      <c r="N123" t="s">
        <v>586</v>
      </c>
      <c r="O123" t="s">
        <v>617</v>
      </c>
      <c r="P123" t="s">
        <v>508</v>
      </c>
      <c r="Q123">
        <v>1</v>
      </c>
      <c r="R123" t="s">
        <v>480</v>
      </c>
    </row>
    <row r="124" spans="1:18" x14ac:dyDescent="0.3">
      <c r="A124" t="s">
        <v>559</v>
      </c>
      <c r="B124" t="s">
        <v>650</v>
      </c>
      <c r="C124" t="s">
        <v>396</v>
      </c>
      <c r="D124" t="s">
        <v>508</v>
      </c>
      <c r="E124" t="s">
        <v>487</v>
      </c>
      <c r="F124" t="s">
        <v>479</v>
      </c>
      <c r="G124" t="s">
        <v>390</v>
      </c>
      <c r="H124" t="s">
        <v>391</v>
      </c>
      <c r="I124" t="s">
        <v>480</v>
      </c>
      <c r="J124" t="s">
        <v>488</v>
      </c>
      <c r="K124" t="s">
        <v>487</v>
      </c>
      <c r="L124" t="s">
        <v>534</v>
      </c>
      <c r="M124" t="s">
        <v>530</v>
      </c>
      <c r="N124" t="s">
        <v>586</v>
      </c>
      <c r="O124" t="s">
        <v>652</v>
      </c>
      <c r="P124" t="s">
        <v>508</v>
      </c>
      <c r="Q124">
        <v>1</v>
      </c>
      <c r="R124" t="s">
        <v>480</v>
      </c>
    </row>
    <row r="125" spans="1:18" x14ac:dyDescent="0.3">
      <c r="A125" t="s">
        <v>559</v>
      </c>
      <c r="B125" t="s">
        <v>614</v>
      </c>
      <c r="C125" t="s">
        <v>478</v>
      </c>
      <c r="D125" t="s">
        <v>508</v>
      </c>
      <c r="E125" t="s">
        <v>487</v>
      </c>
      <c r="F125" t="s">
        <v>479</v>
      </c>
      <c r="G125" t="s">
        <v>394</v>
      </c>
      <c r="H125" t="s">
        <v>391</v>
      </c>
      <c r="I125" t="s">
        <v>480</v>
      </c>
      <c r="J125" t="s">
        <v>488</v>
      </c>
      <c r="K125" t="s">
        <v>487</v>
      </c>
      <c r="L125" t="s">
        <v>550</v>
      </c>
      <c r="M125" t="s">
        <v>529</v>
      </c>
      <c r="N125" t="s">
        <v>586</v>
      </c>
      <c r="O125" t="s">
        <v>619</v>
      </c>
      <c r="P125" t="s">
        <v>508</v>
      </c>
      <c r="Q125">
        <v>1</v>
      </c>
      <c r="R125" t="s">
        <v>480</v>
      </c>
    </row>
    <row r="126" spans="1:18" x14ac:dyDescent="0.3">
      <c r="A126" t="s">
        <v>559</v>
      </c>
      <c r="B126" t="s">
        <v>650</v>
      </c>
      <c r="C126" t="s">
        <v>396</v>
      </c>
      <c r="D126" t="s">
        <v>508</v>
      </c>
      <c r="E126" t="s">
        <v>487</v>
      </c>
      <c r="F126" t="s">
        <v>479</v>
      </c>
      <c r="G126" t="s">
        <v>390</v>
      </c>
      <c r="H126" t="s">
        <v>391</v>
      </c>
      <c r="I126" t="s">
        <v>480</v>
      </c>
      <c r="J126" t="s">
        <v>488</v>
      </c>
      <c r="K126" t="s">
        <v>487</v>
      </c>
      <c r="L126" t="s">
        <v>534</v>
      </c>
      <c r="M126" t="s">
        <v>530</v>
      </c>
      <c r="N126" t="s">
        <v>586</v>
      </c>
      <c r="O126" t="s">
        <v>653</v>
      </c>
      <c r="P126" t="s">
        <v>508</v>
      </c>
      <c r="Q126">
        <v>1</v>
      </c>
      <c r="R126" t="s">
        <v>480</v>
      </c>
    </row>
    <row r="127" spans="1:18" x14ac:dyDescent="0.3">
      <c r="A127" t="s">
        <v>559</v>
      </c>
      <c r="B127" t="s">
        <v>614</v>
      </c>
      <c r="C127" t="s">
        <v>478</v>
      </c>
      <c r="D127" t="s">
        <v>508</v>
      </c>
      <c r="E127" t="s">
        <v>487</v>
      </c>
      <c r="F127" t="s">
        <v>479</v>
      </c>
      <c r="G127" t="s">
        <v>394</v>
      </c>
      <c r="H127" t="s">
        <v>391</v>
      </c>
      <c r="I127" t="s">
        <v>480</v>
      </c>
      <c r="J127" t="s">
        <v>488</v>
      </c>
      <c r="K127" t="s">
        <v>487</v>
      </c>
      <c r="L127" t="s">
        <v>550</v>
      </c>
      <c r="M127" t="s">
        <v>527</v>
      </c>
      <c r="N127" t="s">
        <v>586</v>
      </c>
      <c r="O127" t="s">
        <v>621</v>
      </c>
      <c r="P127" t="s">
        <v>508</v>
      </c>
      <c r="Q127">
        <v>1</v>
      </c>
      <c r="R127" t="s">
        <v>480</v>
      </c>
    </row>
    <row r="128" spans="1:18" x14ac:dyDescent="0.3">
      <c r="A128" t="s">
        <v>622</v>
      </c>
      <c r="B128" t="s">
        <v>614</v>
      </c>
      <c r="C128" t="s">
        <v>478</v>
      </c>
      <c r="D128" t="s">
        <v>508</v>
      </c>
      <c r="E128" t="s">
        <v>487</v>
      </c>
      <c r="F128" t="s">
        <v>479</v>
      </c>
      <c r="G128" t="s">
        <v>394</v>
      </c>
      <c r="H128" t="s">
        <v>391</v>
      </c>
      <c r="I128" t="s">
        <v>480</v>
      </c>
      <c r="J128" t="s">
        <v>488</v>
      </c>
      <c r="K128" t="s">
        <v>487</v>
      </c>
      <c r="L128" t="s">
        <v>550</v>
      </c>
      <c r="M128" t="s">
        <v>529</v>
      </c>
      <c r="N128" t="s">
        <v>586</v>
      </c>
      <c r="O128" t="s">
        <v>624</v>
      </c>
      <c r="P128" t="s">
        <v>508</v>
      </c>
      <c r="Q128">
        <v>1</v>
      </c>
      <c r="R128" t="s">
        <v>480</v>
      </c>
    </row>
    <row r="129" spans="1:18" x14ac:dyDescent="0.3">
      <c r="A129" t="s">
        <v>559</v>
      </c>
      <c r="B129" t="s">
        <v>650</v>
      </c>
      <c r="C129" t="s">
        <v>396</v>
      </c>
      <c r="D129" t="s">
        <v>508</v>
      </c>
      <c r="E129" t="s">
        <v>487</v>
      </c>
      <c r="F129" t="s">
        <v>479</v>
      </c>
      <c r="G129" t="s">
        <v>390</v>
      </c>
      <c r="H129" t="s">
        <v>391</v>
      </c>
      <c r="I129" t="s">
        <v>480</v>
      </c>
      <c r="J129" t="s">
        <v>488</v>
      </c>
      <c r="K129" t="s">
        <v>487</v>
      </c>
      <c r="L129" t="s">
        <v>534</v>
      </c>
      <c r="M129" t="s">
        <v>530</v>
      </c>
      <c r="N129" t="s">
        <v>586</v>
      </c>
      <c r="O129" t="s">
        <v>654</v>
      </c>
      <c r="P129" t="s">
        <v>508</v>
      </c>
      <c r="Q129">
        <v>1</v>
      </c>
      <c r="R129" t="s">
        <v>480</v>
      </c>
    </row>
    <row r="130" spans="1:18" x14ac:dyDescent="0.3">
      <c r="A130" t="s">
        <v>559</v>
      </c>
      <c r="B130" t="s">
        <v>815</v>
      </c>
      <c r="C130" t="s">
        <v>478</v>
      </c>
      <c r="D130" t="s">
        <v>508</v>
      </c>
      <c r="E130" t="s">
        <v>487</v>
      </c>
      <c r="F130" t="s">
        <v>479</v>
      </c>
      <c r="G130" t="s">
        <v>394</v>
      </c>
      <c r="H130" t="s">
        <v>391</v>
      </c>
      <c r="I130" t="s">
        <v>480</v>
      </c>
      <c r="J130" t="s">
        <v>488</v>
      </c>
      <c r="K130" t="s">
        <v>487</v>
      </c>
      <c r="L130" t="s">
        <v>550</v>
      </c>
      <c r="M130" t="s">
        <v>527</v>
      </c>
      <c r="N130" t="s">
        <v>586</v>
      </c>
      <c r="O130" t="s">
        <v>625</v>
      </c>
      <c r="P130" t="s">
        <v>508</v>
      </c>
      <c r="Q130">
        <v>1</v>
      </c>
      <c r="R130" t="s">
        <v>480</v>
      </c>
    </row>
    <row r="131" spans="1:18" x14ac:dyDescent="0.3">
      <c r="A131" t="s">
        <v>622</v>
      </c>
      <c r="B131" t="s">
        <v>815</v>
      </c>
      <c r="C131" t="s">
        <v>478</v>
      </c>
      <c r="D131" t="s">
        <v>508</v>
      </c>
      <c r="E131" t="s">
        <v>487</v>
      </c>
      <c r="F131" t="s">
        <v>479</v>
      </c>
      <c r="G131" t="s">
        <v>394</v>
      </c>
      <c r="H131" t="s">
        <v>391</v>
      </c>
      <c r="I131" t="s">
        <v>480</v>
      </c>
      <c r="J131" t="s">
        <v>488</v>
      </c>
      <c r="K131" t="s">
        <v>487</v>
      </c>
      <c r="L131" t="s">
        <v>550</v>
      </c>
      <c r="M131" t="s">
        <v>529</v>
      </c>
      <c r="N131" t="s">
        <v>586</v>
      </c>
      <c r="O131" t="s">
        <v>626</v>
      </c>
      <c r="P131" t="s">
        <v>508</v>
      </c>
      <c r="Q131">
        <v>1</v>
      </c>
      <c r="R131" t="s">
        <v>480</v>
      </c>
    </row>
    <row r="132" spans="1:18" x14ac:dyDescent="0.3">
      <c r="A132" t="s">
        <v>559</v>
      </c>
      <c r="B132" t="s">
        <v>814</v>
      </c>
      <c r="C132" t="s">
        <v>396</v>
      </c>
      <c r="D132" t="s">
        <v>508</v>
      </c>
      <c r="E132" t="s">
        <v>487</v>
      </c>
      <c r="F132" t="s">
        <v>479</v>
      </c>
      <c r="G132" t="s">
        <v>390</v>
      </c>
      <c r="H132" t="s">
        <v>391</v>
      </c>
      <c r="I132" t="s">
        <v>480</v>
      </c>
      <c r="J132" t="s">
        <v>488</v>
      </c>
      <c r="K132" t="s">
        <v>487</v>
      </c>
      <c r="L132" t="s">
        <v>534</v>
      </c>
      <c r="M132" t="s">
        <v>530</v>
      </c>
      <c r="N132" t="s">
        <v>586</v>
      </c>
      <c r="O132" t="s">
        <v>655</v>
      </c>
      <c r="P132" t="s">
        <v>508</v>
      </c>
      <c r="Q132">
        <v>1</v>
      </c>
      <c r="R132" t="s">
        <v>480</v>
      </c>
    </row>
    <row r="133" spans="1:18" x14ac:dyDescent="0.3">
      <c r="A133" t="s">
        <v>622</v>
      </c>
      <c r="B133" t="s">
        <v>814</v>
      </c>
      <c r="C133" t="s">
        <v>396</v>
      </c>
      <c r="D133" t="s">
        <v>508</v>
      </c>
      <c r="E133" t="s">
        <v>487</v>
      </c>
      <c r="F133" t="s">
        <v>479</v>
      </c>
      <c r="G133" t="s">
        <v>390</v>
      </c>
      <c r="H133" t="s">
        <v>391</v>
      </c>
      <c r="I133" t="s">
        <v>480</v>
      </c>
      <c r="J133" t="s">
        <v>488</v>
      </c>
      <c r="K133" t="s">
        <v>487</v>
      </c>
      <c r="L133" t="s">
        <v>534</v>
      </c>
      <c r="M133" t="s">
        <v>530</v>
      </c>
      <c r="N133" t="s">
        <v>586</v>
      </c>
      <c r="O133" t="s">
        <v>656</v>
      </c>
      <c r="P133" t="s">
        <v>508</v>
      </c>
      <c r="Q133">
        <v>1</v>
      </c>
      <c r="R133" t="s">
        <v>480</v>
      </c>
    </row>
    <row r="134" spans="1:18" x14ac:dyDescent="0.3">
      <c r="A134" t="s">
        <v>622</v>
      </c>
      <c r="B134" t="s">
        <v>814</v>
      </c>
      <c r="C134" t="s">
        <v>396</v>
      </c>
      <c r="D134" t="s">
        <v>508</v>
      </c>
      <c r="E134" t="s">
        <v>487</v>
      </c>
      <c r="F134" t="s">
        <v>479</v>
      </c>
      <c r="G134" t="s">
        <v>390</v>
      </c>
      <c r="H134" t="s">
        <v>391</v>
      </c>
      <c r="I134" t="s">
        <v>480</v>
      </c>
      <c r="J134" t="s">
        <v>488</v>
      </c>
      <c r="K134" t="s">
        <v>487</v>
      </c>
      <c r="L134" t="s">
        <v>534</v>
      </c>
      <c r="M134" t="s">
        <v>530</v>
      </c>
      <c r="N134" t="s">
        <v>586</v>
      </c>
      <c r="O134" t="s">
        <v>657</v>
      </c>
      <c r="P134" t="s">
        <v>508</v>
      </c>
      <c r="Q134">
        <v>1</v>
      </c>
      <c r="R134" t="s">
        <v>480</v>
      </c>
    </row>
    <row r="135" spans="1:18" x14ac:dyDescent="0.3">
      <c r="A135" t="s">
        <v>622</v>
      </c>
      <c r="B135" t="s">
        <v>815</v>
      </c>
      <c r="C135" t="s">
        <v>478</v>
      </c>
      <c r="D135" t="s">
        <v>508</v>
      </c>
      <c r="E135" t="s">
        <v>487</v>
      </c>
      <c r="F135" t="s">
        <v>479</v>
      </c>
      <c r="G135" t="s">
        <v>394</v>
      </c>
      <c r="H135" t="s">
        <v>391</v>
      </c>
      <c r="I135" t="s">
        <v>480</v>
      </c>
      <c r="J135" t="s">
        <v>488</v>
      </c>
      <c r="K135" t="s">
        <v>487</v>
      </c>
      <c r="L135" t="s">
        <v>550</v>
      </c>
      <c r="M135" t="s">
        <v>529</v>
      </c>
      <c r="N135" t="s">
        <v>586</v>
      </c>
      <c r="O135" t="s">
        <v>631</v>
      </c>
      <c r="P135" t="s">
        <v>508</v>
      </c>
      <c r="Q135">
        <v>1</v>
      </c>
      <c r="R135" t="s">
        <v>480</v>
      </c>
    </row>
    <row r="136" spans="1:18" x14ac:dyDescent="0.3">
      <c r="A136" t="s">
        <v>622</v>
      </c>
      <c r="B136" t="s">
        <v>814</v>
      </c>
      <c r="C136" t="s">
        <v>396</v>
      </c>
      <c r="D136" t="s">
        <v>508</v>
      </c>
      <c r="E136" t="s">
        <v>487</v>
      </c>
      <c r="F136" t="s">
        <v>479</v>
      </c>
      <c r="G136" t="s">
        <v>390</v>
      </c>
      <c r="H136" t="s">
        <v>391</v>
      </c>
      <c r="I136" t="s">
        <v>480</v>
      </c>
      <c r="J136" t="s">
        <v>488</v>
      </c>
      <c r="K136" t="s">
        <v>487</v>
      </c>
      <c r="L136" t="s">
        <v>534</v>
      </c>
      <c r="M136" t="s">
        <v>530</v>
      </c>
      <c r="N136" t="s">
        <v>586</v>
      </c>
      <c r="O136" t="s">
        <v>658</v>
      </c>
      <c r="P136" t="s">
        <v>508</v>
      </c>
      <c r="Q136">
        <v>1</v>
      </c>
      <c r="R136" t="s">
        <v>480</v>
      </c>
    </row>
    <row r="137" spans="1:18" x14ac:dyDescent="0.3">
      <c r="A137" t="s">
        <v>622</v>
      </c>
      <c r="B137" t="s">
        <v>814</v>
      </c>
      <c r="C137" t="s">
        <v>396</v>
      </c>
      <c r="D137" t="s">
        <v>508</v>
      </c>
      <c r="E137" t="s">
        <v>487</v>
      </c>
      <c r="F137" t="s">
        <v>479</v>
      </c>
      <c r="G137" t="s">
        <v>390</v>
      </c>
      <c r="H137" t="s">
        <v>391</v>
      </c>
      <c r="I137" t="s">
        <v>480</v>
      </c>
      <c r="J137" t="s">
        <v>488</v>
      </c>
      <c r="K137" t="s">
        <v>487</v>
      </c>
      <c r="L137" t="s">
        <v>534</v>
      </c>
      <c r="M137" t="s">
        <v>530</v>
      </c>
      <c r="N137" t="s">
        <v>586</v>
      </c>
      <c r="O137" t="s">
        <v>659</v>
      </c>
      <c r="P137" t="s">
        <v>508</v>
      </c>
      <c r="Q137">
        <v>1</v>
      </c>
      <c r="R137" t="s">
        <v>480</v>
      </c>
    </row>
    <row r="138" spans="1:18" x14ac:dyDescent="0.3">
      <c r="A138" t="s">
        <v>622</v>
      </c>
      <c r="B138" t="s">
        <v>814</v>
      </c>
      <c r="C138" t="s">
        <v>396</v>
      </c>
      <c r="D138" t="s">
        <v>508</v>
      </c>
      <c r="E138" t="s">
        <v>487</v>
      </c>
      <c r="F138" t="s">
        <v>479</v>
      </c>
      <c r="G138" t="s">
        <v>390</v>
      </c>
      <c r="H138" t="s">
        <v>391</v>
      </c>
      <c r="I138" t="s">
        <v>480</v>
      </c>
      <c r="J138" t="s">
        <v>488</v>
      </c>
      <c r="K138" t="s">
        <v>487</v>
      </c>
      <c r="L138" t="s">
        <v>534</v>
      </c>
      <c r="M138" t="s">
        <v>530</v>
      </c>
      <c r="N138" t="s">
        <v>586</v>
      </c>
      <c r="O138" t="s">
        <v>660</v>
      </c>
      <c r="P138" t="s">
        <v>508</v>
      </c>
      <c r="Q138">
        <v>1</v>
      </c>
      <c r="R138" t="s">
        <v>480</v>
      </c>
    </row>
    <row r="139" spans="1:18" x14ac:dyDescent="0.3">
      <c r="A139" t="s">
        <v>622</v>
      </c>
      <c r="B139" t="s">
        <v>816</v>
      </c>
      <c r="C139" t="s">
        <v>478</v>
      </c>
      <c r="D139" t="s">
        <v>508</v>
      </c>
      <c r="E139" t="s">
        <v>487</v>
      </c>
      <c r="F139" t="s">
        <v>479</v>
      </c>
      <c r="G139" t="s">
        <v>394</v>
      </c>
      <c r="H139" t="s">
        <v>391</v>
      </c>
      <c r="I139" t="s">
        <v>480</v>
      </c>
      <c r="J139" t="s">
        <v>488</v>
      </c>
      <c r="K139" t="s">
        <v>487</v>
      </c>
      <c r="L139" t="s">
        <v>550</v>
      </c>
      <c r="M139" t="s">
        <v>529</v>
      </c>
      <c r="N139" t="s">
        <v>586</v>
      </c>
      <c r="O139" t="s">
        <v>634</v>
      </c>
      <c r="P139" t="s">
        <v>508</v>
      </c>
      <c r="Q139">
        <v>1</v>
      </c>
      <c r="R139" t="s">
        <v>480</v>
      </c>
    </row>
    <row r="140" spans="1:18" x14ac:dyDescent="0.3">
      <c r="A140" t="s">
        <v>622</v>
      </c>
      <c r="B140" t="s">
        <v>816</v>
      </c>
      <c r="C140" t="s">
        <v>478</v>
      </c>
      <c r="D140" t="s">
        <v>508</v>
      </c>
      <c r="E140" t="s">
        <v>487</v>
      </c>
      <c r="F140" t="s">
        <v>479</v>
      </c>
      <c r="G140" t="s">
        <v>394</v>
      </c>
      <c r="H140" t="s">
        <v>391</v>
      </c>
      <c r="I140" t="s">
        <v>480</v>
      </c>
      <c r="J140" t="s">
        <v>488</v>
      </c>
      <c r="K140" t="s">
        <v>487</v>
      </c>
      <c r="L140" t="s">
        <v>550</v>
      </c>
      <c r="M140" t="s">
        <v>529</v>
      </c>
      <c r="N140" t="s">
        <v>586</v>
      </c>
      <c r="O140" t="s">
        <v>637</v>
      </c>
      <c r="P140" t="s">
        <v>508</v>
      </c>
      <c r="Q140">
        <v>1</v>
      </c>
      <c r="R140" t="s">
        <v>480</v>
      </c>
    </row>
    <row r="141" spans="1:18" x14ac:dyDescent="0.3">
      <c r="A141" t="s">
        <v>622</v>
      </c>
      <c r="B141" t="s">
        <v>816</v>
      </c>
      <c r="C141" t="s">
        <v>478</v>
      </c>
      <c r="D141" t="s">
        <v>508</v>
      </c>
      <c r="E141" t="s">
        <v>487</v>
      </c>
      <c r="F141" t="s">
        <v>479</v>
      </c>
      <c r="G141" t="s">
        <v>394</v>
      </c>
      <c r="H141" t="s">
        <v>391</v>
      </c>
      <c r="I141" t="s">
        <v>480</v>
      </c>
      <c r="J141" t="s">
        <v>488</v>
      </c>
      <c r="K141" t="s">
        <v>487</v>
      </c>
      <c r="L141" t="s">
        <v>550</v>
      </c>
      <c r="M141" t="s">
        <v>529</v>
      </c>
      <c r="N141" t="s">
        <v>586</v>
      </c>
      <c r="O141" t="s">
        <v>638</v>
      </c>
      <c r="P141" t="s">
        <v>508</v>
      </c>
      <c r="Q141">
        <v>1</v>
      </c>
      <c r="R141" t="s">
        <v>480</v>
      </c>
    </row>
    <row r="142" spans="1:18" x14ac:dyDescent="0.3">
      <c r="A142" t="s">
        <v>622</v>
      </c>
      <c r="B142" t="s">
        <v>816</v>
      </c>
      <c r="C142" t="s">
        <v>478</v>
      </c>
      <c r="D142" t="s">
        <v>508</v>
      </c>
      <c r="E142" t="s">
        <v>487</v>
      </c>
      <c r="F142" t="s">
        <v>479</v>
      </c>
      <c r="G142" t="s">
        <v>394</v>
      </c>
      <c r="H142" t="s">
        <v>391</v>
      </c>
      <c r="I142" t="s">
        <v>480</v>
      </c>
      <c r="J142" t="s">
        <v>488</v>
      </c>
      <c r="K142" t="s">
        <v>487</v>
      </c>
      <c r="L142" t="s">
        <v>550</v>
      </c>
      <c r="M142" t="s">
        <v>527</v>
      </c>
      <c r="N142" t="s">
        <v>586</v>
      </c>
      <c r="O142" t="s">
        <v>639</v>
      </c>
      <c r="P142" t="s">
        <v>508</v>
      </c>
      <c r="Q142">
        <v>1</v>
      </c>
      <c r="R142" t="s">
        <v>480</v>
      </c>
    </row>
    <row r="143" spans="1:18" x14ac:dyDescent="0.3">
      <c r="A143" t="s">
        <v>622</v>
      </c>
      <c r="B143" t="s">
        <v>816</v>
      </c>
      <c r="C143" t="s">
        <v>478</v>
      </c>
      <c r="D143" t="s">
        <v>508</v>
      </c>
      <c r="E143" t="s">
        <v>487</v>
      </c>
      <c r="F143" t="s">
        <v>479</v>
      </c>
      <c r="G143" t="s">
        <v>394</v>
      </c>
      <c r="H143" t="s">
        <v>391</v>
      </c>
      <c r="I143" t="s">
        <v>480</v>
      </c>
      <c r="J143" t="s">
        <v>488</v>
      </c>
      <c r="K143" t="s">
        <v>487</v>
      </c>
      <c r="L143" t="s">
        <v>550</v>
      </c>
      <c r="M143" t="s">
        <v>529</v>
      </c>
      <c r="N143" t="s">
        <v>586</v>
      </c>
      <c r="O143" t="s">
        <v>640</v>
      </c>
      <c r="P143" t="s">
        <v>508</v>
      </c>
      <c r="Q143">
        <v>1</v>
      </c>
      <c r="R143" t="s">
        <v>480</v>
      </c>
    </row>
    <row r="144" spans="1:18" x14ac:dyDescent="0.3">
      <c r="A144" t="s">
        <v>622</v>
      </c>
      <c r="B144" t="s">
        <v>817</v>
      </c>
      <c r="C144" t="s">
        <v>478</v>
      </c>
      <c r="D144" t="s">
        <v>508</v>
      </c>
      <c r="E144" t="s">
        <v>487</v>
      </c>
      <c r="F144" t="s">
        <v>479</v>
      </c>
      <c r="G144" t="s">
        <v>394</v>
      </c>
      <c r="H144" t="s">
        <v>391</v>
      </c>
      <c r="I144" t="s">
        <v>480</v>
      </c>
      <c r="J144" t="s">
        <v>488</v>
      </c>
      <c r="K144" t="s">
        <v>487</v>
      </c>
      <c r="L144" t="s">
        <v>550</v>
      </c>
      <c r="M144" t="s">
        <v>527</v>
      </c>
      <c r="N144" t="s">
        <v>586</v>
      </c>
      <c r="O144" t="s">
        <v>740</v>
      </c>
      <c r="P144" t="s">
        <v>508</v>
      </c>
      <c r="Q144">
        <v>1</v>
      </c>
      <c r="R144" t="s">
        <v>480</v>
      </c>
    </row>
    <row r="145" spans="1:18" x14ac:dyDescent="0.3">
      <c r="A145" t="s">
        <v>622</v>
      </c>
      <c r="B145" t="s">
        <v>817</v>
      </c>
      <c r="C145" t="s">
        <v>478</v>
      </c>
      <c r="D145" t="s">
        <v>508</v>
      </c>
      <c r="E145" t="s">
        <v>487</v>
      </c>
      <c r="F145" t="s">
        <v>479</v>
      </c>
      <c r="G145" t="s">
        <v>394</v>
      </c>
      <c r="H145" t="s">
        <v>391</v>
      </c>
      <c r="I145" t="s">
        <v>480</v>
      </c>
      <c r="J145" t="s">
        <v>488</v>
      </c>
      <c r="K145" t="s">
        <v>487</v>
      </c>
      <c r="L145" t="s">
        <v>550</v>
      </c>
      <c r="M145" t="s">
        <v>529</v>
      </c>
      <c r="N145" t="s">
        <v>586</v>
      </c>
      <c r="O145" t="s">
        <v>742</v>
      </c>
      <c r="P145" t="s">
        <v>508</v>
      </c>
      <c r="Q145">
        <v>1</v>
      </c>
      <c r="R145" t="s">
        <v>480</v>
      </c>
    </row>
    <row r="146" spans="1:18" x14ac:dyDescent="0.3">
      <c r="A146" t="s">
        <v>622</v>
      </c>
      <c r="B146" t="s">
        <v>818</v>
      </c>
      <c r="C146" t="s">
        <v>396</v>
      </c>
      <c r="D146" t="s">
        <v>508</v>
      </c>
      <c r="E146" t="s">
        <v>487</v>
      </c>
      <c r="F146" t="s">
        <v>479</v>
      </c>
      <c r="G146" t="s">
        <v>390</v>
      </c>
      <c r="H146" t="s">
        <v>391</v>
      </c>
      <c r="I146" t="s">
        <v>480</v>
      </c>
      <c r="J146" t="s">
        <v>488</v>
      </c>
      <c r="K146" t="s">
        <v>487</v>
      </c>
      <c r="L146" t="s">
        <v>534</v>
      </c>
      <c r="M146" t="s">
        <v>530</v>
      </c>
      <c r="N146" t="s">
        <v>586</v>
      </c>
      <c r="O146" t="s">
        <v>747</v>
      </c>
      <c r="P146" t="s">
        <v>508</v>
      </c>
      <c r="Q146">
        <v>1</v>
      </c>
      <c r="R146" t="s">
        <v>480</v>
      </c>
    </row>
    <row r="147" spans="1:18" x14ac:dyDescent="0.3">
      <c r="A147" t="s">
        <v>622</v>
      </c>
      <c r="B147" t="s">
        <v>818</v>
      </c>
      <c r="C147" t="s">
        <v>396</v>
      </c>
      <c r="D147" t="s">
        <v>508</v>
      </c>
      <c r="E147" t="s">
        <v>487</v>
      </c>
      <c r="F147" t="s">
        <v>479</v>
      </c>
      <c r="G147" t="s">
        <v>390</v>
      </c>
      <c r="H147" t="s">
        <v>391</v>
      </c>
      <c r="I147" t="s">
        <v>480</v>
      </c>
      <c r="J147" t="s">
        <v>488</v>
      </c>
      <c r="K147" t="s">
        <v>487</v>
      </c>
      <c r="L147" t="s">
        <v>534</v>
      </c>
      <c r="M147" t="s">
        <v>529</v>
      </c>
      <c r="N147" t="s">
        <v>586</v>
      </c>
      <c r="O147" t="s">
        <v>749</v>
      </c>
      <c r="P147" t="s">
        <v>508</v>
      </c>
      <c r="Q147">
        <v>1</v>
      </c>
      <c r="R147" t="s">
        <v>480</v>
      </c>
    </row>
    <row r="148" spans="1:18" x14ac:dyDescent="0.3">
      <c r="A148" t="s">
        <v>622</v>
      </c>
      <c r="B148" t="s">
        <v>817</v>
      </c>
      <c r="C148" t="s">
        <v>478</v>
      </c>
      <c r="D148" t="s">
        <v>508</v>
      </c>
      <c r="E148" t="s">
        <v>487</v>
      </c>
      <c r="F148" t="s">
        <v>479</v>
      </c>
      <c r="G148" t="s">
        <v>394</v>
      </c>
      <c r="H148" t="s">
        <v>391</v>
      </c>
      <c r="I148" t="s">
        <v>480</v>
      </c>
      <c r="J148" t="s">
        <v>488</v>
      </c>
      <c r="K148" t="s">
        <v>487</v>
      </c>
      <c r="L148" t="s">
        <v>550</v>
      </c>
      <c r="M148" t="s">
        <v>527</v>
      </c>
      <c r="N148" t="s">
        <v>586</v>
      </c>
      <c r="O148" t="s">
        <v>751</v>
      </c>
      <c r="P148" t="s">
        <v>508</v>
      </c>
      <c r="Q148">
        <v>1</v>
      </c>
      <c r="R148" t="s">
        <v>480</v>
      </c>
    </row>
    <row r="149" spans="1:18" x14ac:dyDescent="0.3">
      <c r="A149" t="s">
        <v>622</v>
      </c>
      <c r="B149" t="s">
        <v>818</v>
      </c>
      <c r="C149" t="s">
        <v>396</v>
      </c>
      <c r="D149" t="s">
        <v>508</v>
      </c>
      <c r="E149" t="s">
        <v>487</v>
      </c>
      <c r="F149" t="s">
        <v>479</v>
      </c>
      <c r="G149" t="s">
        <v>390</v>
      </c>
      <c r="H149" t="s">
        <v>391</v>
      </c>
      <c r="I149" t="s">
        <v>480</v>
      </c>
      <c r="J149" t="s">
        <v>488</v>
      </c>
      <c r="K149" t="s">
        <v>487</v>
      </c>
      <c r="L149" t="s">
        <v>534</v>
      </c>
      <c r="M149" t="s">
        <v>530</v>
      </c>
      <c r="N149" t="s">
        <v>586</v>
      </c>
      <c r="O149" t="s">
        <v>753</v>
      </c>
      <c r="P149" t="s">
        <v>508</v>
      </c>
      <c r="Q149">
        <v>1</v>
      </c>
      <c r="R149" t="s">
        <v>480</v>
      </c>
    </row>
    <row r="150" spans="1:18" x14ac:dyDescent="0.3">
      <c r="A150" t="s">
        <v>622</v>
      </c>
      <c r="B150" t="s">
        <v>819</v>
      </c>
      <c r="C150" t="s">
        <v>396</v>
      </c>
      <c r="D150" t="s">
        <v>508</v>
      </c>
      <c r="E150" t="s">
        <v>487</v>
      </c>
      <c r="F150" t="s">
        <v>479</v>
      </c>
      <c r="G150" t="s">
        <v>390</v>
      </c>
      <c r="H150" t="s">
        <v>391</v>
      </c>
      <c r="I150" t="s">
        <v>480</v>
      </c>
      <c r="J150" t="s">
        <v>488</v>
      </c>
      <c r="K150" t="s">
        <v>487</v>
      </c>
      <c r="L150" t="s">
        <v>534</v>
      </c>
      <c r="M150" t="s">
        <v>529</v>
      </c>
      <c r="N150" t="s">
        <v>586</v>
      </c>
      <c r="O150" t="s">
        <v>762</v>
      </c>
      <c r="P150" t="s">
        <v>508</v>
      </c>
      <c r="Q150">
        <v>1</v>
      </c>
      <c r="R150" t="s">
        <v>480</v>
      </c>
    </row>
    <row r="151" spans="1:18" x14ac:dyDescent="0.3">
      <c r="A151" t="s">
        <v>622</v>
      </c>
      <c r="B151" t="s">
        <v>819</v>
      </c>
      <c r="C151" t="s">
        <v>396</v>
      </c>
      <c r="D151" t="s">
        <v>508</v>
      </c>
      <c r="E151" t="s">
        <v>487</v>
      </c>
      <c r="F151" t="s">
        <v>479</v>
      </c>
      <c r="G151" t="s">
        <v>390</v>
      </c>
      <c r="H151" t="s">
        <v>391</v>
      </c>
      <c r="I151" t="s">
        <v>480</v>
      </c>
      <c r="J151" t="s">
        <v>488</v>
      </c>
      <c r="K151" t="s">
        <v>487</v>
      </c>
      <c r="L151" t="s">
        <v>534</v>
      </c>
      <c r="M151" t="s">
        <v>530</v>
      </c>
      <c r="N151" t="s">
        <v>586</v>
      </c>
      <c r="O151" t="s">
        <v>764</v>
      </c>
      <c r="P151" t="s">
        <v>508</v>
      </c>
      <c r="Q151">
        <v>1</v>
      </c>
      <c r="R151" t="s">
        <v>480</v>
      </c>
    </row>
    <row r="152" spans="1:18" x14ac:dyDescent="0.3">
      <c r="A152" t="s">
        <v>622</v>
      </c>
      <c r="B152" t="s">
        <v>817</v>
      </c>
      <c r="C152" t="s">
        <v>478</v>
      </c>
      <c r="D152" t="s">
        <v>508</v>
      </c>
      <c r="E152" t="s">
        <v>487</v>
      </c>
      <c r="F152" t="s">
        <v>479</v>
      </c>
      <c r="G152" t="s">
        <v>394</v>
      </c>
      <c r="H152" t="s">
        <v>391</v>
      </c>
      <c r="I152" t="s">
        <v>480</v>
      </c>
      <c r="J152" t="s">
        <v>488</v>
      </c>
      <c r="K152" t="s">
        <v>487</v>
      </c>
      <c r="L152" t="s">
        <v>550</v>
      </c>
      <c r="M152" t="s">
        <v>527</v>
      </c>
      <c r="N152" t="s">
        <v>586</v>
      </c>
      <c r="O152" t="s">
        <v>767</v>
      </c>
      <c r="P152" t="s">
        <v>508</v>
      </c>
      <c r="Q152">
        <v>1</v>
      </c>
      <c r="R152" t="s">
        <v>480</v>
      </c>
    </row>
    <row r="153" spans="1:18" x14ac:dyDescent="0.3">
      <c r="A153" t="s">
        <v>622</v>
      </c>
      <c r="B153" t="s">
        <v>819</v>
      </c>
      <c r="C153" t="s">
        <v>396</v>
      </c>
      <c r="D153" t="s">
        <v>508</v>
      </c>
      <c r="E153" t="s">
        <v>487</v>
      </c>
      <c r="F153" t="s">
        <v>479</v>
      </c>
      <c r="G153" t="s">
        <v>390</v>
      </c>
      <c r="H153" t="s">
        <v>391</v>
      </c>
      <c r="I153" t="s">
        <v>480</v>
      </c>
      <c r="J153" t="s">
        <v>488</v>
      </c>
      <c r="K153" t="s">
        <v>487</v>
      </c>
      <c r="L153" t="s">
        <v>534</v>
      </c>
      <c r="M153" t="s">
        <v>530</v>
      </c>
      <c r="N153" t="s">
        <v>586</v>
      </c>
      <c r="O153" t="s">
        <v>769</v>
      </c>
      <c r="P153" t="s">
        <v>508</v>
      </c>
      <c r="Q153">
        <v>1</v>
      </c>
      <c r="R153" t="s">
        <v>480</v>
      </c>
    </row>
    <row r="154" spans="1:18" x14ac:dyDescent="0.3">
      <c r="A154" t="s">
        <v>622</v>
      </c>
      <c r="B154" t="s">
        <v>819</v>
      </c>
      <c r="C154" t="s">
        <v>396</v>
      </c>
      <c r="D154" t="s">
        <v>508</v>
      </c>
      <c r="E154" t="s">
        <v>487</v>
      </c>
      <c r="F154" t="s">
        <v>479</v>
      </c>
      <c r="G154" t="s">
        <v>390</v>
      </c>
      <c r="H154" t="s">
        <v>391</v>
      </c>
      <c r="I154" t="s">
        <v>480</v>
      </c>
      <c r="J154" t="s">
        <v>488</v>
      </c>
      <c r="K154" t="s">
        <v>487</v>
      </c>
      <c r="L154" t="s">
        <v>534</v>
      </c>
      <c r="M154" t="s">
        <v>530</v>
      </c>
      <c r="N154" t="s">
        <v>586</v>
      </c>
      <c r="O154" t="s">
        <v>770</v>
      </c>
      <c r="P154" t="s">
        <v>508</v>
      </c>
      <c r="Q154">
        <v>1</v>
      </c>
      <c r="R154" t="s">
        <v>480</v>
      </c>
    </row>
    <row r="155" spans="1:18" x14ac:dyDescent="0.3">
      <c r="A155" t="s">
        <v>821</v>
      </c>
      <c r="B155" t="s">
        <v>870</v>
      </c>
      <c r="C155" t="s">
        <v>478</v>
      </c>
      <c r="D155" t="s">
        <v>508</v>
      </c>
      <c r="E155" t="s">
        <v>487</v>
      </c>
      <c r="F155" t="s">
        <v>479</v>
      </c>
      <c r="G155" t="s">
        <v>394</v>
      </c>
      <c r="H155" t="s">
        <v>391</v>
      </c>
      <c r="I155" t="s">
        <v>480</v>
      </c>
      <c r="J155" t="s">
        <v>488</v>
      </c>
      <c r="K155" t="s">
        <v>487</v>
      </c>
      <c r="L155" t="s">
        <v>550</v>
      </c>
      <c r="M155" t="s">
        <v>529</v>
      </c>
      <c r="N155" t="s">
        <v>586</v>
      </c>
      <c r="O155" t="s">
        <v>879</v>
      </c>
      <c r="P155" t="s">
        <v>508</v>
      </c>
      <c r="Q155">
        <v>1</v>
      </c>
      <c r="R155" t="s">
        <v>480</v>
      </c>
    </row>
    <row r="156" spans="1:18" x14ac:dyDescent="0.3">
      <c r="A156" t="s">
        <v>622</v>
      </c>
      <c r="B156" t="s">
        <v>854</v>
      </c>
      <c r="C156" t="s">
        <v>396</v>
      </c>
      <c r="D156" t="s">
        <v>508</v>
      </c>
      <c r="E156" t="s">
        <v>487</v>
      </c>
      <c r="F156" t="s">
        <v>479</v>
      </c>
      <c r="G156" t="s">
        <v>390</v>
      </c>
      <c r="H156" t="s">
        <v>391</v>
      </c>
      <c r="I156" t="s">
        <v>480</v>
      </c>
      <c r="J156" t="s">
        <v>488</v>
      </c>
      <c r="K156" t="s">
        <v>487</v>
      </c>
      <c r="L156" t="s">
        <v>534</v>
      </c>
      <c r="M156" t="s">
        <v>530</v>
      </c>
      <c r="N156" t="s">
        <v>586</v>
      </c>
      <c r="O156" t="s">
        <v>774</v>
      </c>
      <c r="P156" t="s">
        <v>508</v>
      </c>
      <c r="Q156">
        <v>0</v>
      </c>
      <c r="R156" t="s">
        <v>480</v>
      </c>
    </row>
    <row r="157" spans="1:18" x14ac:dyDescent="0.3">
      <c r="A157" t="s">
        <v>622</v>
      </c>
      <c r="B157" t="s">
        <v>854</v>
      </c>
      <c r="C157" t="s">
        <v>396</v>
      </c>
      <c r="D157" t="s">
        <v>508</v>
      </c>
      <c r="E157" t="s">
        <v>487</v>
      </c>
      <c r="F157" t="s">
        <v>479</v>
      </c>
      <c r="G157" t="s">
        <v>390</v>
      </c>
      <c r="H157" t="s">
        <v>391</v>
      </c>
      <c r="I157" t="s">
        <v>480</v>
      </c>
      <c r="J157" t="s">
        <v>488</v>
      </c>
      <c r="K157" t="s">
        <v>487</v>
      </c>
      <c r="L157" t="s">
        <v>534</v>
      </c>
      <c r="M157" t="s">
        <v>529</v>
      </c>
      <c r="N157" t="s">
        <v>586</v>
      </c>
      <c r="O157" t="s">
        <v>775</v>
      </c>
      <c r="P157" t="s">
        <v>508</v>
      </c>
      <c r="Q157">
        <v>0</v>
      </c>
      <c r="R157" t="s">
        <v>480</v>
      </c>
    </row>
    <row r="158" spans="1:18" x14ac:dyDescent="0.3">
      <c r="A158" t="s">
        <v>622</v>
      </c>
      <c r="B158" t="s">
        <v>849</v>
      </c>
      <c r="C158" t="s">
        <v>478</v>
      </c>
      <c r="D158" t="s">
        <v>508</v>
      </c>
      <c r="E158" t="s">
        <v>487</v>
      </c>
      <c r="F158" t="s">
        <v>479</v>
      </c>
      <c r="G158" t="s">
        <v>411</v>
      </c>
      <c r="H158" t="s">
        <v>391</v>
      </c>
      <c r="I158" t="s">
        <v>480</v>
      </c>
      <c r="J158" t="s">
        <v>488</v>
      </c>
      <c r="K158" t="s">
        <v>487</v>
      </c>
      <c r="L158" t="s">
        <v>542</v>
      </c>
      <c r="M158" t="s">
        <v>529</v>
      </c>
      <c r="N158" t="s">
        <v>586</v>
      </c>
      <c r="O158" t="s">
        <v>779</v>
      </c>
      <c r="P158" t="s">
        <v>508</v>
      </c>
      <c r="Q158">
        <v>0</v>
      </c>
      <c r="R158" t="s">
        <v>480</v>
      </c>
    </row>
    <row r="159" spans="1:18" x14ac:dyDescent="0.3">
      <c r="A159" t="s">
        <v>622</v>
      </c>
      <c r="B159" t="s">
        <v>849</v>
      </c>
      <c r="C159" t="s">
        <v>478</v>
      </c>
      <c r="D159" t="s">
        <v>508</v>
      </c>
      <c r="E159" t="s">
        <v>487</v>
      </c>
      <c r="F159" t="s">
        <v>479</v>
      </c>
      <c r="G159" t="s">
        <v>411</v>
      </c>
      <c r="H159" t="s">
        <v>391</v>
      </c>
      <c r="I159" t="s">
        <v>480</v>
      </c>
      <c r="J159" t="s">
        <v>488</v>
      </c>
      <c r="K159" t="s">
        <v>487</v>
      </c>
      <c r="L159" t="s">
        <v>542</v>
      </c>
      <c r="M159" t="s">
        <v>529</v>
      </c>
      <c r="N159" t="s">
        <v>586</v>
      </c>
      <c r="O159" t="s">
        <v>788</v>
      </c>
      <c r="P159" t="s">
        <v>508</v>
      </c>
      <c r="Q159">
        <v>0</v>
      </c>
      <c r="R159" t="s">
        <v>480</v>
      </c>
    </row>
    <row r="160" spans="1:18" x14ac:dyDescent="0.3">
      <c r="A160" t="s">
        <v>622</v>
      </c>
      <c r="B160" t="s">
        <v>850</v>
      </c>
      <c r="C160" t="s">
        <v>478</v>
      </c>
      <c r="D160" t="s">
        <v>508</v>
      </c>
      <c r="E160" t="s">
        <v>487</v>
      </c>
      <c r="F160" t="s">
        <v>479</v>
      </c>
      <c r="G160" t="s">
        <v>411</v>
      </c>
      <c r="H160" t="s">
        <v>391</v>
      </c>
      <c r="I160" t="s">
        <v>480</v>
      </c>
      <c r="J160" t="s">
        <v>488</v>
      </c>
      <c r="K160" t="s">
        <v>487</v>
      </c>
      <c r="L160" t="s">
        <v>542</v>
      </c>
      <c r="M160" t="s">
        <v>529</v>
      </c>
      <c r="N160" t="s">
        <v>586</v>
      </c>
      <c r="O160" t="s">
        <v>793</v>
      </c>
      <c r="P160" t="s">
        <v>508</v>
      </c>
      <c r="Q160">
        <v>0</v>
      </c>
      <c r="R160" t="s">
        <v>480</v>
      </c>
    </row>
    <row r="161" spans="1:18" x14ac:dyDescent="0.3">
      <c r="A161" t="s">
        <v>622</v>
      </c>
      <c r="B161" t="s">
        <v>854</v>
      </c>
      <c r="C161" t="s">
        <v>396</v>
      </c>
      <c r="D161" t="s">
        <v>508</v>
      </c>
      <c r="E161" t="s">
        <v>487</v>
      </c>
      <c r="F161" t="s">
        <v>479</v>
      </c>
      <c r="G161" t="s">
        <v>390</v>
      </c>
      <c r="H161" t="s">
        <v>391</v>
      </c>
      <c r="I161" t="s">
        <v>480</v>
      </c>
      <c r="J161" t="s">
        <v>488</v>
      </c>
      <c r="K161" t="s">
        <v>487</v>
      </c>
      <c r="L161" t="s">
        <v>534</v>
      </c>
      <c r="M161" t="s">
        <v>530</v>
      </c>
      <c r="N161" t="s">
        <v>586</v>
      </c>
      <c r="O161" t="s">
        <v>796</v>
      </c>
      <c r="P161" t="s">
        <v>508</v>
      </c>
      <c r="Q161">
        <v>0</v>
      </c>
      <c r="R161" t="s">
        <v>480</v>
      </c>
    </row>
    <row r="162" spans="1:18" x14ac:dyDescent="0.3">
      <c r="A162" t="s">
        <v>622</v>
      </c>
      <c r="B162" t="s">
        <v>850</v>
      </c>
      <c r="C162" t="s">
        <v>478</v>
      </c>
      <c r="D162" t="s">
        <v>508</v>
      </c>
      <c r="E162" t="s">
        <v>487</v>
      </c>
      <c r="F162" t="s">
        <v>479</v>
      </c>
      <c r="G162" t="s">
        <v>411</v>
      </c>
      <c r="H162" t="s">
        <v>391</v>
      </c>
      <c r="I162" t="s">
        <v>480</v>
      </c>
      <c r="J162" t="s">
        <v>488</v>
      </c>
      <c r="K162" t="s">
        <v>487</v>
      </c>
      <c r="L162" t="s">
        <v>542</v>
      </c>
      <c r="M162" t="s">
        <v>529</v>
      </c>
      <c r="N162" t="s">
        <v>586</v>
      </c>
      <c r="O162" t="s">
        <v>799</v>
      </c>
      <c r="P162" t="s">
        <v>508</v>
      </c>
      <c r="Q162">
        <v>0</v>
      </c>
      <c r="R162" t="s">
        <v>480</v>
      </c>
    </row>
    <row r="163" spans="1:18" x14ac:dyDescent="0.3">
      <c r="A163" t="s">
        <v>622</v>
      </c>
      <c r="B163" t="s">
        <v>850</v>
      </c>
      <c r="C163" t="s">
        <v>478</v>
      </c>
      <c r="D163" t="s">
        <v>508</v>
      </c>
      <c r="E163" t="s">
        <v>487</v>
      </c>
      <c r="F163" t="s">
        <v>479</v>
      </c>
      <c r="G163" t="s">
        <v>411</v>
      </c>
      <c r="H163" t="s">
        <v>391</v>
      </c>
      <c r="I163" t="s">
        <v>480</v>
      </c>
      <c r="J163" t="s">
        <v>488</v>
      </c>
      <c r="K163" t="s">
        <v>487</v>
      </c>
      <c r="L163" t="s">
        <v>542</v>
      </c>
      <c r="M163" t="s">
        <v>529</v>
      </c>
      <c r="N163" t="s">
        <v>586</v>
      </c>
      <c r="O163" t="s">
        <v>805</v>
      </c>
      <c r="P163" t="s">
        <v>508</v>
      </c>
      <c r="Q163">
        <v>0</v>
      </c>
      <c r="R163" t="s">
        <v>480</v>
      </c>
    </row>
    <row r="164" spans="1:18" x14ac:dyDescent="0.3">
      <c r="A164" t="s">
        <v>821</v>
      </c>
      <c r="B164" t="s">
        <v>862</v>
      </c>
      <c r="C164" t="s">
        <v>478</v>
      </c>
      <c r="D164" t="s">
        <v>508</v>
      </c>
      <c r="E164" t="s">
        <v>487</v>
      </c>
      <c r="F164" t="s">
        <v>479</v>
      </c>
      <c r="G164" t="s">
        <v>411</v>
      </c>
      <c r="H164" t="s">
        <v>391</v>
      </c>
      <c r="I164" t="s">
        <v>480</v>
      </c>
      <c r="J164" t="s">
        <v>488</v>
      </c>
      <c r="K164" t="s">
        <v>487</v>
      </c>
      <c r="L164" t="s">
        <v>542</v>
      </c>
      <c r="M164" t="s">
        <v>529</v>
      </c>
      <c r="N164" t="s">
        <v>586</v>
      </c>
      <c r="O164" t="s">
        <v>824</v>
      </c>
      <c r="P164" t="s">
        <v>508</v>
      </c>
      <c r="Q164">
        <v>0</v>
      </c>
      <c r="R164" t="s">
        <v>480</v>
      </c>
    </row>
    <row r="165" spans="1:18" x14ac:dyDescent="0.3">
      <c r="A165" t="s">
        <v>821</v>
      </c>
      <c r="B165" t="s">
        <v>862</v>
      </c>
      <c r="C165" t="s">
        <v>478</v>
      </c>
      <c r="D165" t="s">
        <v>508</v>
      </c>
      <c r="E165" t="s">
        <v>487</v>
      </c>
      <c r="F165" t="s">
        <v>479</v>
      </c>
      <c r="G165" t="s">
        <v>411</v>
      </c>
      <c r="H165" t="s">
        <v>391</v>
      </c>
      <c r="I165" t="s">
        <v>480</v>
      </c>
      <c r="J165" t="s">
        <v>488</v>
      </c>
      <c r="K165" t="s">
        <v>487</v>
      </c>
      <c r="L165" t="s">
        <v>542</v>
      </c>
      <c r="M165" t="s">
        <v>529</v>
      </c>
      <c r="N165" t="s">
        <v>526</v>
      </c>
      <c r="O165" t="s">
        <v>855</v>
      </c>
      <c r="P165" t="s">
        <v>508</v>
      </c>
      <c r="Q165">
        <v>0</v>
      </c>
      <c r="R165" t="s">
        <v>480</v>
      </c>
    </row>
    <row r="166" spans="1:18" x14ac:dyDescent="0.3">
      <c r="A166" t="s">
        <v>622</v>
      </c>
      <c r="B166" t="s">
        <v>875</v>
      </c>
      <c r="C166" t="s">
        <v>396</v>
      </c>
      <c r="D166" t="s">
        <v>508</v>
      </c>
      <c r="E166" t="s">
        <v>487</v>
      </c>
      <c r="F166" t="s">
        <v>479</v>
      </c>
      <c r="G166" t="s">
        <v>390</v>
      </c>
      <c r="H166" t="s">
        <v>391</v>
      </c>
      <c r="I166" t="s">
        <v>480</v>
      </c>
      <c r="J166" t="s">
        <v>488</v>
      </c>
      <c r="K166" t="s">
        <v>487</v>
      </c>
      <c r="L166" t="s">
        <v>534</v>
      </c>
      <c r="M166" t="s">
        <v>530</v>
      </c>
      <c r="N166" t="s">
        <v>586</v>
      </c>
      <c r="O166" t="s">
        <v>856</v>
      </c>
      <c r="P166" t="s">
        <v>508</v>
      </c>
      <c r="Q166">
        <v>0</v>
      </c>
      <c r="R166" t="s">
        <v>480</v>
      </c>
    </row>
    <row r="167" spans="1:18" x14ac:dyDescent="0.3">
      <c r="A167" t="s">
        <v>821</v>
      </c>
      <c r="B167" t="s">
        <v>875</v>
      </c>
      <c r="C167" t="s">
        <v>396</v>
      </c>
      <c r="D167" t="s">
        <v>508</v>
      </c>
      <c r="E167" t="s">
        <v>487</v>
      </c>
      <c r="F167" t="s">
        <v>479</v>
      </c>
      <c r="G167" t="s">
        <v>390</v>
      </c>
      <c r="H167" t="s">
        <v>391</v>
      </c>
      <c r="I167" t="s">
        <v>480</v>
      </c>
      <c r="J167" t="s">
        <v>488</v>
      </c>
      <c r="K167" t="s">
        <v>487</v>
      </c>
      <c r="L167" t="s">
        <v>534</v>
      </c>
      <c r="M167" t="s">
        <v>530</v>
      </c>
      <c r="N167" t="s">
        <v>586</v>
      </c>
      <c r="O167" t="s">
        <v>876</v>
      </c>
      <c r="P167" t="s">
        <v>508</v>
      </c>
      <c r="Q167">
        <v>0</v>
      </c>
      <c r="R167" t="s">
        <v>480</v>
      </c>
    </row>
    <row r="168" spans="1:18" x14ac:dyDescent="0.3">
      <c r="A168" t="s">
        <v>821</v>
      </c>
      <c r="B168" t="s">
        <v>865</v>
      </c>
      <c r="C168" t="s">
        <v>478</v>
      </c>
      <c r="D168" t="s">
        <v>508</v>
      </c>
      <c r="E168" t="s">
        <v>487</v>
      </c>
      <c r="F168" t="s">
        <v>479</v>
      </c>
      <c r="G168" t="s">
        <v>411</v>
      </c>
      <c r="H168" t="s">
        <v>391</v>
      </c>
      <c r="I168" t="s">
        <v>480</v>
      </c>
      <c r="J168" t="s">
        <v>488</v>
      </c>
      <c r="K168" t="s">
        <v>487</v>
      </c>
      <c r="L168" t="s">
        <v>542</v>
      </c>
      <c r="M168" t="s">
        <v>529</v>
      </c>
      <c r="N168" t="s">
        <v>526</v>
      </c>
      <c r="O168" t="s">
        <v>877</v>
      </c>
      <c r="P168" t="s">
        <v>508</v>
      </c>
      <c r="Q168">
        <v>0</v>
      </c>
      <c r="R168" t="s">
        <v>480</v>
      </c>
    </row>
    <row r="169" spans="1:18" x14ac:dyDescent="0.3">
      <c r="A169" t="s">
        <v>821</v>
      </c>
      <c r="B169" t="s">
        <v>863</v>
      </c>
      <c r="C169" t="s">
        <v>478</v>
      </c>
      <c r="D169" t="s">
        <v>508</v>
      </c>
      <c r="E169" t="s">
        <v>487</v>
      </c>
      <c r="F169" t="s">
        <v>479</v>
      </c>
      <c r="G169" t="s">
        <v>394</v>
      </c>
      <c r="H169" t="s">
        <v>391</v>
      </c>
      <c r="I169" t="s">
        <v>480</v>
      </c>
      <c r="J169" t="s">
        <v>488</v>
      </c>
      <c r="K169" t="s">
        <v>487</v>
      </c>
      <c r="L169" t="s">
        <v>550</v>
      </c>
      <c r="M169" t="s">
        <v>529</v>
      </c>
      <c r="N169" t="s">
        <v>586</v>
      </c>
      <c r="O169" t="s">
        <v>878</v>
      </c>
      <c r="P169" t="s">
        <v>508</v>
      </c>
      <c r="Q169">
        <v>0</v>
      </c>
      <c r="R169" t="s">
        <v>480</v>
      </c>
    </row>
    <row r="170" spans="1:18" x14ac:dyDescent="0.3">
      <c r="A170" t="s">
        <v>821</v>
      </c>
      <c r="B170" t="s">
        <v>863</v>
      </c>
      <c r="C170" t="s">
        <v>478</v>
      </c>
      <c r="D170" t="s">
        <v>508</v>
      </c>
      <c r="E170" t="s">
        <v>487</v>
      </c>
      <c r="F170" t="s">
        <v>479</v>
      </c>
      <c r="G170" t="s">
        <v>394</v>
      </c>
      <c r="H170" t="s">
        <v>391</v>
      </c>
      <c r="I170" t="s">
        <v>480</v>
      </c>
      <c r="J170" t="s">
        <v>488</v>
      </c>
      <c r="K170" t="s">
        <v>487</v>
      </c>
      <c r="L170" t="s">
        <v>550</v>
      </c>
      <c r="M170" t="s">
        <v>529</v>
      </c>
      <c r="N170" t="s">
        <v>586</v>
      </c>
      <c r="O170" t="s">
        <v>880</v>
      </c>
      <c r="P170" t="s">
        <v>508</v>
      </c>
      <c r="Q170">
        <v>0</v>
      </c>
      <c r="R170" t="s">
        <v>480</v>
      </c>
    </row>
    <row r="171" spans="1:18" x14ac:dyDescent="0.3">
      <c r="A171" t="s">
        <v>821</v>
      </c>
      <c r="B171" t="s">
        <v>875</v>
      </c>
      <c r="C171" t="s">
        <v>396</v>
      </c>
      <c r="D171" t="s">
        <v>508</v>
      </c>
      <c r="E171" t="s">
        <v>487</v>
      </c>
      <c r="F171" t="s">
        <v>479</v>
      </c>
      <c r="G171" t="s">
        <v>390</v>
      </c>
      <c r="H171" t="s">
        <v>391</v>
      </c>
      <c r="I171" t="s">
        <v>480</v>
      </c>
      <c r="J171" t="s">
        <v>488</v>
      </c>
      <c r="K171" t="s">
        <v>487</v>
      </c>
      <c r="L171" t="s">
        <v>534</v>
      </c>
      <c r="M171" t="s">
        <v>530</v>
      </c>
      <c r="N171" t="s">
        <v>586</v>
      </c>
      <c r="O171" t="s">
        <v>881</v>
      </c>
      <c r="P171" t="s">
        <v>508</v>
      </c>
      <c r="Q171">
        <v>0</v>
      </c>
      <c r="R171" t="s">
        <v>480</v>
      </c>
    </row>
    <row r="172" spans="1:18" x14ac:dyDescent="0.3">
      <c r="A172" t="s">
        <v>821</v>
      </c>
      <c r="B172" t="s">
        <v>875</v>
      </c>
      <c r="C172" t="s">
        <v>396</v>
      </c>
      <c r="D172" t="s">
        <v>508</v>
      </c>
      <c r="E172" t="s">
        <v>487</v>
      </c>
      <c r="F172" t="s">
        <v>479</v>
      </c>
      <c r="G172" t="s">
        <v>390</v>
      </c>
      <c r="H172" t="s">
        <v>391</v>
      </c>
      <c r="I172" t="s">
        <v>480</v>
      </c>
      <c r="J172" t="s">
        <v>488</v>
      </c>
      <c r="K172" t="s">
        <v>487</v>
      </c>
      <c r="L172" t="s">
        <v>534</v>
      </c>
      <c r="M172" t="s">
        <v>530</v>
      </c>
      <c r="N172" t="s">
        <v>586</v>
      </c>
      <c r="O172" t="s">
        <v>882</v>
      </c>
      <c r="P172" t="s">
        <v>508</v>
      </c>
      <c r="Q172">
        <v>0</v>
      </c>
      <c r="R172" t="s">
        <v>480</v>
      </c>
    </row>
    <row r="173" spans="1:18" x14ac:dyDescent="0.3">
      <c r="A173" t="s">
        <v>821</v>
      </c>
      <c r="B173" t="s">
        <v>863</v>
      </c>
      <c r="C173" t="s">
        <v>478</v>
      </c>
      <c r="D173" t="s">
        <v>508</v>
      </c>
      <c r="E173" t="s">
        <v>487</v>
      </c>
      <c r="F173" t="s">
        <v>479</v>
      </c>
      <c r="G173" t="s">
        <v>394</v>
      </c>
      <c r="H173" t="s">
        <v>391</v>
      </c>
      <c r="I173" t="s">
        <v>480</v>
      </c>
      <c r="J173" t="s">
        <v>488</v>
      </c>
      <c r="K173" t="s">
        <v>487</v>
      </c>
      <c r="L173" t="s">
        <v>550</v>
      </c>
      <c r="M173" t="s">
        <v>529</v>
      </c>
      <c r="N173" t="s">
        <v>586</v>
      </c>
      <c r="O173" t="s">
        <v>883</v>
      </c>
      <c r="P173" t="s">
        <v>508</v>
      </c>
      <c r="Q173">
        <v>0</v>
      </c>
      <c r="R173" t="s">
        <v>480</v>
      </c>
    </row>
    <row r="174" spans="1:18" x14ac:dyDescent="0.3">
      <c r="A174" t="s">
        <v>821</v>
      </c>
      <c r="B174" t="s">
        <v>483</v>
      </c>
      <c r="C174" t="s">
        <v>396</v>
      </c>
      <c r="D174" t="s">
        <v>508</v>
      </c>
      <c r="E174" t="s">
        <v>487</v>
      </c>
      <c r="F174" t="s">
        <v>479</v>
      </c>
      <c r="G174" t="s">
        <v>390</v>
      </c>
      <c r="H174" t="s">
        <v>391</v>
      </c>
      <c r="I174" t="s">
        <v>480</v>
      </c>
      <c r="J174" t="s">
        <v>488</v>
      </c>
      <c r="K174" t="s">
        <v>487</v>
      </c>
      <c r="L174" t="s">
        <v>534</v>
      </c>
      <c r="M174" t="s">
        <v>530</v>
      </c>
      <c r="N174" t="s">
        <v>586</v>
      </c>
      <c r="O174" t="s">
        <v>913</v>
      </c>
      <c r="P174" t="s">
        <v>508</v>
      </c>
      <c r="Q174">
        <v>0</v>
      </c>
      <c r="R174" t="s">
        <v>480</v>
      </c>
    </row>
    <row r="175" spans="1:18" x14ac:dyDescent="0.3">
      <c r="A175" t="s">
        <v>821</v>
      </c>
      <c r="B175" t="s">
        <v>483</v>
      </c>
      <c r="C175" t="s">
        <v>478</v>
      </c>
      <c r="D175" t="s">
        <v>508</v>
      </c>
      <c r="E175" t="s">
        <v>487</v>
      </c>
      <c r="F175" t="s">
        <v>479</v>
      </c>
      <c r="G175" t="s">
        <v>394</v>
      </c>
      <c r="H175" t="s">
        <v>391</v>
      </c>
      <c r="I175" t="s">
        <v>480</v>
      </c>
      <c r="J175" t="s">
        <v>488</v>
      </c>
      <c r="K175" t="s">
        <v>487</v>
      </c>
      <c r="L175" t="s">
        <v>550</v>
      </c>
      <c r="M175" t="s">
        <v>529</v>
      </c>
      <c r="N175" t="s">
        <v>586</v>
      </c>
      <c r="O175" t="s">
        <v>914</v>
      </c>
      <c r="P175" t="s">
        <v>508</v>
      </c>
      <c r="Q175">
        <v>0</v>
      </c>
      <c r="R175" t="s">
        <v>480</v>
      </c>
    </row>
    <row r="176" spans="1:18" x14ac:dyDescent="0.3">
      <c r="A176" t="s">
        <v>821</v>
      </c>
      <c r="B176" t="s">
        <v>483</v>
      </c>
      <c r="C176" t="s">
        <v>478</v>
      </c>
      <c r="D176" t="s">
        <v>508</v>
      </c>
      <c r="E176" t="s">
        <v>487</v>
      </c>
      <c r="F176" t="s">
        <v>479</v>
      </c>
      <c r="G176" t="s">
        <v>394</v>
      </c>
      <c r="H176" t="s">
        <v>391</v>
      </c>
      <c r="I176" t="s">
        <v>480</v>
      </c>
      <c r="J176" t="s">
        <v>488</v>
      </c>
      <c r="K176" t="s">
        <v>487</v>
      </c>
      <c r="L176" t="s">
        <v>550</v>
      </c>
      <c r="M176" t="s">
        <v>529</v>
      </c>
      <c r="N176" t="s">
        <v>586</v>
      </c>
      <c r="O176" t="s">
        <v>915</v>
      </c>
      <c r="P176" t="s">
        <v>508</v>
      </c>
      <c r="Q176">
        <v>0</v>
      </c>
      <c r="R176" t="s">
        <v>480</v>
      </c>
    </row>
    <row r="177" spans="1:18" x14ac:dyDescent="0.3">
      <c r="A177" t="s">
        <v>821</v>
      </c>
      <c r="B177" t="s">
        <v>483</v>
      </c>
      <c r="C177" t="s">
        <v>478</v>
      </c>
      <c r="D177" t="s">
        <v>508</v>
      </c>
      <c r="E177" t="s">
        <v>487</v>
      </c>
      <c r="F177" t="s">
        <v>479</v>
      </c>
      <c r="G177" t="s">
        <v>394</v>
      </c>
      <c r="H177" t="s">
        <v>391</v>
      </c>
      <c r="I177" t="s">
        <v>480</v>
      </c>
      <c r="J177" t="s">
        <v>488</v>
      </c>
      <c r="K177" t="s">
        <v>487</v>
      </c>
      <c r="L177" t="s">
        <v>550</v>
      </c>
      <c r="M177" t="s">
        <v>529</v>
      </c>
      <c r="N177" t="s">
        <v>586</v>
      </c>
      <c r="O177" t="s">
        <v>916</v>
      </c>
      <c r="P177" t="s">
        <v>508</v>
      </c>
      <c r="Q177">
        <v>0</v>
      </c>
      <c r="R177" t="s">
        <v>480</v>
      </c>
    </row>
    <row r="178" spans="1:18" x14ac:dyDescent="0.3">
      <c r="A178" t="s">
        <v>821</v>
      </c>
      <c r="B178" t="s">
        <v>483</v>
      </c>
      <c r="C178" t="s">
        <v>396</v>
      </c>
      <c r="D178" t="s">
        <v>508</v>
      </c>
      <c r="E178" t="s">
        <v>487</v>
      </c>
      <c r="F178" t="s">
        <v>479</v>
      </c>
      <c r="G178" t="s">
        <v>390</v>
      </c>
      <c r="H178" t="s">
        <v>391</v>
      </c>
      <c r="I178" t="s">
        <v>480</v>
      </c>
      <c r="J178" t="s">
        <v>488</v>
      </c>
      <c r="K178" t="s">
        <v>487</v>
      </c>
      <c r="L178" t="s">
        <v>534</v>
      </c>
      <c r="M178" t="s">
        <v>530</v>
      </c>
      <c r="N178" t="s">
        <v>586</v>
      </c>
      <c r="O178" t="s">
        <v>932</v>
      </c>
      <c r="P178" t="s">
        <v>508</v>
      </c>
      <c r="Q178">
        <v>0</v>
      </c>
      <c r="R178" t="s">
        <v>480</v>
      </c>
    </row>
    <row r="179" spans="1:18" x14ac:dyDescent="0.3">
      <c r="A179" t="s">
        <v>821</v>
      </c>
      <c r="B179" t="s">
        <v>483</v>
      </c>
      <c r="C179" t="s">
        <v>478</v>
      </c>
      <c r="D179" t="s">
        <v>508</v>
      </c>
      <c r="E179" t="s">
        <v>487</v>
      </c>
      <c r="F179" t="s">
        <v>479</v>
      </c>
      <c r="G179" t="s">
        <v>394</v>
      </c>
      <c r="H179" t="s">
        <v>391</v>
      </c>
      <c r="I179" t="s">
        <v>480</v>
      </c>
      <c r="J179" t="s">
        <v>488</v>
      </c>
      <c r="K179" t="s">
        <v>487</v>
      </c>
      <c r="L179" t="s">
        <v>550</v>
      </c>
      <c r="M179" t="s">
        <v>529</v>
      </c>
      <c r="N179" t="s">
        <v>586</v>
      </c>
      <c r="O179" t="s">
        <v>935</v>
      </c>
      <c r="P179" t="s">
        <v>508</v>
      </c>
      <c r="Q179">
        <v>0</v>
      </c>
      <c r="R179" t="s">
        <v>480</v>
      </c>
    </row>
    <row r="180" spans="1:18" x14ac:dyDescent="0.3">
      <c r="A180" t="s">
        <v>821</v>
      </c>
      <c r="B180" t="s">
        <v>483</v>
      </c>
      <c r="C180" t="s">
        <v>396</v>
      </c>
      <c r="D180" t="s">
        <v>508</v>
      </c>
      <c r="E180" t="s">
        <v>487</v>
      </c>
      <c r="F180" t="s">
        <v>479</v>
      </c>
      <c r="G180" t="s">
        <v>390</v>
      </c>
      <c r="H180" t="s">
        <v>391</v>
      </c>
      <c r="I180" t="s">
        <v>480</v>
      </c>
      <c r="J180" t="s">
        <v>488</v>
      </c>
      <c r="K180" t="s">
        <v>487</v>
      </c>
      <c r="L180" t="s">
        <v>534</v>
      </c>
      <c r="M180" t="s">
        <v>530</v>
      </c>
      <c r="N180" t="s">
        <v>586</v>
      </c>
      <c r="O180" t="s">
        <v>936</v>
      </c>
      <c r="P180" t="s">
        <v>508</v>
      </c>
      <c r="Q180">
        <v>0</v>
      </c>
      <c r="R180" t="s">
        <v>480</v>
      </c>
    </row>
    <row r="181" spans="1:18" x14ac:dyDescent="0.3">
      <c r="A181" t="s">
        <v>821</v>
      </c>
      <c r="B181" t="s">
        <v>483</v>
      </c>
      <c r="C181" t="s">
        <v>396</v>
      </c>
      <c r="D181" t="s">
        <v>508</v>
      </c>
      <c r="E181" t="s">
        <v>487</v>
      </c>
      <c r="F181" t="s">
        <v>479</v>
      </c>
      <c r="G181" t="s">
        <v>390</v>
      </c>
      <c r="H181" t="s">
        <v>391</v>
      </c>
      <c r="I181" t="s">
        <v>480</v>
      </c>
      <c r="J181" t="s">
        <v>488</v>
      </c>
      <c r="K181" t="s">
        <v>487</v>
      </c>
      <c r="L181" t="s">
        <v>534</v>
      </c>
      <c r="M181" t="s">
        <v>529</v>
      </c>
      <c r="N181" t="s">
        <v>586</v>
      </c>
      <c r="O181" t="s">
        <v>945</v>
      </c>
      <c r="P181" t="s">
        <v>508</v>
      </c>
      <c r="Q181">
        <v>0</v>
      </c>
      <c r="R181" t="s">
        <v>480</v>
      </c>
    </row>
    <row r="182" spans="1:18" x14ac:dyDescent="0.3">
      <c r="A182" t="s">
        <v>821</v>
      </c>
      <c r="B182" t="s">
        <v>483</v>
      </c>
      <c r="C182" t="s">
        <v>396</v>
      </c>
      <c r="D182" t="s">
        <v>508</v>
      </c>
      <c r="E182" t="s">
        <v>487</v>
      </c>
      <c r="F182" t="s">
        <v>479</v>
      </c>
      <c r="G182" t="s">
        <v>390</v>
      </c>
      <c r="H182" t="s">
        <v>391</v>
      </c>
      <c r="I182" t="s">
        <v>480</v>
      </c>
      <c r="J182" t="s">
        <v>488</v>
      </c>
      <c r="K182" t="s">
        <v>487</v>
      </c>
      <c r="L182" t="s">
        <v>534</v>
      </c>
      <c r="M182" t="s">
        <v>529</v>
      </c>
      <c r="N182" t="s">
        <v>586</v>
      </c>
      <c r="O182" t="s">
        <v>946</v>
      </c>
      <c r="P182" t="s">
        <v>508</v>
      </c>
      <c r="Q182">
        <v>0</v>
      </c>
      <c r="R182" t="s">
        <v>480</v>
      </c>
    </row>
    <row r="183" spans="1:18" x14ac:dyDescent="0.3">
      <c r="A183" t="s">
        <v>559</v>
      </c>
      <c r="B183" t="s">
        <v>661</v>
      </c>
      <c r="C183" t="s">
        <v>478</v>
      </c>
      <c r="D183" t="s">
        <v>508</v>
      </c>
      <c r="E183" t="s">
        <v>541</v>
      </c>
      <c r="F183" t="s">
        <v>479</v>
      </c>
      <c r="G183" t="s">
        <v>394</v>
      </c>
      <c r="H183" t="s">
        <v>391</v>
      </c>
      <c r="I183" t="s">
        <v>480</v>
      </c>
      <c r="J183" t="s">
        <v>488</v>
      </c>
      <c r="K183" t="s">
        <v>541</v>
      </c>
      <c r="L183" t="s">
        <v>542</v>
      </c>
      <c r="M183" t="s">
        <v>530</v>
      </c>
      <c r="N183" t="s">
        <v>526</v>
      </c>
      <c r="O183" t="s">
        <v>662</v>
      </c>
      <c r="P183" t="s">
        <v>508</v>
      </c>
      <c r="Q183">
        <v>1</v>
      </c>
      <c r="R183" t="s">
        <v>480</v>
      </c>
    </row>
    <row r="184" spans="1:18" x14ac:dyDescent="0.3">
      <c r="A184" t="s">
        <v>559</v>
      </c>
      <c r="B184" t="s">
        <v>661</v>
      </c>
      <c r="C184" t="s">
        <v>478</v>
      </c>
      <c r="D184" t="s">
        <v>508</v>
      </c>
      <c r="E184" t="s">
        <v>541</v>
      </c>
      <c r="F184" t="s">
        <v>479</v>
      </c>
      <c r="G184" t="s">
        <v>394</v>
      </c>
      <c r="H184" t="s">
        <v>391</v>
      </c>
      <c r="I184" t="s">
        <v>480</v>
      </c>
      <c r="J184" t="s">
        <v>488</v>
      </c>
      <c r="K184" t="s">
        <v>541</v>
      </c>
      <c r="L184" t="s">
        <v>542</v>
      </c>
      <c r="M184" t="s">
        <v>530</v>
      </c>
      <c r="N184" t="s">
        <v>586</v>
      </c>
      <c r="O184" t="s">
        <v>663</v>
      </c>
      <c r="P184" t="s">
        <v>508</v>
      </c>
      <c r="Q184">
        <v>1</v>
      </c>
      <c r="R184" t="s">
        <v>480</v>
      </c>
    </row>
    <row r="185" spans="1:18" x14ac:dyDescent="0.3">
      <c r="A185" t="s">
        <v>622</v>
      </c>
      <c r="B185" t="s">
        <v>812</v>
      </c>
      <c r="C185" t="s">
        <v>478</v>
      </c>
      <c r="D185" t="s">
        <v>508</v>
      </c>
      <c r="E185" t="s">
        <v>541</v>
      </c>
      <c r="F185" t="s">
        <v>479</v>
      </c>
      <c r="G185" t="s">
        <v>394</v>
      </c>
      <c r="H185" t="s">
        <v>391</v>
      </c>
      <c r="I185" t="s">
        <v>480</v>
      </c>
      <c r="J185" t="s">
        <v>488</v>
      </c>
      <c r="K185" t="s">
        <v>541</v>
      </c>
      <c r="L185" t="s">
        <v>542</v>
      </c>
      <c r="M185" t="s">
        <v>529</v>
      </c>
      <c r="N185" t="s">
        <v>586</v>
      </c>
      <c r="O185" t="s">
        <v>813</v>
      </c>
      <c r="P185" t="s">
        <v>508</v>
      </c>
      <c r="Q185">
        <v>1</v>
      </c>
      <c r="R185" t="s">
        <v>480</v>
      </c>
    </row>
    <row r="186" spans="1:18" x14ac:dyDescent="0.3">
      <c r="A186" t="s">
        <v>622</v>
      </c>
      <c r="B186" t="s">
        <v>884</v>
      </c>
      <c r="C186" t="s">
        <v>478</v>
      </c>
      <c r="D186" t="s">
        <v>508</v>
      </c>
      <c r="E186" t="s">
        <v>541</v>
      </c>
      <c r="F186" t="s">
        <v>479</v>
      </c>
      <c r="G186" t="s">
        <v>394</v>
      </c>
      <c r="H186" t="s">
        <v>391</v>
      </c>
      <c r="I186" t="s">
        <v>480</v>
      </c>
      <c r="J186" t="s">
        <v>488</v>
      </c>
      <c r="K186" t="s">
        <v>541</v>
      </c>
      <c r="L186" t="s">
        <v>542</v>
      </c>
      <c r="M186" t="s">
        <v>529</v>
      </c>
      <c r="N186" t="s">
        <v>586</v>
      </c>
      <c r="O186" t="s">
        <v>664</v>
      </c>
      <c r="P186" t="s">
        <v>508</v>
      </c>
      <c r="Q186">
        <v>0</v>
      </c>
      <c r="R186" t="s">
        <v>480</v>
      </c>
    </row>
    <row r="187" spans="1:18" x14ac:dyDescent="0.3">
      <c r="A187" t="s">
        <v>622</v>
      </c>
      <c r="B187" t="s">
        <v>884</v>
      </c>
      <c r="C187" t="s">
        <v>478</v>
      </c>
      <c r="D187" t="s">
        <v>508</v>
      </c>
      <c r="E187" t="s">
        <v>541</v>
      </c>
      <c r="F187" t="s">
        <v>479</v>
      </c>
      <c r="G187" t="s">
        <v>394</v>
      </c>
      <c r="H187" t="s">
        <v>391</v>
      </c>
      <c r="I187" t="s">
        <v>480</v>
      </c>
      <c r="J187" t="s">
        <v>488</v>
      </c>
      <c r="K187" t="s">
        <v>541</v>
      </c>
      <c r="L187" t="s">
        <v>542</v>
      </c>
      <c r="M187" t="s">
        <v>530</v>
      </c>
      <c r="N187" t="s">
        <v>586</v>
      </c>
      <c r="O187" t="s">
        <v>782</v>
      </c>
      <c r="P187" t="s">
        <v>508</v>
      </c>
      <c r="Q187">
        <v>0</v>
      </c>
      <c r="R187" t="s">
        <v>480</v>
      </c>
    </row>
    <row r="188" spans="1:18" x14ac:dyDescent="0.3">
      <c r="A188" t="s">
        <v>622</v>
      </c>
      <c r="B188" t="s">
        <v>884</v>
      </c>
      <c r="C188" t="s">
        <v>478</v>
      </c>
      <c r="D188" t="s">
        <v>508</v>
      </c>
      <c r="E188" t="s">
        <v>541</v>
      </c>
      <c r="F188" t="s">
        <v>479</v>
      </c>
      <c r="G188" t="s">
        <v>394</v>
      </c>
      <c r="H188" t="s">
        <v>391</v>
      </c>
      <c r="I188" t="s">
        <v>480</v>
      </c>
      <c r="J188" t="s">
        <v>488</v>
      </c>
      <c r="K188" t="s">
        <v>541</v>
      </c>
      <c r="L188" t="s">
        <v>542</v>
      </c>
      <c r="M188" t="s">
        <v>529</v>
      </c>
      <c r="N188" t="s">
        <v>586</v>
      </c>
      <c r="O188" t="s">
        <v>783</v>
      </c>
      <c r="P188" t="s">
        <v>508</v>
      </c>
      <c r="Q188">
        <v>0</v>
      </c>
      <c r="R188" t="s">
        <v>480</v>
      </c>
    </row>
    <row r="189" spans="1:18" x14ac:dyDescent="0.3">
      <c r="A189" t="s">
        <v>622</v>
      </c>
      <c r="B189" t="s">
        <v>884</v>
      </c>
      <c r="C189" t="s">
        <v>478</v>
      </c>
      <c r="D189" t="s">
        <v>508</v>
      </c>
      <c r="E189" t="s">
        <v>541</v>
      </c>
      <c r="F189" t="s">
        <v>479</v>
      </c>
      <c r="G189" t="s">
        <v>394</v>
      </c>
      <c r="H189" t="s">
        <v>391</v>
      </c>
      <c r="I189" t="s">
        <v>480</v>
      </c>
      <c r="J189" t="s">
        <v>488</v>
      </c>
      <c r="K189" t="s">
        <v>541</v>
      </c>
      <c r="L189" t="s">
        <v>542</v>
      </c>
      <c r="M189" t="s">
        <v>529</v>
      </c>
      <c r="N189" t="s">
        <v>586</v>
      </c>
      <c r="O189" t="s">
        <v>826</v>
      </c>
      <c r="P189" t="s">
        <v>508</v>
      </c>
      <c r="Q189">
        <v>0</v>
      </c>
      <c r="R189" t="s">
        <v>480</v>
      </c>
    </row>
    <row r="190" spans="1:18" x14ac:dyDescent="0.3">
      <c r="A190" t="s">
        <v>821</v>
      </c>
      <c r="B190" t="s">
        <v>884</v>
      </c>
      <c r="C190" t="s">
        <v>478</v>
      </c>
      <c r="D190" t="s">
        <v>508</v>
      </c>
      <c r="E190" t="s">
        <v>541</v>
      </c>
      <c r="F190" t="s">
        <v>479</v>
      </c>
      <c r="G190" t="s">
        <v>394</v>
      </c>
      <c r="H190" t="s">
        <v>391</v>
      </c>
      <c r="I190" t="s">
        <v>480</v>
      </c>
      <c r="J190" t="s">
        <v>488</v>
      </c>
      <c r="K190" t="s">
        <v>541</v>
      </c>
      <c r="L190" t="s">
        <v>542</v>
      </c>
      <c r="M190" t="s">
        <v>529</v>
      </c>
      <c r="N190" t="s">
        <v>586</v>
      </c>
      <c r="O190" t="s">
        <v>885</v>
      </c>
      <c r="P190" t="s">
        <v>508</v>
      </c>
      <c r="Q190">
        <v>0</v>
      </c>
      <c r="R190" t="s">
        <v>480</v>
      </c>
    </row>
    <row r="191" spans="1:18" x14ac:dyDescent="0.3">
      <c r="A191" t="s">
        <v>821</v>
      </c>
      <c r="B191" t="s">
        <v>483</v>
      </c>
      <c r="C191" t="s">
        <v>478</v>
      </c>
      <c r="D191" t="s">
        <v>508</v>
      </c>
      <c r="E191" t="s">
        <v>541</v>
      </c>
      <c r="F191" t="s">
        <v>479</v>
      </c>
      <c r="G191" t="s">
        <v>394</v>
      </c>
      <c r="H191" t="s">
        <v>391</v>
      </c>
      <c r="I191" t="s">
        <v>480</v>
      </c>
      <c r="J191" t="s">
        <v>488</v>
      </c>
      <c r="K191" t="s">
        <v>541</v>
      </c>
      <c r="L191" t="s">
        <v>542</v>
      </c>
      <c r="M191" t="s">
        <v>529</v>
      </c>
      <c r="N191" t="s">
        <v>586</v>
      </c>
      <c r="O191" t="s">
        <v>917</v>
      </c>
      <c r="P191" t="s">
        <v>508</v>
      </c>
      <c r="Q191">
        <v>0</v>
      </c>
      <c r="R191" t="s">
        <v>480</v>
      </c>
    </row>
    <row r="192" spans="1:18" x14ac:dyDescent="0.3">
      <c r="A192" t="s">
        <v>821</v>
      </c>
      <c r="B192" t="s">
        <v>483</v>
      </c>
      <c r="C192" t="s">
        <v>478</v>
      </c>
      <c r="D192" t="s">
        <v>508</v>
      </c>
      <c r="E192" t="s">
        <v>541</v>
      </c>
      <c r="F192" t="s">
        <v>479</v>
      </c>
      <c r="G192" t="s">
        <v>394</v>
      </c>
      <c r="H192" t="s">
        <v>391</v>
      </c>
      <c r="I192" t="s">
        <v>480</v>
      </c>
      <c r="J192" t="s">
        <v>488</v>
      </c>
      <c r="K192" t="s">
        <v>541</v>
      </c>
      <c r="L192" t="s">
        <v>542</v>
      </c>
      <c r="M192" t="s">
        <v>529</v>
      </c>
      <c r="N192" t="s">
        <v>586</v>
      </c>
      <c r="O192" t="s">
        <v>961</v>
      </c>
      <c r="P192" t="s">
        <v>508</v>
      </c>
      <c r="Q192">
        <v>0</v>
      </c>
      <c r="R192" t="s">
        <v>480</v>
      </c>
    </row>
    <row r="193" spans="1:18" x14ac:dyDescent="0.3">
      <c r="A193" t="s">
        <v>559</v>
      </c>
      <c r="B193" t="s">
        <v>672</v>
      </c>
      <c r="C193" t="s">
        <v>478</v>
      </c>
      <c r="D193" t="s">
        <v>508</v>
      </c>
      <c r="E193" t="s">
        <v>450</v>
      </c>
      <c r="F193" t="s">
        <v>479</v>
      </c>
      <c r="G193" t="s">
        <v>394</v>
      </c>
      <c r="H193" t="s">
        <v>391</v>
      </c>
      <c r="I193" t="s">
        <v>495</v>
      </c>
      <c r="J193" t="s">
        <v>439</v>
      </c>
      <c r="K193" t="s">
        <v>450</v>
      </c>
      <c r="L193" t="s">
        <v>509</v>
      </c>
      <c r="M193" t="s">
        <v>528</v>
      </c>
      <c r="N193" t="s">
        <v>526</v>
      </c>
      <c r="O193" t="s">
        <v>673</v>
      </c>
      <c r="P193" t="s">
        <v>508</v>
      </c>
      <c r="Q193">
        <v>1</v>
      </c>
      <c r="R193" t="s">
        <v>480</v>
      </c>
    </row>
    <row r="194" spans="1:18" x14ac:dyDescent="0.3">
      <c r="A194" t="s">
        <v>559</v>
      </c>
      <c r="B194" t="s">
        <v>672</v>
      </c>
      <c r="C194" t="s">
        <v>478</v>
      </c>
      <c r="D194" t="s">
        <v>508</v>
      </c>
      <c r="E194" t="s">
        <v>450</v>
      </c>
      <c r="F194" t="s">
        <v>479</v>
      </c>
      <c r="G194" t="s">
        <v>394</v>
      </c>
      <c r="H194" t="s">
        <v>391</v>
      </c>
      <c r="I194" t="s">
        <v>495</v>
      </c>
      <c r="J194" t="s">
        <v>439</v>
      </c>
      <c r="K194" t="s">
        <v>450</v>
      </c>
      <c r="L194" t="s">
        <v>509</v>
      </c>
      <c r="M194" t="s">
        <v>528</v>
      </c>
      <c r="N194" t="s">
        <v>526</v>
      </c>
      <c r="O194" t="s">
        <v>674</v>
      </c>
      <c r="P194" t="s">
        <v>508</v>
      </c>
      <c r="Q194">
        <v>1</v>
      </c>
      <c r="R194" t="s">
        <v>480</v>
      </c>
    </row>
    <row r="195" spans="1:18" x14ac:dyDescent="0.3">
      <c r="A195" t="s">
        <v>559</v>
      </c>
      <c r="B195" t="s">
        <v>687</v>
      </c>
      <c r="C195" t="s">
        <v>478</v>
      </c>
      <c r="D195" t="s">
        <v>508</v>
      </c>
      <c r="E195" t="s">
        <v>493</v>
      </c>
      <c r="F195" t="s">
        <v>479</v>
      </c>
      <c r="G195" t="s">
        <v>394</v>
      </c>
      <c r="H195" t="s">
        <v>391</v>
      </c>
      <c r="I195" t="s">
        <v>512</v>
      </c>
      <c r="J195" t="s">
        <v>488</v>
      </c>
      <c r="K195" t="s">
        <v>493</v>
      </c>
      <c r="L195" t="s">
        <v>509</v>
      </c>
      <c r="M195" t="s">
        <v>528</v>
      </c>
      <c r="N195" t="s">
        <v>526</v>
      </c>
      <c r="O195" t="s">
        <v>688</v>
      </c>
      <c r="P195" t="s">
        <v>508</v>
      </c>
      <c r="Q195">
        <v>1</v>
      </c>
      <c r="R195" t="s">
        <v>480</v>
      </c>
    </row>
    <row r="196" spans="1:18" x14ac:dyDescent="0.3">
      <c r="A196" t="s">
        <v>559</v>
      </c>
      <c r="B196" t="s">
        <v>691</v>
      </c>
      <c r="C196" t="s">
        <v>478</v>
      </c>
      <c r="D196" t="s">
        <v>508</v>
      </c>
      <c r="E196" t="s">
        <v>493</v>
      </c>
      <c r="F196" t="s">
        <v>479</v>
      </c>
      <c r="G196" t="s">
        <v>394</v>
      </c>
      <c r="H196" t="s">
        <v>391</v>
      </c>
      <c r="I196" t="s">
        <v>514</v>
      </c>
      <c r="J196" t="s">
        <v>488</v>
      </c>
      <c r="K196" t="s">
        <v>493</v>
      </c>
      <c r="L196" t="s">
        <v>509</v>
      </c>
      <c r="M196" t="s">
        <v>528</v>
      </c>
      <c r="N196" t="s">
        <v>586</v>
      </c>
      <c r="O196" t="s">
        <v>692</v>
      </c>
      <c r="P196" t="s">
        <v>508</v>
      </c>
      <c r="Q196">
        <v>1</v>
      </c>
      <c r="R196" t="s">
        <v>480</v>
      </c>
    </row>
    <row r="197" spans="1:18" x14ac:dyDescent="0.3">
      <c r="A197" t="s">
        <v>559</v>
      </c>
      <c r="B197" t="s">
        <v>687</v>
      </c>
      <c r="C197" t="s">
        <v>478</v>
      </c>
      <c r="D197" t="s">
        <v>508</v>
      </c>
      <c r="E197" t="s">
        <v>493</v>
      </c>
      <c r="F197" t="s">
        <v>479</v>
      </c>
      <c r="G197" t="s">
        <v>394</v>
      </c>
      <c r="H197" t="s">
        <v>391</v>
      </c>
      <c r="I197" t="s">
        <v>512</v>
      </c>
      <c r="J197" t="s">
        <v>488</v>
      </c>
      <c r="K197" t="s">
        <v>493</v>
      </c>
      <c r="L197" t="s">
        <v>509</v>
      </c>
      <c r="M197" t="s">
        <v>529</v>
      </c>
      <c r="N197" t="s">
        <v>526</v>
      </c>
      <c r="O197" t="s">
        <v>694</v>
      </c>
      <c r="P197" t="s">
        <v>508</v>
      </c>
      <c r="Q197">
        <v>1</v>
      </c>
      <c r="R197" t="s">
        <v>480</v>
      </c>
    </row>
    <row r="198" spans="1:18" x14ac:dyDescent="0.3">
      <c r="A198" t="s">
        <v>559</v>
      </c>
      <c r="B198" t="s">
        <v>691</v>
      </c>
      <c r="C198" t="s">
        <v>478</v>
      </c>
      <c r="D198" t="s">
        <v>508</v>
      </c>
      <c r="E198" t="s">
        <v>493</v>
      </c>
      <c r="F198" t="s">
        <v>479</v>
      </c>
      <c r="G198" t="s">
        <v>394</v>
      </c>
      <c r="H198" t="s">
        <v>391</v>
      </c>
      <c r="I198" t="s">
        <v>514</v>
      </c>
      <c r="J198" t="s">
        <v>488</v>
      </c>
      <c r="K198" t="s">
        <v>493</v>
      </c>
      <c r="L198" t="s">
        <v>509</v>
      </c>
      <c r="M198" t="s">
        <v>528</v>
      </c>
      <c r="N198" t="s">
        <v>586</v>
      </c>
      <c r="O198" t="s">
        <v>696</v>
      </c>
      <c r="P198" t="s">
        <v>508</v>
      </c>
      <c r="Q198">
        <v>1</v>
      </c>
      <c r="R198" t="s">
        <v>480</v>
      </c>
    </row>
    <row r="199" spans="1:18" x14ac:dyDescent="0.3">
      <c r="A199" t="s">
        <v>559</v>
      </c>
      <c r="B199" t="s">
        <v>691</v>
      </c>
      <c r="C199" t="s">
        <v>478</v>
      </c>
      <c r="D199" t="s">
        <v>508</v>
      </c>
      <c r="E199" t="s">
        <v>493</v>
      </c>
      <c r="F199" t="s">
        <v>479</v>
      </c>
      <c r="G199" t="s">
        <v>394</v>
      </c>
      <c r="H199" t="s">
        <v>391</v>
      </c>
      <c r="I199" t="s">
        <v>514</v>
      </c>
      <c r="J199" t="s">
        <v>488</v>
      </c>
      <c r="K199" t="s">
        <v>493</v>
      </c>
      <c r="L199" t="s">
        <v>509</v>
      </c>
      <c r="M199" t="s">
        <v>528</v>
      </c>
      <c r="N199" t="s">
        <v>586</v>
      </c>
      <c r="O199" t="s">
        <v>705</v>
      </c>
      <c r="P199" t="s">
        <v>508</v>
      </c>
      <c r="Q199">
        <v>1</v>
      </c>
      <c r="R199" t="s">
        <v>480</v>
      </c>
    </row>
    <row r="200" spans="1:18" x14ac:dyDescent="0.3">
      <c r="A200" t="s">
        <v>559</v>
      </c>
      <c r="B200" t="s">
        <v>691</v>
      </c>
      <c r="C200" t="s">
        <v>478</v>
      </c>
      <c r="D200" t="s">
        <v>508</v>
      </c>
      <c r="E200" t="s">
        <v>493</v>
      </c>
      <c r="F200" t="s">
        <v>479</v>
      </c>
      <c r="G200" t="s">
        <v>394</v>
      </c>
      <c r="H200" t="s">
        <v>391</v>
      </c>
      <c r="I200" t="s">
        <v>514</v>
      </c>
      <c r="J200" t="s">
        <v>488</v>
      </c>
      <c r="K200" t="s">
        <v>493</v>
      </c>
      <c r="L200" t="s">
        <v>509</v>
      </c>
      <c r="M200" t="s">
        <v>528</v>
      </c>
      <c r="N200" t="s">
        <v>586</v>
      </c>
      <c r="O200" t="s">
        <v>708</v>
      </c>
      <c r="P200" t="s">
        <v>508</v>
      </c>
      <c r="Q200">
        <v>1</v>
      </c>
      <c r="R200" t="s">
        <v>480</v>
      </c>
    </row>
    <row r="201" spans="1:18" x14ac:dyDescent="0.3">
      <c r="A201" t="s">
        <v>559</v>
      </c>
      <c r="B201" t="s">
        <v>711</v>
      </c>
      <c r="C201" t="s">
        <v>478</v>
      </c>
      <c r="D201" t="s">
        <v>508</v>
      </c>
      <c r="E201" t="s">
        <v>545</v>
      </c>
      <c r="F201" t="s">
        <v>479</v>
      </c>
      <c r="G201" t="s">
        <v>394</v>
      </c>
      <c r="H201" t="s">
        <v>391</v>
      </c>
      <c r="I201" t="s">
        <v>546</v>
      </c>
      <c r="J201" t="s">
        <v>488</v>
      </c>
      <c r="K201" t="s">
        <v>545</v>
      </c>
      <c r="L201" t="s">
        <v>542</v>
      </c>
      <c r="M201" t="s">
        <v>527</v>
      </c>
      <c r="N201" t="s">
        <v>586</v>
      </c>
      <c r="O201" t="s">
        <v>712</v>
      </c>
      <c r="P201" t="s">
        <v>508</v>
      </c>
      <c r="Q201">
        <v>1</v>
      </c>
      <c r="R201" t="s">
        <v>480</v>
      </c>
    </row>
    <row r="202" spans="1:18" x14ac:dyDescent="0.3">
      <c r="A202" t="s">
        <v>559</v>
      </c>
      <c r="B202" t="s">
        <v>691</v>
      </c>
      <c r="C202" t="s">
        <v>478</v>
      </c>
      <c r="D202" t="s">
        <v>508</v>
      </c>
      <c r="E202" t="s">
        <v>493</v>
      </c>
      <c r="F202" t="s">
        <v>479</v>
      </c>
      <c r="G202" t="s">
        <v>394</v>
      </c>
      <c r="H202" t="s">
        <v>391</v>
      </c>
      <c r="I202" t="s">
        <v>514</v>
      </c>
      <c r="J202" t="s">
        <v>488</v>
      </c>
      <c r="K202" t="s">
        <v>493</v>
      </c>
      <c r="L202" t="s">
        <v>509</v>
      </c>
      <c r="M202" t="s">
        <v>529</v>
      </c>
      <c r="N202" t="s">
        <v>586</v>
      </c>
      <c r="O202" t="s">
        <v>713</v>
      </c>
      <c r="P202" t="s">
        <v>508</v>
      </c>
      <c r="Q202">
        <v>1</v>
      </c>
      <c r="R202" t="s">
        <v>480</v>
      </c>
    </row>
    <row r="203" spans="1:18" x14ac:dyDescent="0.3">
      <c r="A203" t="s">
        <v>559</v>
      </c>
      <c r="B203" t="s">
        <v>687</v>
      </c>
      <c r="C203" t="s">
        <v>478</v>
      </c>
      <c r="D203" t="s">
        <v>508</v>
      </c>
      <c r="E203" t="s">
        <v>493</v>
      </c>
      <c r="F203" t="s">
        <v>479</v>
      </c>
      <c r="G203" t="s">
        <v>394</v>
      </c>
      <c r="H203" t="s">
        <v>391</v>
      </c>
      <c r="I203" t="s">
        <v>514</v>
      </c>
      <c r="J203" t="s">
        <v>488</v>
      </c>
      <c r="K203" t="s">
        <v>493</v>
      </c>
      <c r="L203" t="s">
        <v>509</v>
      </c>
      <c r="M203" t="s">
        <v>528</v>
      </c>
      <c r="N203" t="s">
        <v>586</v>
      </c>
      <c r="O203" t="s">
        <v>714</v>
      </c>
      <c r="P203" t="s">
        <v>508</v>
      </c>
      <c r="Q203">
        <v>1</v>
      </c>
      <c r="R203" t="s">
        <v>480</v>
      </c>
    </row>
    <row r="204" spans="1:18" x14ac:dyDescent="0.3">
      <c r="A204" t="s">
        <v>559</v>
      </c>
      <c r="B204" t="s">
        <v>711</v>
      </c>
      <c r="C204" t="s">
        <v>478</v>
      </c>
      <c r="D204" t="s">
        <v>508</v>
      </c>
      <c r="E204" t="s">
        <v>545</v>
      </c>
      <c r="F204" t="s">
        <v>479</v>
      </c>
      <c r="G204" t="s">
        <v>394</v>
      </c>
      <c r="H204" t="s">
        <v>391</v>
      </c>
      <c r="I204" t="s">
        <v>546</v>
      </c>
      <c r="J204" t="s">
        <v>488</v>
      </c>
      <c r="K204" t="s">
        <v>545</v>
      </c>
      <c r="L204" t="s">
        <v>542</v>
      </c>
      <c r="M204" t="s">
        <v>527</v>
      </c>
      <c r="N204" t="s">
        <v>586</v>
      </c>
      <c r="O204" t="s">
        <v>722</v>
      </c>
      <c r="P204" t="s">
        <v>508</v>
      </c>
      <c r="Q204">
        <v>1</v>
      </c>
      <c r="R204" t="s">
        <v>480</v>
      </c>
    </row>
    <row r="205" spans="1:18" x14ac:dyDescent="0.3">
      <c r="A205" t="s">
        <v>559</v>
      </c>
      <c r="B205" t="s">
        <v>687</v>
      </c>
      <c r="C205" t="s">
        <v>478</v>
      </c>
      <c r="D205" t="s">
        <v>508</v>
      </c>
      <c r="E205" t="s">
        <v>493</v>
      </c>
      <c r="F205" t="s">
        <v>479</v>
      </c>
      <c r="G205" t="s">
        <v>394</v>
      </c>
      <c r="H205" t="s">
        <v>391</v>
      </c>
      <c r="I205" t="s">
        <v>514</v>
      </c>
      <c r="J205" t="s">
        <v>488</v>
      </c>
      <c r="K205" t="s">
        <v>493</v>
      </c>
      <c r="L205" t="s">
        <v>509</v>
      </c>
      <c r="M205" t="s">
        <v>528</v>
      </c>
      <c r="N205" t="s">
        <v>586</v>
      </c>
      <c r="O205" t="s">
        <v>723</v>
      </c>
      <c r="P205" t="s">
        <v>508</v>
      </c>
      <c r="Q205">
        <v>1</v>
      </c>
      <c r="R205" t="s">
        <v>480</v>
      </c>
    </row>
    <row r="206" spans="1:18" x14ac:dyDescent="0.3">
      <c r="A206" t="s">
        <v>559</v>
      </c>
      <c r="B206" t="s">
        <v>711</v>
      </c>
      <c r="C206" t="s">
        <v>478</v>
      </c>
      <c r="D206" t="s">
        <v>508</v>
      </c>
      <c r="E206" t="s">
        <v>545</v>
      </c>
      <c r="F206" t="s">
        <v>479</v>
      </c>
      <c r="G206" t="s">
        <v>394</v>
      </c>
      <c r="H206" t="s">
        <v>391</v>
      </c>
      <c r="I206" t="s">
        <v>546</v>
      </c>
      <c r="J206" t="s">
        <v>488</v>
      </c>
      <c r="K206" t="s">
        <v>545</v>
      </c>
      <c r="L206" t="s">
        <v>542</v>
      </c>
      <c r="M206" t="s">
        <v>528</v>
      </c>
      <c r="N206" t="s">
        <v>586</v>
      </c>
      <c r="O206" t="s">
        <v>726</v>
      </c>
      <c r="P206" t="s">
        <v>508</v>
      </c>
      <c r="Q206">
        <v>1</v>
      </c>
      <c r="R206" t="s">
        <v>480</v>
      </c>
    </row>
    <row r="207" spans="1:18" x14ac:dyDescent="0.3">
      <c r="A207" t="s">
        <v>559</v>
      </c>
      <c r="B207" t="s">
        <v>687</v>
      </c>
      <c r="C207" t="s">
        <v>478</v>
      </c>
      <c r="D207" t="s">
        <v>508</v>
      </c>
      <c r="E207" t="s">
        <v>493</v>
      </c>
      <c r="F207" t="s">
        <v>479</v>
      </c>
      <c r="G207" t="s">
        <v>394</v>
      </c>
      <c r="H207" t="s">
        <v>391</v>
      </c>
      <c r="I207" t="s">
        <v>514</v>
      </c>
      <c r="J207" t="s">
        <v>488</v>
      </c>
      <c r="K207" t="s">
        <v>493</v>
      </c>
      <c r="L207" t="s">
        <v>509</v>
      </c>
      <c r="M207" t="s">
        <v>529</v>
      </c>
      <c r="N207" t="s">
        <v>586</v>
      </c>
      <c r="O207" t="s">
        <v>727</v>
      </c>
      <c r="P207" t="s">
        <v>508</v>
      </c>
      <c r="Q207">
        <v>1</v>
      </c>
      <c r="R207" t="s">
        <v>480</v>
      </c>
    </row>
    <row r="208" spans="1:18" x14ac:dyDescent="0.3">
      <c r="A208" t="s">
        <v>559</v>
      </c>
      <c r="B208" t="s">
        <v>711</v>
      </c>
      <c r="C208" t="s">
        <v>478</v>
      </c>
      <c r="D208" t="s">
        <v>508</v>
      </c>
      <c r="E208" t="s">
        <v>545</v>
      </c>
      <c r="F208" t="s">
        <v>479</v>
      </c>
      <c r="G208" t="s">
        <v>394</v>
      </c>
      <c r="H208" t="s">
        <v>391</v>
      </c>
      <c r="I208" t="s">
        <v>546</v>
      </c>
      <c r="J208" t="s">
        <v>488</v>
      </c>
      <c r="K208" t="s">
        <v>545</v>
      </c>
      <c r="L208" t="s">
        <v>542</v>
      </c>
      <c r="M208" t="s">
        <v>527</v>
      </c>
      <c r="N208" t="s">
        <v>586</v>
      </c>
      <c r="O208" t="s">
        <v>728</v>
      </c>
      <c r="P208" t="s">
        <v>508</v>
      </c>
      <c r="Q208">
        <v>1</v>
      </c>
      <c r="R208" t="s">
        <v>480</v>
      </c>
    </row>
    <row r="209" spans="1:18" x14ac:dyDescent="0.3">
      <c r="A209" t="s">
        <v>559</v>
      </c>
      <c r="B209" t="s">
        <v>711</v>
      </c>
      <c r="C209" t="s">
        <v>478</v>
      </c>
      <c r="D209" t="s">
        <v>508</v>
      </c>
      <c r="E209" t="s">
        <v>545</v>
      </c>
      <c r="F209" t="s">
        <v>479</v>
      </c>
      <c r="G209" t="s">
        <v>394</v>
      </c>
      <c r="H209" t="s">
        <v>391</v>
      </c>
      <c r="I209" t="s">
        <v>546</v>
      </c>
      <c r="J209" t="s">
        <v>488</v>
      </c>
      <c r="K209" t="s">
        <v>545</v>
      </c>
      <c r="L209" t="s">
        <v>542</v>
      </c>
      <c r="M209" t="s">
        <v>528</v>
      </c>
      <c r="N209" t="s">
        <v>586</v>
      </c>
      <c r="O209" t="s">
        <v>729</v>
      </c>
      <c r="P209" t="s">
        <v>508</v>
      </c>
      <c r="Q209">
        <v>1</v>
      </c>
      <c r="R209" t="s">
        <v>480</v>
      </c>
    </row>
    <row r="210" spans="1:18" x14ac:dyDescent="0.3">
      <c r="A210" t="s">
        <v>559</v>
      </c>
      <c r="B210" t="s">
        <v>809</v>
      </c>
      <c r="C210" t="s">
        <v>478</v>
      </c>
      <c r="D210" t="s">
        <v>508</v>
      </c>
      <c r="E210" t="s">
        <v>493</v>
      </c>
      <c r="F210" t="s">
        <v>479</v>
      </c>
      <c r="G210" t="s">
        <v>394</v>
      </c>
      <c r="H210" t="s">
        <v>391</v>
      </c>
      <c r="I210" t="s">
        <v>512</v>
      </c>
      <c r="J210" t="s">
        <v>488</v>
      </c>
      <c r="K210" t="s">
        <v>493</v>
      </c>
      <c r="L210" t="s">
        <v>509</v>
      </c>
      <c r="M210" t="s">
        <v>529</v>
      </c>
      <c r="N210" t="s">
        <v>526</v>
      </c>
      <c r="O210" t="s">
        <v>810</v>
      </c>
      <c r="P210" t="s">
        <v>508</v>
      </c>
      <c r="Q210">
        <v>1</v>
      </c>
      <c r="R210" t="s">
        <v>480</v>
      </c>
    </row>
    <row r="211" spans="1:18" x14ac:dyDescent="0.3">
      <c r="A211" t="s">
        <v>559</v>
      </c>
      <c r="B211" t="s">
        <v>809</v>
      </c>
      <c r="C211" t="s">
        <v>478</v>
      </c>
      <c r="D211" t="s">
        <v>508</v>
      </c>
      <c r="E211" t="s">
        <v>493</v>
      </c>
      <c r="F211" t="s">
        <v>479</v>
      </c>
      <c r="G211" t="s">
        <v>394</v>
      </c>
      <c r="H211" t="s">
        <v>391</v>
      </c>
      <c r="I211" t="s">
        <v>512</v>
      </c>
      <c r="J211" t="s">
        <v>488</v>
      </c>
      <c r="K211" t="s">
        <v>493</v>
      </c>
      <c r="L211" t="s">
        <v>509</v>
      </c>
      <c r="M211" t="s">
        <v>528</v>
      </c>
      <c r="N211" t="s">
        <v>526</v>
      </c>
      <c r="O211" t="s">
        <v>811</v>
      </c>
      <c r="P211" t="s">
        <v>508</v>
      </c>
      <c r="Q211">
        <v>1</v>
      </c>
      <c r="R211" t="s">
        <v>480</v>
      </c>
    </row>
    <row r="212" spans="1:18" x14ac:dyDescent="0.3">
      <c r="A212" t="s">
        <v>622</v>
      </c>
      <c r="B212" t="s">
        <v>886</v>
      </c>
      <c r="C212" t="s">
        <v>478</v>
      </c>
      <c r="D212" t="s">
        <v>508</v>
      </c>
      <c r="E212" t="s">
        <v>545</v>
      </c>
      <c r="F212" t="s">
        <v>479</v>
      </c>
      <c r="G212" t="s">
        <v>394</v>
      </c>
      <c r="H212" t="s">
        <v>391</v>
      </c>
      <c r="I212" t="s">
        <v>546</v>
      </c>
      <c r="J212" t="s">
        <v>488</v>
      </c>
      <c r="K212" t="s">
        <v>545</v>
      </c>
      <c r="L212" t="s">
        <v>542</v>
      </c>
      <c r="M212" t="s">
        <v>528</v>
      </c>
      <c r="N212" t="s">
        <v>586</v>
      </c>
      <c r="O212" t="s">
        <v>737</v>
      </c>
      <c r="P212" t="s">
        <v>508</v>
      </c>
      <c r="Q212">
        <v>0</v>
      </c>
      <c r="R212" t="s">
        <v>480</v>
      </c>
    </row>
    <row r="213" spans="1:18" x14ac:dyDescent="0.3">
      <c r="A213" t="s">
        <v>622</v>
      </c>
      <c r="B213" t="s">
        <v>886</v>
      </c>
      <c r="C213" t="s">
        <v>478</v>
      </c>
      <c r="D213" t="s">
        <v>508</v>
      </c>
      <c r="E213" t="s">
        <v>545</v>
      </c>
      <c r="F213" t="s">
        <v>479</v>
      </c>
      <c r="G213" t="s">
        <v>394</v>
      </c>
      <c r="H213" t="s">
        <v>391</v>
      </c>
      <c r="I213" t="s">
        <v>546</v>
      </c>
      <c r="J213" t="s">
        <v>488</v>
      </c>
      <c r="K213" t="s">
        <v>545</v>
      </c>
      <c r="L213" t="s">
        <v>542</v>
      </c>
      <c r="M213" t="s">
        <v>528</v>
      </c>
      <c r="N213" t="s">
        <v>586</v>
      </c>
      <c r="O213" t="s">
        <v>738</v>
      </c>
      <c r="P213" t="s">
        <v>508</v>
      </c>
      <c r="Q213">
        <v>0</v>
      </c>
      <c r="R213" t="s">
        <v>480</v>
      </c>
    </row>
    <row r="214" spans="1:18" x14ac:dyDescent="0.3">
      <c r="A214" t="s">
        <v>622</v>
      </c>
      <c r="B214" t="s">
        <v>886</v>
      </c>
      <c r="C214" t="s">
        <v>478</v>
      </c>
      <c r="D214" t="s">
        <v>508</v>
      </c>
      <c r="E214" t="s">
        <v>545</v>
      </c>
      <c r="F214" t="s">
        <v>479</v>
      </c>
      <c r="G214" t="s">
        <v>394</v>
      </c>
      <c r="H214" t="s">
        <v>391</v>
      </c>
      <c r="I214" t="s">
        <v>546</v>
      </c>
      <c r="J214" t="s">
        <v>488</v>
      </c>
      <c r="K214" t="s">
        <v>545</v>
      </c>
      <c r="L214" t="s">
        <v>542</v>
      </c>
      <c r="M214" t="s">
        <v>527</v>
      </c>
      <c r="N214" t="s">
        <v>586</v>
      </c>
      <c r="O214" t="s">
        <v>739</v>
      </c>
      <c r="P214" t="s">
        <v>508</v>
      </c>
      <c r="Q214">
        <v>0</v>
      </c>
      <c r="R214" t="s">
        <v>480</v>
      </c>
    </row>
    <row r="215" spans="1:18" x14ac:dyDescent="0.3">
      <c r="A215" t="s">
        <v>622</v>
      </c>
      <c r="B215" t="s">
        <v>886</v>
      </c>
      <c r="C215" t="s">
        <v>478</v>
      </c>
      <c r="D215" t="s">
        <v>508</v>
      </c>
      <c r="E215" t="s">
        <v>545</v>
      </c>
      <c r="F215" t="s">
        <v>479</v>
      </c>
      <c r="G215" t="s">
        <v>394</v>
      </c>
      <c r="H215" t="s">
        <v>391</v>
      </c>
      <c r="I215" t="s">
        <v>546</v>
      </c>
      <c r="J215" t="s">
        <v>488</v>
      </c>
      <c r="K215" t="s">
        <v>545</v>
      </c>
      <c r="L215" t="s">
        <v>542</v>
      </c>
      <c r="M215" t="s">
        <v>528</v>
      </c>
      <c r="N215" t="s">
        <v>586</v>
      </c>
      <c r="O215" t="s">
        <v>752</v>
      </c>
      <c r="P215" t="s">
        <v>508</v>
      </c>
      <c r="Q215">
        <v>0</v>
      </c>
      <c r="R215" t="s">
        <v>480</v>
      </c>
    </row>
    <row r="216" spans="1:18" x14ac:dyDescent="0.3">
      <c r="A216" t="s">
        <v>622</v>
      </c>
      <c r="B216" t="s">
        <v>886</v>
      </c>
      <c r="C216" t="s">
        <v>478</v>
      </c>
      <c r="D216" t="s">
        <v>508</v>
      </c>
      <c r="E216" t="s">
        <v>545</v>
      </c>
      <c r="F216" t="s">
        <v>479</v>
      </c>
      <c r="G216" t="s">
        <v>394</v>
      </c>
      <c r="H216" t="s">
        <v>391</v>
      </c>
      <c r="I216" t="s">
        <v>546</v>
      </c>
      <c r="J216" t="s">
        <v>488</v>
      </c>
      <c r="K216" t="s">
        <v>545</v>
      </c>
      <c r="L216" t="s">
        <v>542</v>
      </c>
      <c r="M216" t="s">
        <v>527</v>
      </c>
      <c r="N216" t="s">
        <v>586</v>
      </c>
      <c r="O216" t="s">
        <v>760</v>
      </c>
      <c r="P216" t="s">
        <v>508</v>
      </c>
      <c r="Q216">
        <v>0</v>
      </c>
      <c r="R216" t="s">
        <v>480</v>
      </c>
    </row>
    <row r="217" spans="1:18" x14ac:dyDescent="0.3">
      <c r="A217" t="s">
        <v>622</v>
      </c>
      <c r="B217" t="s">
        <v>887</v>
      </c>
      <c r="C217" t="s">
        <v>478</v>
      </c>
      <c r="D217" t="s">
        <v>508</v>
      </c>
      <c r="E217" t="s">
        <v>545</v>
      </c>
      <c r="F217" t="s">
        <v>479</v>
      </c>
      <c r="G217" t="s">
        <v>394</v>
      </c>
      <c r="H217" t="s">
        <v>391</v>
      </c>
      <c r="I217" t="s">
        <v>546</v>
      </c>
      <c r="J217" t="s">
        <v>488</v>
      </c>
      <c r="K217" t="s">
        <v>545</v>
      </c>
      <c r="L217" t="s">
        <v>542</v>
      </c>
      <c r="M217" t="s">
        <v>528</v>
      </c>
      <c r="N217" t="s">
        <v>586</v>
      </c>
      <c r="O217" t="s">
        <v>763</v>
      </c>
      <c r="P217" t="s">
        <v>508</v>
      </c>
      <c r="Q217">
        <v>0</v>
      </c>
      <c r="R217" t="s">
        <v>480</v>
      </c>
    </row>
    <row r="218" spans="1:18" x14ac:dyDescent="0.3">
      <c r="A218" t="s">
        <v>622</v>
      </c>
      <c r="B218" t="s">
        <v>887</v>
      </c>
      <c r="C218" t="s">
        <v>478</v>
      </c>
      <c r="D218" t="s">
        <v>508</v>
      </c>
      <c r="E218" t="s">
        <v>545</v>
      </c>
      <c r="F218" t="s">
        <v>479</v>
      </c>
      <c r="G218" t="s">
        <v>394</v>
      </c>
      <c r="H218" t="s">
        <v>391</v>
      </c>
      <c r="I218" t="s">
        <v>546</v>
      </c>
      <c r="J218" t="s">
        <v>488</v>
      </c>
      <c r="K218" t="s">
        <v>545</v>
      </c>
      <c r="L218" t="s">
        <v>542</v>
      </c>
      <c r="M218" t="s">
        <v>528</v>
      </c>
      <c r="N218" t="s">
        <v>586</v>
      </c>
      <c r="O218" t="s">
        <v>781</v>
      </c>
      <c r="P218" t="s">
        <v>508</v>
      </c>
      <c r="Q218">
        <v>0</v>
      </c>
      <c r="R218" t="s">
        <v>480</v>
      </c>
    </row>
    <row r="219" spans="1:18" x14ac:dyDescent="0.3">
      <c r="A219" t="s">
        <v>622</v>
      </c>
      <c r="B219" t="s">
        <v>887</v>
      </c>
      <c r="C219" t="s">
        <v>478</v>
      </c>
      <c r="D219" t="s">
        <v>508</v>
      </c>
      <c r="E219" t="s">
        <v>545</v>
      </c>
      <c r="F219" t="s">
        <v>479</v>
      </c>
      <c r="G219" t="s">
        <v>394</v>
      </c>
      <c r="H219" t="s">
        <v>391</v>
      </c>
      <c r="I219" t="s">
        <v>546</v>
      </c>
      <c r="J219" t="s">
        <v>488</v>
      </c>
      <c r="K219" t="s">
        <v>545</v>
      </c>
      <c r="L219" t="s">
        <v>542</v>
      </c>
      <c r="M219" t="s">
        <v>528</v>
      </c>
      <c r="N219" t="s">
        <v>586</v>
      </c>
      <c r="O219" t="s">
        <v>790</v>
      </c>
      <c r="P219" t="s">
        <v>508</v>
      </c>
      <c r="Q219">
        <v>0</v>
      </c>
      <c r="R219" t="s">
        <v>480</v>
      </c>
    </row>
    <row r="220" spans="1:18" x14ac:dyDescent="0.3">
      <c r="A220" t="s">
        <v>622</v>
      </c>
      <c r="B220" t="s">
        <v>887</v>
      </c>
      <c r="C220" t="s">
        <v>478</v>
      </c>
      <c r="D220" t="s">
        <v>508</v>
      </c>
      <c r="E220" t="s">
        <v>545</v>
      </c>
      <c r="F220" t="s">
        <v>479</v>
      </c>
      <c r="G220" t="s">
        <v>394</v>
      </c>
      <c r="H220" t="s">
        <v>391</v>
      </c>
      <c r="I220" t="s">
        <v>546</v>
      </c>
      <c r="J220" t="s">
        <v>488</v>
      </c>
      <c r="K220" t="s">
        <v>545</v>
      </c>
      <c r="L220" t="s">
        <v>542</v>
      </c>
      <c r="M220" t="s">
        <v>527</v>
      </c>
      <c r="N220" t="s">
        <v>586</v>
      </c>
      <c r="O220" t="s">
        <v>791</v>
      </c>
      <c r="P220" t="s">
        <v>508</v>
      </c>
      <c r="Q220">
        <v>0</v>
      </c>
      <c r="R220" t="s">
        <v>480</v>
      </c>
    </row>
    <row r="221" spans="1:18" x14ac:dyDescent="0.3">
      <c r="A221" t="s">
        <v>622</v>
      </c>
      <c r="B221" t="s">
        <v>887</v>
      </c>
      <c r="C221" t="s">
        <v>478</v>
      </c>
      <c r="D221" t="s">
        <v>508</v>
      </c>
      <c r="E221" t="s">
        <v>545</v>
      </c>
      <c r="F221" t="s">
        <v>479</v>
      </c>
      <c r="G221" t="s">
        <v>394</v>
      </c>
      <c r="H221" t="s">
        <v>391</v>
      </c>
      <c r="I221" t="s">
        <v>546</v>
      </c>
      <c r="J221" t="s">
        <v>488</v>
      </c>
      <c r="K221" t="s">
        <v>545</v>
      </c>
      <c r="L221" t="s">
        <v>542</v>
      </c>
      <c r="M221" t="s">
        <v>528</v>
      </c>
      <c r="N221" t="s">
        <v>586</v>
      </c>
      <c r="O221" t="s">
        <v>804</v>
      </c>
      <c r="P221" t="s">
        <v>508</v>
      </c>
      <c r="Q221">
        <v>0</v>
      </c>
      <c r="R221" t="s">
        <v>480</v>
      </c>
    </row>
    <row r="222" spans="1:18" x14ac:dyDescent="0.3">
      <c r="A222" t="s">
        <v>622</v>
      </c>
      <c r="B222" t="s">
        <v>888</v>
      </c>
      <c r="C222" t="s">
        <v>478</v>
      </c>
      <c r="D222" t="s">
        <v>508</v>
      </c>
      <c r="E222" t="s">
        <v>545</v>
      </c>
      <c r="F222" t="s">
        <v>479</v>
      </c>
      <c r="G222" t="s">
        <v>394</v>
      </c>
      <c r="H222" t="s">
        <v>391</v>
      </c>
      <c r="I222" t="s">
        <v>546</v>
      </c>
      <c r="J222" t="s">
        <v>488</v>
      </c>
      <c r="K222" t="s">
        <v>545</v>
      </c>
      <c r="L222" t="s">
        <v>542</v>
      </c>
      <c r="M222" t="s">
        <v>527</v>
      </c>
      <c r="N222" t="s">
        <v>586</v>
      </c>
      <c r="O222" t="s">
        <v>807</v>
      </c>
      <c r="P222" t="s">
        <v>508</v>
      </c>
      <c r="Q222">
        <v>0</v>
      </c>
      <c r="R222" t="s">
        <v>480</v>
      </c>
    </row>
    <row r="223" spans="1:18" x14ac:dyDescent="0.3">
      <c r="A223" t="s">
        <v>622</v>
      </c>
      <c r="B223" t="s">
        <v>888</v>
      </c>
      <c r="C223" t="s">
        <v>478</v>
      </c>
      <c r="D223" t="s">
        <v>508</v>
      </c>
      <c r="E223" t="s">
        <v>545</v>
      </c>
      <c r="F223" t="s">
        <v>479</v>
      </c>
      <c r="G223" t="s">
        <v>394</v>
      </c>
      <c r="H223" t="s">
        <v>391</v>
      </c>
      <c r="I223" t="s">
        <v>546</v>
      </c>
      <c r="J223" t="s">
        <v>488</v>
      </c>
      <c r="K223" t="s">
        <v>545</v>
      </c>
      <c r="L223" t="s">
        <v>542</v>
      </c>
      <c r="M223" t="s">
        <v>528</v>
      </c>
      <c r="N223" t="s">
        <v>586</v>
      </c>
      <c r="O223" t="s">
        <v>832</v>
      </c>
      <c r="P223" t="s">
        <v>508</v>
      </c>
      <c r="Q223">
        <v>0</v>
      </c>
      <c r="R223" t="s">
        <v>480</v>
      </c>
    </row>
    <row r="224" spans="1:18" x14ac:dyDescent="0.3">
      <c r="A224" t="s">
        <v>821</v>
      </c>
      <c r="B224" t="s">
        <v>888</v>
      </c>
      <c r="C224" t="s">
        <v>478</v>
      </c>
      <c r="D224" t="s">
        <v>508</v>
      </c>
      <c r="E224" t="s">
        <v>545</v>
      </c>
      <c r="F224" t="s">
        <v>479</v>
      </c>
      <c r="G224" t="s">
        <v>394</v>
      </c>
      <c r="H224" t="s">
        <v>391</v>
      </c>
      <c r="I224" t="s">
        <v>546</v>
      </c>
      <c r="J224" t="s">
        <v>488</v>
      </c>
      <c r="K224" t="s">
        <v>545</v>
      </c>
      <c r="L224" t="s">
        <v>542</v>
      </c>
      <c r="M224" t="s">
        <v>527</v>
      </c>
      <c r="N224" t="s">
        <v>586</v>
      </c>
      <c r="O224" t="s">
        <v>841</v>
      </c>
      <c r="P224" t="s">
        <v>508</v>
      </c>
      <c r="Q224">
        <v>0</v>
      </c>
      <c r="R224" t="s">
        <v>480</v>
      </c>
    </row>
    <row r="225" spans="1:18" x14ac:dyDescent="0.3">
      <c r="A225" t="s">
        <v>821</v>
      </c>
      <c r="B225" t="s">
        <v>888</v>
      </c>
      <c r="C225" t="s">
        <v>478</v>
      </c>
      <c r="D225" t="s">
        <v>508</v>
      </c>
      <c r="E225" t="s">
        <v>545</v>
      </c>
      <c r="F225" t="s">
        <v>479</v>
      </c>
      <c r="G225" t="s">
        <v>394</v>
      </c>
      <c r="H225" t="s">
        <v>391</v>
      </c>
      <c r="I225" t="s">
        <v>546</v>
      </c>
      <c r="J225" t="s">
        <v>488</v>
      </c>
      <c r="K225" t="s">
        <v>545</v>
      </c>
      <c r="L225" t="s">
        <v>542</v>
      </c>
      <c r="M225" t="s">
        <v>528</v>
      </c>
      <c r="N225" t="s">
        <v>586</v>
      </c>
      <c r="O225" t="s">
        <v>842</v>
      </c>
      <c r="P225" t="s">
        <v>508</v>
      </c>
      <c r="Q225">
        <v>0</v>
      </c>
      <c r="R225" t="s">
        <v>480</v>
      </c>
    </row>
    <row r="226" spans="1:18" x14ac:dyDescent="0.3">
      <c r="A226" t="s">
        <v>821</v>
      </c>
      <c r="B226" t="s">
        <v>888</v>
      </c>
      <c r="C226" t="s">
        <v>478</v>
      </c>
      <c r="D226" t="s">
        <v>508</v>
      </c>
      <c r="E226" t="s">
        <v>545</v>
      </c>
      <c r="F226" t="s">
        <v>479</v>
      </c>
      <c r="G226" t="s">
        <v>394</v>
      </c>
      <c r="H226" t="s">
        <v>391</v>
      </c>
      <c r="I226" t="s">
        <v>546</v>
      </c>
      <c r="J226" t="s">
        <v>488</v>
      </c>
      <c r="K226" t="s">
        <v>545</v>
      </c>
      <c r="L226" t="s">
        <v>542</v>
      </c>
      <c r="M226" t="s">
        <v>528</v>
      </c>
      <c r="N226" t="s">
        <v>526</v>
      </c>
      <c r="O226" t="s">
        <v>857</v>
      </c>
      <c r="P226" t="s">
        <v>508</v>
      </c>
      <c r="Q226">
        <v>0</v>
      </c>
      <c r="R226" t="s">
        <v>480</v>
      </c>
    </row>
    <row r="227" spans="1:18" x14ac:dyDescent="0.3">
      <c r="A227" t="s">
        <v>821</v>
      </c>
      <c r="B227" t="s">
        <v>889</v>
      </c>
      <c r="C227" t="s">
        <v>478</v>
      </c>
      <c r="D227" t="s">
        <v>508</v>
      </c>
      <c r="E227" t="s">
        <v>450</v>
      </c>
      <c r="F227" t="s">
        <v>479</v>
      </c>
      <c r="G227" t="s">
        <v>394</v>
      </c>
      <c r="H227" t="s">
        <v>391</v>
      </c>
      <c r="I227" t="s">
        <v>495</v>
      </c>
      <c r="J227" t="s">
        <v>439</v>
      </c>
      <c r="K227" t="s">
        <v>450</v>
      </c>
      <c r="L227" t="s">
        <v>542</v>
      </c>
      <c r="M227" t="s">
        <v>528</v>
      </c>
      <c r="N227" t="s">
        <v>526</v>
      </c>
      <c r="O227" t="s">
        <v>890</v>
      </c>
      <c r="P227" t="s">
        <v>508</v>
      </c>
      <c r="Q227">
        <v>0</v>
      </c>
      <c r="R227" t="s">
        <v>480</v>
      </c>
    </row>
    <row r="228" spans="1:18" x14ac:dyDescent="0.3">
      <c r="A228" t="s">
        <v>821</v>
      </c>
      <c r="B228" t="s">
        <v>889</v>
      </c>
      <c r="C228" t="s">
        <v>478</v>
      </c>
      <c r="D228" t="s">
        <v>508</v>
      </c>
      <c r="E228" t="s">
        <v>450</v>
      </c>
      <c r="F228" t="s">
        <v>479</v>
      </c>
      <c r="G228" t="s">
        <v>394</v>
      </c>
      <c r="H228" t="s">
        <v>391</v>
      </c>
      <c r="I228" t="s">
        <v>495</v>
      </c>
      <c r="J228" t="s">
        <v>439</v>
      </c>
      <c r="K228" t="s">
        <v>450</v>
      </c>
      <c r="L228" t="s">
        <v>542</v>
      </c>
      <c r="M228" t="s">
        <v>528</v>
      </c>
      <c r="N228" t="s">
        <v>526</v>
      </c>
      <c r="O228" t="s">
        <v>891</v>
      </c>
      <c r="P228" t="s">
        <v>508</v>
      </c>
      <c r="Q228">
        <v>0</v>
      </c>
      <c r="R228" t="s">
        <v>480</v>
      </c>
    </row>
    <row r="229" spans="1:18" x14ac:dyDescent="0.3">
      <c r="A229" t="s">
        <v>821</v>
      </c>
      <c r="B229" t="s">
        <v>889</v>
      </c>
      <c r="C229" t="s">
        <v>478</v>
      </c>
      <c r="D229" t="s">
        <v>508</v>
      </c>
      <c r="E229" t="s">
        <v>450</v>
      </c>
      <c r="F229" t="s">
        <v>479</v>
      </c>
      <c r="G229" t="s">
        <v>394</v>
      </c>
      <c r="H229" t="s">
        <v>391</v>
      </c>
      <c r="I229" t="s">
        <v>495</v>
      </c>
      <c r="J229" t="s">
        <v>439</v>
      </c>
      <c r="K229" t="s">
        <v>450</v>
      </c>
      <c r="L229" t="s">
        <v>542</v>
      </c>
      <c r="M229" t="s">
        <v>528</v>
      </c>
      <c r="N229" t="s">
        <v>586</v>
      </c>
      <c r="O229" t="s">
        <v>892</v>
      </c>
      <c r="P229" t="s">
        <v>508</v>
      </c>
      <c r="Q229">
        <v>0</v>
      </c>
      <c r="R229" t="s">
        <v>480</v>
      </c>
    </row>
    <row r="230" spans="1:18" x14ac:dyDescent="0.3">
      <c r="A230" t="s">
        <v>821</v>
      </c>
      <c r="B230" t="s">
        <v>483</v>
      </c>
      <c r="C230" t="s">
        <v>478</v>
      </c>
      <c r="D230" t="s">
        <v>508</v>
      </c>
      <c r="E230" t="s">
        <v>450</v>
      </c>
      <c r="F230" t="s">
        <v>479</v>
      </c>
      <c r="G230" t="s">
        <v>394</v>
      </c>
      <c r="H230" t="s">
        <v>391</v>
      </c>
      <c r="I230" t="s">
        <v>495</v>
      </c>
      <c r="J230" t="s">
        <v>439</v>
      </c>
      <c r="K230" t="s">
        <v>450</v>
      </c>
      <c r="L230" t="s">
        <v>542</v>
      </c>
      <c r="M230" t="s">
        <v>528</v>
      </c>
      <c r="N230" t="s">
        <v>586</v>
      </c>
      <c r="O230" t="s">
        <v>893</v>
      </c>
      <c r="P230" t="s">
        <v>508</v>
      </c>
      <c r="Q230">
        <v>0</v>
      </c>
      <c r="R230" t="s">
        <v>480</v>
      </c>
    </row>
    <row r="231" spans="1:18" x14ac:dyDescent="0.3">
      <c r="A231" t="s">
        <v>821</v>
      </c>
      <c r="B231" t="s">
        <v>483</v>
      </c>
      <c r="C231" t="s">
        <v>478</v>
      </c>
      <c r="D231" t="s">
        <v>508</v>
      </c>
      <c r="E231" t="s">
        <v>450</v>
      </c>
      <c r="F231" t="s">
        <v>479</v>
      </c>
      <c r="G231" t="s">
        <v>394</v>
      </c>
      <c r="H231" t="s">
        <v>391</v>
      </c>
      <c r="I231" t="s">
        <v>495</v>
      </c>
      <c r="J231" t="s">
        <v>439</v>
      </c>
      <c r="K231" t="s">
        <v>450</v>
      </c>
      <c r="L231" t="s">
        <v>542</v>
      </c>
      <c r="M231" t="s">
        <v>528</v>
      </c>
      <c r="N231" t="s">
        <v>586</v>
      </c>
      <c r="O231" t="s">
        <v>894</v>
      </c>
      <c r="P231" t="s">
        <v>508</v>
      </c>
      <c r="Q231">
        <v>0</v>
      </c>
      <c r="R231" t="s">
        <v>480</v>
      </c>
    </row>
    <row r="232" spans="1:18" x14ac:dyDescent="0.3">
      <c r="A232" t="s">
        <v>821</v>
      </c>
      <c r="B232" t="s">
        <v>483</v>
      </c>
      <c r="C232" t="s">
        <v>478</v>
      </c>
      <c r="D232" t="s">
        <v>508</v>
      </c>
      <c r="E232" t="s">
        <v>450</v>
      </c>
      <c r="F232" t="s">
        <v>479</v>
      </c>
      <c r="G232" t="s">
        <v>394</v>
      </c>
      <c r="H232" t="s">
        <v>391</v>
      </c>
      <c r="I232" t="s">
        <v>495</v>
      </c>
      <c r="J232" t="s">
        <v>439</v>
      </c>
      <c r="K232" t="s">
        <v>450</v>
      </c>
      <c r="L232" t="s">
        <v>542</v>
      </c>
      <c r="M232" t="s">
        <v>528</v>
      </c>
      <c r="N232" t="s">
        <v>586</v>
      </c>
      <c r="O232" t="s">
        <v>918</v>
      </c>
      <c r="P232" t="s">
        <v>508</v>
      </c>
      <c r="Q232">
        <v>0</v>
      </c>
      <c r="R232" t="s">
        <v>480</v>
      </c>
    </row>
    <row r="233" spans="1:18" x14ac:dyDescent="0.3">
      <c r="A233" t="s">
        <v>821</v>
      </c>
      <c r="B233" t="s">
        <v>483</v>
      </c>
      <c r="C233" t="s">
        <v>478</v>
      </c>
      <c r="D233" t="s">
        <v>508</v>
      </c>
      <c r="E233" t="s">
        <v>450</v>
      </c>
      <c r="F233" t="s">
        <v>479</v>
      </c>
      <c r="G233" t="s">
        <v>394</v>
      </c>
      <c r="H233" t="s">
        <v>391</v>
      </c>
      <c r="I233" t="s">
        <v>495</v>
      </c>
      <c r="J233" t="s">
        <v>439</v>
      </c>
      <c r="K233" t="s">
        <v>450</v>
      </c>
      <c r="L233" t="s">
        <v>542</v>
      </c>
      <c r="M233" t="s">
        <v>528</v>
      </c>
      <c r="N233" t="s">
        <v>586</v>
      </c>
      <c r="O233" t="s">
        <v>933</v>
      </c>
      <c r="P233" t="s">
        <v>508</v>
      </c>
      <c r="Q233">
        <v>0</v>
      </c>
      <c r="R233" t="s">
        <v>480</v>
      </c>
    </row>
    <row r="234" spans="1:18" x14ac:dyDescent="0.3">
      <c r="A234" t="s">
        <v>821</v>
      </c>
      <c r="B234" t="s">
        <v>483</v>
      </c>
      <c r="C234" t="s">
        <v>478</v>
      </c>
      <c r="D234" t="s">
        <v>508</v>
      </c>
      <c r="E234" t="s">
        <v>450</v>
      </c>
      <c r="F234" t="s">
        <v>479</v>
      </c>
      <c r="G234" t="s">
        <v>394</v>
      </c>
      <c r="H234" t="s">
        <v>391</v>
      </c>
      <c r="I234" t="s">
        <v>495</v>
      </c>
      <c r="J234" t="s">
        <v>439</v>
      </c>
      <c r="K234" t="s">
        <v>450</v>
      </c>
      <c r="L234" t="s">
        <v>542</v>
      </c>
      <c r="M234" t="s">
        <v>528</v>
      </c>
      <c r="N234" t="s">
        <v>586</v>
      </c>
      <c r="O234" t="s">
        <v>947</v>
      </c>
      <c r="P234" t="s">
        <v>508</v>
      </c>
      <c r="Q234">
        <v>0</v>
      </c>
      <c r="R234" t="s">
        <v>480</v>
      </c>
    </row>
    <row r="235" spans="1:18" x14ac:dyDescent="0.3">
      <c r="A235" t="s">
        <v>821</v>
      </c>
      <c r="B235" t="s">
        <v>483</v>
      </c>
      <c r="C235" t="s">
        <v>478</v>
      </c>
      <c r="D235" t="s">
        <v>508</v>
      </c>
      <c r="E235" t="s">
        <v>450</v>
      </c>
      <c r="F235" t="s">
        <v>479</v>
      </c>
      <c r="G235" t="s">
        <v>394</v>
      </c>
      <c r="H235" t="s">
        <v>391</v>
      </c>
      <c r="I235" t="s">
        <v>495</v>
      </c>
      <c r="J235" t="s">
        <v>439</v>
      </c>
      <c r="K235" t="s">
        <v>450</v>
      </c>
      <c r="L235" t="s">
        <v>542</v>
      </c>
      <c r="M235" t="s">
        <v>528</v>
      </c>
      <c r="N235" t="s">
        <v>586</v>
      </c>
      <c r="O235" t="s">
        <v>948</v>
      </c>
      <c r="P235" t="s">
        <v>508</v>
      </c>
      <c r="Q235">
        <v>0</v>
      </c>
      <c r="R235" t="s">
        <v>480</v>
      </c>
    </row>
    <row r="236" spans="1:18" x14ac:dyDescent="0.3">
      <c r="A236" t="s">
        <v>821</v>
      </c>
      <c r="B236" t="s">
        <v>483</v>
      </c>
      <c r="C236" t="s">
        <v>478</v>
      </c>
      <c r="D236" t="s">
        <v>508</v>
      </c>
      <c r="E236" t="s">
        <v>450</v>
      </c>
      <c r="F236" t="s">
        <v>479</v>
      </c>
      <c r="G236" t="s">
        <v>394</v>
      </c>
      <c r="H236" t="s">
        <v>391</v>
      </c>
      <c r="I236" t="s">
        <v>495</v>
      </c>
      <c r="J236" t="s">
        <v>439</v>
      </c>
      <c r="K236" t="s">
        <v>450</v>
      </c>
      <c r="L236" t="s">
        <v>542</v>
      </c>
      <c r="M236" t="s">
        <v>528</v>
      </c>
      <c r="N236" t="s">
        <v>586</v>
      </c>
      <c r="O236" t="s">
        <v>949</v>
      </c>
      <c r="P236" t="s">
        <v>508</v>
      </c>
      <c r="Q236">
        <v>0</v>
      </c>
      <c r="R236" t="s">
        <v>480</v>
      </c>
    </row>
    <row r="237" spans="1:18" x14ac:dyDescent="0.3">
      <c r="A237" t="s">
        <v>559</v>
      </c>
      <c r="B237" t="s">
        <v>827</v>
      </c>
      <c r="C237" t="s">
        <v>396</v>
      </c>
      <c r="D237" t="s">
        <v>508</v>
      </c>
      <c r="E237" t="s">
        <v>397</v>
      </c>
      <c r="F237" t="s">
        <v>479</v>
      </c>
      <c r="G237" t="s">
        <v>494</v>
      </c>
      <c r="H237" t="s">
        <v>419</v>
      </c>
      <c r="I237" t="s">
        <v>430</v>
      </c>
      <c r="J237" t="s">
        <v>398</v>
      </c>
      <c r="K237" t="s">
        <v>397</v>
      </c>
      <c r="L237" t="s">
        <v>534</v>
      </c>
      <c r="M237" t="s">
        <v>531</v>
      </c>
      <c r="N237" t="s">
        <v>586</v>
      </c>
      <c r="O237" t="s">
        <v>719</v>
      </c>
      <c r="P237" t="s">
        <v>508</v>
      </c>
      <c r="Q237">
        <v>1</v>
      </c>
      <c r="R237" t="s">
        <v>480</v>
      </c>
    </row>
    <row r="238" spans="1:18" x14ac:dyDescent="0.3">
      <c r="A238" t="s">
        <v>559</v>
      </c>
      <c r="B238" t="s">
        <v>828</v>
      </c>
      <c r="C238" t="s">
        <v>396</v>
      </c>
      <c r="D238" t="s">
        <v>508</v>
      </c>
      <c r="E238" t="s">
        <v>397</v>
      </c>
      <c r="F238" t="s">
        <v>479</v>
      </c>
      <c r="G238" t="s">
        <v>494</v>
      </c>
      <c r="H238" t="s">
        <v>419</v>
      </c>
      <c r="I238" t="s">
        <v>430</v>
      </c>
      <c r="J238" t="s">
        <v>398</v>
      </c>
      <c r="K238" t="s">
        <v>397</v>
      </c>
      <c r="L238" t="s">
        <v>534</v>
      </c>
      <c r="M238" t="s">
        <v>531</v>
      </c>
      <c r="N238" t="s">
        <v>586</v>
      </c>
      <c r="O238" t="s">
        <v>725</v>
      </c>
      <c r="P238" t="s">
        <v>508</v>
      </c>
      <c r="Q238">
        <v>1</v>
      </c>
      <c r="R238" t="s">
        <v>480</v>
      </c>
    </row>
    <row r="239" spans="1:18" x14ac:dyDescent="0.3">
      <c r="A239" t="s">
        <v>559</v>
      </c>
      <c r="B239" t="s">
        <v>828</v>
      </c>
      <c r="C239" t="s">
        <v>396</v>
      </c>
      <c r="D239" t="s">
        <v>508</v>
      </c>
      <c r="E239" t="s">
        <v>397</v>
      </c>
      <c r="F239" t="s">
        <v>479</v>
      </c>
      <c r="G239" t="s">
        <v>494</v>
      </c>
      <c r="H239" t="s">
        <v>419</v>
      </c>
      <c r="I239" t="s">
        <v>430</v>
      </c>
      <c r="J239" t="s">
        <v>398</v>
      </c>
      <c r="K239" t="s">
        <v>397</v>
      </c>
      <c r="L239" t="s">
        <v>534</v>
      </c>
      <c r="M239" t="s">
        <v>532</v>
      </c>
      <c r="N239" t="s">
        <v>586</v>
      </c>
      <c r="O239" t="s">
        <v>731</v>
      </c>
      <c r="P239" t="s">
        <v>508</v>
      </c>
      <c r="Q239">
        <v>1</v>
      </c>
      <c r="R239" t="s">
        <v>480</v>
      </c>
    </row>
    <row r="240" spans="1:18" x14ac:dyDescent="0.3">
      <c r="A240" t="s">
        <v>559</v>
      </c>
      <c r="B240" t="s">
        <v>829</v>
      </c>
      <c r="C240" t="s">
        <v>396</v>
      </c>
      <c r="D240" t="s">
        <v>508</v>
      </c>
      <c r="E240" t="s">
        <v>397</v>
      </c>
      <c r="F240" t="s">
        <v>479</v>
      </c>
      <c r="G240" t="s">
        <v>494</v>
      </c>
      <c r="H240" t="s">
        <v>419</v>
      </c>
      <c r="I240" t="s">
        <v>430</v>
      </c>
      <c r="J240" t="s">
        <v>398</v>
      </c>
      <c r="K240" t="s">
        <v>397</v>
      </c>
      <c r="L240" t="s">
        <v>534</v>
      </c>
      <c r="M240" t="s">
        <v>531</v>
      </c>
      <c r="N240" t="s">
        <v>586</v>
      </c>
      <c r="O240" t="s">
        <v>758</v>
      </c>
      <c r="P240" t="s">
        <v>508</v>
      </c>
      <c r="Q240">
        <v>1</v>
      </c>
      <c r="R240" t="s">
        <v>480</v>
      </c>
    </row>
    <row r="241" spans="1:18" x14ac:dyDescent="0.3">
      <c r="A241" t="s">
        <v>622</v>
      </c>
      <c r="B241" t="s">
        <v>829</v>
      </c>
      <c r="C241" t="s">
        <v>396</v>
      </c>
      <c r="D241" t="s">
        <v>508</v>
      </c>
      <c r="E241" t="s">
        <v>397</v>
      </c>
      <c r="F241" t="s">
        <v>479</v>
      </c>
      <c r="G241" t="s">
        <v>494</v>
      </c>
      <c r="H241" t="s">
        <v>419</v>
      </c>
      <c r="I241" t="s">
        <v>430</v>
      </c>
      <c r="J241" t="s">
        <v>398</v>
      </c>
      <c r="K241" t="s">
        <v>397</v>
      </c>
      <c r="L241" t="s">
        <v>534</v>
      </c>
      <c r="M241" t="s">
        <v>531</v>
      </c>
      <c r="N241" t="s">
        <v>586</v>
      </c>
      <c r="O241" t="s">
        <v>785</v>
      </c>
      <c r="P241" t="s">
        <v>508</v>
      </c>
      <c r="Q241">
        <v>1</v>
      </c>
      <c r="R241" t="s">
        <v>480</v>
      </c>
    </row>
    <row r="242" spans="1:18" x14ac:dyDescent="0.3">
      <c r="A242" t="s">
        <v>821</v>
      </c>
      <c r="B242" t="s">
        <v>483</v>
      </c>
      <c r="C242" t="s">
        <v>396</v>
      </c>
      <c r="D242" t="s">
        <v>508</v>
      </c>
      <c r="E242" t="s">
        <v>397</v>
      </c>
      <c r="F242" t="s">
        <v>479</v>
      </c>
      <c r="G242" t="s">
        <v>494</v>
      </c>
      <c r="H242" t="s">
        <v>419</v>
      </c>
      <c r="I242" t="s">
        <v>430</v>
      </c>
      <c r="J242" t="s">
        <v>398</v>
      </c>
      <c r="K242" t="s">
        <v>397</v>
      </c>
      <c r="L242" t="s">
        <v>534</v>
      </c>
      <c r="M242" t="s">
        <v>531</v>
      </c>
      <c r="N242" t="s">
        <v>586</v>
      </c>
      <c r="O242" t="s">
        <v>895</v>
      </c>
      <c r="P242" t="s">
        <v>508</v>
      </c>
      <c r="Q242">
        <v>0</v>
      </c>
      <c r="R242" t="s">
        <v>480</v>
      </c>
    </row>
    <row r="243" spans="1:18" x14ac:dyDescent="0.3">
      <c r="A243" t="s">
        <v>821</v>
      </c>
      <c r="B243" t="s">
        <v>483</v>
      </c>
      <c r="C243" t="s">
        <v>396</v>
      </c>
      <c r="D243" t="s">
        <v>508</v>
      </c>
      <c r="E243" t="s">
        <v>397</v>
      </c>
      <c r="F243" t="s">
        <v>479</v>
      </c>
      <c r="G243" t="s">
        <v>390</v>
      </c>
      <c r="H243" t="s">
        <v>391</v>
      </c>
      <c r="I243" t="s">
        <v>430</v>
      </c>
      <c r="J243" t="s">
        <v>398</v>
      </c>
      <c r="K243" t="s">
        <v>397</v>
      </c>
      <c r="L243" t="s">
        <v>534</v>
      </c>
      <c r="M243" t="s">
        <v>525</v>
      </c>
      <c r="N243" t="s">
        <v>586</v>
      </c>
      <c r="O243" t="s">
        <v>919</v>
      </c>
      <c r="P243" t="s">
        <v>508</v>
      </c>
      <c r="Q243">
        <v>0</v>
      </c>
      <c r="R243" t="s">
        <v>480</v>
      </c>
    </row>
    <row r="244" spans="1:18" x14ac:dyDescent="0.3">
      <c r="A244" t="s">
        <v>821</v>
      </c>
      <c r="B244" t="s">
        <v>483</v>
      </c>
      <c r="C244" t="s">
        <v>396</v>
      </c>
      <c r="D244" t="s">
        <v>508</v>
      </c>
      <c r="E244" t="s">
        <v>397</v>
      </c>
      <c r="F244" t="s">
        <v>479</v>
      </c>
      <c r="G244" t="s">
        <v>390</v>
      </c>
      <c r="H244" t="s">
        <v>391</v>
      </c>
      <c r="I244" t="s">
        <v>430</v>
      </c>
      <c r="J244" t="s">
        <v>398</v>
      </c>
      <c r="K244" t="s">
        <v>397</v>
      </c>
      <c r="L244" t="s">
        <v>534</v>
      </c>
      <c r="M244" t="s">
        <v>525</v>
      </c>
      <c r="N244" t="s">
        <v>586</v>
      </c>
      <c r="O244" t="s">
        <v>937</v>
      </c>
      <c r="P244" t="s">
        <v>508</v>
      </c>
      <c r="Q244">
        <v>0</v>
      </c>
      <c r="R244" t="s">
        <v>480</v>
      </c>
    </row>
    <row r="245" spans="1:18" x14ac:dyDescent="0.3">
      <c r="A245" t="s">
        <v>821</v>
      </c>
      <c r="B245" t="s">
        <v>483</v>
      </c>
      <c r="C245" t="s">
        <v>396</v>
      </c>
      <c r="D245" t="s">
        <v>508</v>
      </c>
      <c r="E245" t="s">
        <v>397</v>
      </c>
      <c r="F245" t="s">
        <v>479</v>
      </c>
      <c r="G245" t="s">
        <v>390</v>
      </c>
      <c r="H245" t="s">
        <v>391</v>
      </c>
      <c r="I245" t="s">
        <v>430</v>
      </c>
      <c r="J245" t="s">
        <v>398</v>
      </c>
      <c r="K245" t="s">
        <v>397</v>
      </c>
      <c r="L245" t="s">
        <v>534</v>
      </c>
      <c r="M245" t="s">
        <v>527</v>
      </c>
      <c r="N245" t="s">
        <v>586</v>
      </c>
      <c r="O245" t="s">
        <v>938</v>
      </c>
      <c r="P245" t="s">
        <v>508</v>
      </c>
      <c r="Q245">
        <v>0</v>
      </c>
      <c r="R245" t="s">
        <v>480</v>
      </c>
    </row>
    <row r="246" spans="1:18" x14ac:dyDescent="0.3">
      <c r="A246" t="s">
        <v>821</v>
      </c>
      <c r="B246" t="s">
        <v>483</v>
      </c>
      <c r="C246" t="s">
        <v>396</v>
      </c>
      <c r="D246" t="s">
        <v>508</v>
      </c>
      <c r="E246" t="s">
        <v>397</v>
      </c>
      <c r="F246" t="s">
        <v>479</v>
      </c>
      <c r="G246" t="s">
        <v>390</v>
      </c>
      <c r="H246" t="s">
        <v>391</v>
      </c>
      <c r="I246" t="s">
        <v>430</v>
      </c>
      <c r="J246" t="s">
        <v>398</v>
      </c>
      <c r="K246" t="s">
        <v>397</v>
      </c>
      <c r="L246" t="s">
        <v>534</v>
      </c>
      <c r="M246" t="s">
        <v>525</v>
      </c>
      <c r="N246" t="s">
        <v>586</v>
      </c>
      <c r="O246" t="s">
        <v>939</v>
      </c>
      <c r="P246" t="s">
        <v>508</v>
      </c>
      <c r="Q246">
        <v>0</v>
      </c>
      <c r="R246" t="s">
        <v>480</v>
      </c>
    </row>
    <row r="247" spans="1:18" x14ac:dyDescent="0.3">
      <c r="A247" t="s">
        <v>821</v>
      </c>
      <c r="B247" t="s">
        <v>483</v>
      </c>
      <c r="C247" t="s">
        <v>396</v>
      </c>
      <c r="D247" t="s">
        <v>508</v>
      </c>
      <c r="E247" t="s">
        <v>397</v>
      </c>
      <c r="F247" t="s">
        <v>479</v>
      </c>
      <c r="G247" t="s">
        <v>390</v>
      </c>
      <c r="H247" t="s">
        <v>391</v>
      </c>
      <c r="I247" t="s">
        <v>430</v>
      </c>
      <c r="J247" t="s">
        <v>398</v>
      </c>
      <c r="K247" t="s">
        <v>397</v>
      </c>
      <c r="L247" t="s">
        <v>534</v>
      </c>
      <c r="M247" t="s">
        <v>527</v>
      </c>
      <c r="N247" t="s">
        <v>586</v>
      </c>
      <c r="O247" t="s">
        <v>950</v>
      </c>
      <c r="P247" t="s">
        <v>508</v>
      </c>
      <c r="Q247">
        <v>0</v>
      </c>
      <c r="R247" t="s">
        <v>480</v>
      </c>
    </row>
    <row r="248" spans="1:18" x14ac:dyDescent="0.3">
      <c r="A248" t="s">
        <v>821</v>
      </c>
      <c r="B248" t="s">
        <v>483</v>
      </c>
      <c r="C248" t="s">
        <v>396</v>
      </c>
      <c r="D248" t="s">
        <v>508</v>
      </c>
      <c r="E248" t="s">
        <v>397</v>
      </c>
      <c r="F248" t="s">
        <v>479</v>
      </c>
      <c r="G248" t="s">
        <v>494</v>
      </c>
      <c r="H248" t="s">
        <v>419</v>
      </c>
      <c r="I248" t="s">
        <v>430</v>
      </c>
      <c r="J248" t="s">
        <v>398</v>
      </c>
      <c r="K248" t="s">
        <v>397</v>
      </c>
      <c r="L248" t="s">
        <v>534</v>
      </c>
      <c r="M248" t="s">
        <v>532</v>
      </c>
      <c r="N248" t="s">
        <v>586</v>
      </c>
      <c r="O248" t="s">
        <v>951</v>
      </c>
      <c r="P248" t="s">
        <v>508</v>
      </c>
      <c r="Q248">
        <v>0</v>
      </c>
      <c r="R248" t="s">
        <v>480</v>
      </c>
    </row>
    <row r="249" spans="1:18" x14ac:dyDescent="0.3">
      <c r="A249" t="s">
        <v>821</v>
      </c>
      <c r="B249" t="s">
        <v>483</v>
      </c>
      <c r="C249" t="s">
        <v>396</v>
      </c>
      <c r="D249" t="s">
        <v>508</v>
      </c>
      <c r="E249" t="s">
        <v>397</v>
      </c>
      <c r="F249" t="s">
        <v>479</v>
      </c>
      <c r="G249" t="s">
        <v>494</v>
      </c>
      <c r="H249" t="s">
        <v>419</v>
      </c>
      <c r="I249" t="s">
        <v>430</v>
      </c>
      <c r="J249" t="s">
        <v>398</v>
      </c>
      <c r="K249" t="s">
        <v>397</v>
      </c>
      <c r="L249" t="s">
        <v>534</v>
      </c>
      <c r="M249" t="s">
        <v>531</v>
      </c>
      <c r="N249" t="s">
        <v>586</v>
      </c>
      <c r="O249" t="s">
        <v>952</v>
      </c>
      <c r="P249" t="s">
        <v>508</v>
      </c>
      <c r="Q249">
        <v>0</v>
      </c>
      <c r="R249" t="s">
        <v>480</v>
      </c>
    </row>
    <row r="250" spans="1:18" x14ac:dyDescent="0.3">
      <c r="A250" t="s">
        <v>821</v>
      </c>
      <c r="B250" t="s">
        <v>483</v>
      </c>
      <c r="C250" t="s">
        <v>396</v>
      </c>
      <c r="D250" t="s">
        <v>508</v>
      </c>
      <c r="E250" t="s">
        <v>397</v>
      </c>
      <c r="F250" t="s">
        <v>479</v>
      </c>
      <c r="G250" t="s">
        <v>494</v>
      </c>
      <c r="H250" t="s">
        <v>419</v>
      </c>
      <c r="I250" t="s">
        <v>430</v>
      </c>
      <c r="J250" t="s">
        <v>398</v>
      </c>
      <c r="K250" t="s">
        <v>397</v>
      </c>
      <c r="L250" t="s">
        <v>534</v>
      </c>
      <c r="M250" t="s">
        <v>531</v>
      </c>
      <c r="N250" t="s">
        <v>586</v>
      </c>
      <c r="O250" t="s">
        <v>953</v>
      </c>
      <c r="P250" t="s">
        <v>508</v>
      </c>
      <c r="Q250">
        <v>0</v>
      </c>
      <c r="R250" t="s">
        <v>480</v>
      </c>
    </row>
    <row r="251" spans="1:18" x14ac:dyDescent="0.3">
      <c r="A251" t="s">
        <v>821</v>
      </c>
      <c r="B251" t="s">
        <v>483</v>
      </c>
      <c r="C251" t="s">
        <v>396</v>
      </c>
      <c r="D251" t="s">
        <v>508</v>
      </c>
      <c r="E251" t="s">
        <v>397</v>
      </c>
      <c r="F251" t="s">
        <v>479</v>
      </c>
      <c r="G251" t="s">
        <v>390</v>
      </c>
      <c r="H251" t="s">
        <v>391</v>
      </c>
      <c r="I251" t="s">
        <v>430</v>
      </c>
      <c r="J251" t="s">
        <v>398</v>
      </c>
      <c r="K251" t="s">
        <v>397</v>
      </c>
      <c r="L251" t="s">
        <v>534</v>
      </c>
      <c r="M251" t="s">
        <v>527</v>
      </c>
      <c r="N251" t="s">
        <v>586</v>
      </c>
      <c r="O251" t="s">
        <v>954</v>
      </c>
      <c r="P251" t="s">
        <v>508</v>
      </c>
      <c r="Q251">
        <v>0</v>
      </c>
      <c r="R251" t="s">
        <v>480</v>
      </c>
    </row>
    <row r="252" spans="1:18" x14ac:dyDescent="0.3">
      <c r="A252" t="s">
        <v>821</v>
      </c>
      <c r="B252" t="s">
        <v>483</v>
      </c>
      <c r="C252" t="s">
        <v>396</v>
      </c>
      <c r="D252" t="s">
        <v>508</v>
      </c>
      <c r="E252" t="s">
        <v>397</v>
      </c>
      <c r="F252" t="s">
        <v>479</v>
      </c>
      <c r="G252" t="s">
        <v>390</v>
      </c>
      <c r="H252" t="s">
        <v>391</v>
      </c>
      <c r="I252" t="s">
        <v>430</v>
      </c>
      <c r="J252" t="s">
        <v>398</v>
      </c>
      <c r="K252" t="s">
        <v>397</v>
      </c>
      <c r="L252" t="s">
        <v>534</v>
      </c>
      <c r="M252" t="s">
        <v>527</v>
      </c>
      <c r="N252" t="s">
        <v>586</v>
      </c>
      <c r="O252" t="s">
        <v>955</v>
      </c>
      <c r="P252" t="s">
        <v>508</v>
      </c>
      <c r="Q252">
        <v>0</v>
      </c>
      <c r="R252" t="s">
        <v>480</v>
      </c>
    </row>
    <row r="253" spans="1:18" x14ac:dyDescent="0.3">
      <c r="A253" t="s">
        <v>821</v>
      </c>
      <c r="B253" t="s">
        <v>483</v>
      </c>
      <c r="C253" t="s">
        <v>396</v>
      </c>
      <c r="D253" t="s">
        <v>508</v>
      </c>
      <c r="E253" t="s">
        <v>397</v>
      </c>
      <c r="F253" t="s">
        <v>479</v>
      </c>
      <c r="G253" t="s">
        <v>390</v>
      </c>
      <c r="H253" t="s">
        <v>391</v>
      </c>
      <c r="I253" t="s">
        <v>430</v>
      </c>
      <c r="J253" t="s">
        <v>398</v>
      </c>
      <c r="K253" t="s">
        <v>397</v>
      </c>
      <c r="L253" t="s">
        <v>534</v>
      </c>
      <c r="M253" t="s">
        <v>525</v>
      </c>
      <c r="N253" t="s">
        <v>586</v>
      </c>
      <c r="O253" t="s">
        <v>956</v>
      </c>
      <c r="P253" t="s">
        <v>508</v>
      </c>
      <c r="Q253">
        <v>0</v>
      </c>
      <c r="R253" t="s">
        <v>480</v>
      </c>
    </row>
    <row r="254" spans="1:18" x14ac:dyDescent="0.3">
      <c r="A254" t="s">
        <v>821</v>
      </c>
      <c r="B254" t="s">
        <v>483</v>
      </c>
      <c r="C254" t="s">
        <v>396</v>
      </c>
      <c r="D254" t="s">
        <v>508</v>
      </c>
      <c r="E254" t="s">
        <v>397</v>
      </c>
      <c r="F254" t="s">
        <v>479</v>
      </c>
      <c r="G254" t="s">
        <v>390</v>
      </c>
      <c r="H254" t="s">
        <v>391</v>
      </c>
      <c r="I254" t="s">
        <v>430</v>
      </c>
      <c r="J254" t="s">
        <v>398</v>
      </c>
      <c r="K254" t="s">
        <v>397</v>
      </c>
      <c r="L254" t="s">
        <v>534</v>
      </c>
      <c r="M254" t="s">
        <v>527</v>
      </c>
      <c r="N254" t="s">
        <v>586</v>
      </c>
      <c r="O254" t="s">
        <v>957</v>
      </c>
      <c r="P254" t="s">
        <v>508</v>
      </c>
      <c r="Q254">
        <v>0</v>
      </c>
      <c r="R254" t="s">
        <v>480</v>
      </c>
    </row>
    <row r="255" spans="1:18" x14ac:dyDescent="0.3">
      <c r="A255" t="s">
        <v>821</v>
      </c>
      <c r="B255" t="s">
        <v>483</v>
      </c>
      <c r="C255" t="s">
        <v>396</v>
      </c>
      <c r="D255" t="s">
        <v>508</v>
      </c>
      <c r="E255" t="s">
        <v>397</v>
      </c>
      <c r="F255" t="s">
        <v>479</v>
      </c>
      <c r="G255" t="s">
        <v>390</v>
      </c>
      <c r="H255" t="s">
        <v>391</v>
      </c>
      <c r="I255" t="s">
        <v>430</v>
      </c>
      <c r="J255" t="s">
        <v>398</v>
      </c>
      <c r="K255" t="s">
        <v>397</v>
      </c>
      <c r="L255" t="s">
        <v>534</v>
      </c>
      <c r="M255" t="s">
        <v>527</v>
      </c>
      <c r="N255" t="s">
        <v>586</v>
      </c>
      <c r="O255" t="s">
        <v>958</v>
      </c>
      <c r="P255" t="s">
        <v>508</v>
      </c>
      <c r="Q255">
        <v>0</v>
      </c>
      <c r="R255" t="s">
        <v>480</v>
      </c>
    </row>
    <row r="256" spans="1:18" x14ac:dyDescent="0.3">
      <c r="A256" t="s">
        <v>821</v>
      </c>
      <c r="B256" t="s">
        <v>483</v>
      </c>
      <c r="C256" t="s">
        <v>396</v>
      </c>
      <c r="D256" t="s">
        <v>508</v>
      </c>
      <c r="E256" t="s">
        <v>397</v>
      </c>
      <c r="F256" t="s">
        <v>479</v>
      </c>
      <c r="G256" t="s">
        <v>390</v>
      </c>
      <c r="H256" t="s">
        <v>391</v>
      </c>
      <c r="I256" t="s">
        <v>430</v>
      </c>
      <c r="J256" t="s">
        <v>398</v>
      </c>
      <c r="K256" t="s">
        <v>397</v>
      </c>
      <c r="L256" t="s">
        <v>534</v>
      </c>
      <c r="M256" t="s">
        <v>525</v>
      </c>
      <c r="N256" t="s">
        <v>586</v>
      </c>
      <c r="O256" t="s">
        <v>959</v>
      </c>
      <c r="P256" t="s">
        <v>508</v>
      </c>
      <c r="Q256">
        <v>0</v>
      </c>
      <c r="R256" t="s">
        <v>480</v>
      </c>
    </row>
    <row r="257" spans="1:18" x14ac:dyDescent="0.3">
      <c r="A257" t="s">
        <v>821</v>
      </c>
      <c r="B257" t="s">
        <v>483</v>
      </c>
      <c r="C257" t="s">
        <v>396</v>
      </c>
      <c r="D257" t="s">
        <v>508</v>
      </c>
      <c r="E257" t="s">
        <v>397</v>
      </c>
      <c r="F257" t="s">
        <v>479</v>
      </c>
      <c r="G257" t="s">
        <v>390</v>
      </c>
      <c r="H257" t="s">
        <v>391</v>
      </c>
      <c r="I257" t="s">
        <v>430</v>
      </c>
      <c r="J257" t="s">
        <v>398</v>
      </c>
      <c r="K257" t="s">
        <v>397</v>
      </c>
      <c r="L257" t="s">
        <v>534</v>
      </c>
      <c r="M257" t="s">
        <v>527</v>
      </c>
      <c r="N257" t="s">
        <v>586</v>
      </c>
      <c r="O257" t="s">
        <v>962</v>
      </c>
      <c r="P257" t="s">
        <v>508</v>
      </c>
      <c r="Q257">
        <v>0</v>
      </c>
      <c r="R257" t="s">
        <v>480</v>
      </c>
    </row>
    <row r="258" spans="1:18" x14ac:dyDescent="0.3">
      <c r="A258" t="s">
        <v>821</v>
      </c>
      <c r="B258" t="s">
        <v>483</v>
      </c>
      <c r="C258" t="s">
        <v>396</v>
      </c>
      <c r="D258" t="s">
        <v>508</v>
      </c>
      <c r="E258" t="s">
        <v>397</v>
      </c>
      <c r="F258" t="s">
        <v>479</v>
      </c>
      <c r="G258" t="s">
        <v>390</v>
      </c>
      <c r="H258" t="s">
        <v>391</v>
      </c>
      <c r="I258" t="s">
        <v>430</v>
      </c>
      <c r="J258" t="s">
        <v>398</v>
      </c>
      <c r="K258" t="s">
        <v>397</v>
      </c>
      <c r="L258" t="s">
        <v>534</v>
      </c>
      <c r="M258" t="s">
        <v>525</v>
      </c>
      <c r="N258" t="s">
        <v>586</v>
      </c>
      <c r="O258" t="s">
        <v>963</v>
      </c>
      <c r="P258" t="s">
        <v>508</v>
      </c>
      <c r="Q258">
        <v>0</v>
      </c>
      <c r="R258" t="s">
        <v>480</v>
      </c>
    </row>
    <row r="259" spans="1:18" x14ac:dyDescent="0.3">
      <c r="A259" t="s">
        <v>821</v>
      </c>
      <c r="B259" t="s">
        <v>483</v>
      </c>
      <c r="C259" t="s">
        <v>396</v>
      </c>
      <c r="D259" t="s">
        <v>508</v>
      </c>
      <c r="E259" t="s">
        <v>397</v>
      </c>
      <c r="F259" t="s">
        <v>479</v>
      </c>
      <c r="G259" t="s">
        <v>494</v>
      </c>
      <c r="H259" t="s">
        <v>419</v>
      </c>
      <c r="I259" t="s">
        <v>430</v>
      </c>
      <c r="J259" t="s">
        <v>398</v>
      </c>
      <c r="K259" t="s">
        <v>397</v>
      </c>
      <c r="L259" t="s">
        <v>534</v>
      </c>
      <c r="M259" t="s">
        <v>964</v>
      </c>
      <c r="N259" t="s">
        <v>586</v>
      </c>
      <c r="O259" t="s">
        <v>965</v>
      </c>
      <c r="P259" t="s">
        <v>508</v>
      </c>
      <c r="Q259">
        <v>0</v>
      </c>
      <c r="R259" t="s">
        <v>480</v>
      </c>
    </row>
    <row r="260" spans="1:18" x14ac:dyDescent="0.3">
      <c r="A260" t="s">
        <v>821</v>
      </c>
      <c r="B260" t="s">
        <v>483</v>
      </c>
      <c r="C260" t="s">
        <v>396</v>
      </c>
      <c r="D260" t="s">
        <v>508</v>
      </c>
      <c r="E260" t="s">
        <v>397</v>
      </c>
      <c r="F260" t="s">
        <v>479</v>
      </c>
      <c r="G260" t="s">
        <v>494</v>
      </c>
      <c r="H260" t="s">
        <v>419</v>
      </c>
      <c r="I260" t="s">
        <v>430</v>
      </c>
      <c r="J260" t="s">
        <v>398</v>
      </c>
      <c r="K260" t="s">
        <v>397</v>
      </c>
      <c r="L260" t="s">
        <v>534</v>
      </c>
      <c r="M260" t="s">
        <v>964</v>
      </c>
      <c r="N260" t="s">
        <v>586</v>
      </c>
      <c r="O260" t="s">
        <v>966</v>
      </c>
      <c r="P260" t="s">
        <v>508</v>
      </c>
      <c r="Q260">
        <v>0</v>
      </c>
      <c r="R260" t="s">
        <v>480</v>
      </c>
    </row>
    <row r="261" spans="1:18" x14ac:dyDescent="0.3">
      <c r="A261" t="s">
        <v>821</v>
      </c>
      <c r="B261" t="s">
        <v>483</v>
      </c>
      <c r="C261" t="s">
        <v>396</v>
      </c>
      <c r="D261" t="s">
        <v>508</v>
      </c>
      <c r="E261" t="s">
        <v>397</v>
      </c>
      <c r="F261" t="s">
        <v>479</v>
      </c>
      <c r="G261" t="s">
        <v>494</v>
      </c>
      <c r="H261" t="s">
        <v>419</v>
      </c>
      <c r="I261" t="s">
        <v>430</v>
      </c>
      <c r="J261" t="s">
        <v>398</v>
      </c>
      <c r="K261" t="s">
        <v>397</v>
      </c>
      <c r="L261" t="s">
        <v>534</v>
      </c>
      <c r="M261" t="s">
        <v>531</v>
      </c>
      <c r="N261" t="s">
        <v>586</v>
      </c>
      <c r="O261" t="s">
        <v>967</v>
      </c>
      <c r="P261" t="s">
        <v>508</v>
      </c>
      <c r="Q261">
        <v>0</v>
      </c>
      <c r="R261" t="s">
        <v>480</v>
      </c>
    </row>
    <row r="262" spans="1:18" x14ac:dyDescent="0.3">
      <c r="A262" t="s">
        <v>559</v>
      </c>
      <c r="B262" t="s">
        <v>665</v>
      </c>
      <c r="C262" t="s">
        <v>396</v>
      </c>
      <c r="D262" t="s">
        <v>508</v>
      </c>
      <c r="E262" t="s">
        <v>397</v>
      </c>
      <c r="F262" t="s">
        <v>479</v>
      </c>
      <c r="G262" t="s">
        <v>390</v>
      </c>
      <c r="H262" t="s">
        <v>391</v>
      </c>
      <c r="I262" t="s">
        <v>533</v>
      </c>
      <c r="J262" t="s">
        <v>398</v>
      </c>
      <c r="K262" t="s">
        <v>397</v>
      </c>
      <c r="L262" t="s">
        <v>534</v>
      </c>
      <c r="M262" t="s">
        <v>527</v>
      </c>
      <c r="N262" t="s">
        <v>526</v>
      </c>
      <c r="O262" t="s">
        <v>666</v>
      </c>
      <c r="P262" t="s">
        <v>508</v>
      </c>
      <c r="Q262">
        <v>1</v>
      </c>
      <c r="R262" t="s">
        <v>480</v>
      </c>
    </row>
    <row r="263" spans="1:18" x14ac:dyDescent="0.3">
      <c r="A263" t="s">
        <v>559</v>
      </c>
      <c r="B263" t="s">
        <v>665</v>
      </c>
      <c r="C263" t="s">
        <v>396</v>
      </c>
      <c r="D263" t="s">
        <v>508</v>
      </c>
      <c r="E263" t="s">
        <v>397</v>
      </c>
      <c r="F263" t="s">
        <v>479</v>
      </c>
      <c r="G263" t="s">
        <v>390</v>
      </c>
      <c r="H263" t="s">
        <v>391</v>
      </c>
      <c r="I263" t="s">
        <v>533</v>
      </c>
      <c r="J263" t="s">
        <v>398</v>
      </c>
      <c r="K263" t="s">
        <v>397</v>
      </c>
      <c r="L263" t="s">
        <v>534</v>
      </c>
      <c r="M263" t="s">
        <v>525</v>
      </c>
      <c r="N263" t="s">
        <v>526</v>
      </c>
      <c r="O263" t="s">
        <v>667</v>
      </c>
      <c r="P263" t="s">
        <v>508</v>
      </c>
      <c r="Q263">
        <v>1</v>
      </c>
      <c r="R263" t="s">
        <v>480</v>
      </c>
    </row>
    <row r="264" spans="1:18" x14ac:dyDescent="0.3">
      <c r="A264" t="s">
        <v>559</v>
      </c>
      <c r="B264" t="s">
        <v>665</v>
      </c>
      <c r="C264" t="s">
        <v>396</v>
      </c>
      <c r="D264" t="s">
        <v>508</v>
      </c>
      <c r="E264" t="s">
        <v>397</v>
      </c>
      <c r="F264" t="s">
        <v>479</v>
      </c>
      <c r="G264" t="s">
        <v>390</v>
      </c>
      <c r="H264" t="s">
        <v>391</v>
      </c>
      <c r="I264" t="s">
        <v>533</v>
      </c>
      <c r="J264" t="s">
        <v>398</v>
      </c>
      <c r="K264" t="s">
        <v>397</v>
      </c>
      <c r="L264" t="s">
        <v>534</v>
      </c>
      <c r="M264" t="s">
        <v>525</v>
      </c>
      <c r="N264" t="s">
        <v>526</v>
      </c>
      <c r="O264" t="s">
        <v>668</v>
      </c>
      <c r="P264" t="s">
        <v>508</v>
      </c>
      <c r="Q264">
        <v>1</v>
      </c>
      <c r="R264" t="s">
        <v>480</v>
      </c>
    </row>
    <row r="265" spans="1:18" x14ac:dyDescent="0.3">
      <c r="A265" t="s">
        <v>559</v>
      </c>
      <c r="B265" t="s">
        <v>665</v>
      </c>
      <c r="C265" t="s">
        <v>396</v>
      </c>
      <c r="D265" t="s">
        <v>508</v>
      </c>
      <c r="E265" t="s">
        <v>397</v>
      </c>
      <c r="F265" t="s">
        <v>479</v>
      </c>
      <c r="G265" t="s">
        <v>390</v>
      </c>
      <c r="H265" t="s">
        <v>391</v>
      </c>
      <c r="I265" t="s">
        <v>533</v>
      </c>
      <c r="J265" t="s">
        <v>398</v>
      </c>
      <c r="K265" t="s">
        <v>397</v>
      </c>
      <c r="L265" t="s">
        <v>534</v>
      </c>
      <c r="M265" t="s">
        <v>669</v>
      </c>
      <c r="N265" t="s">
        <v>526</v>
      </c>
      <c r="O265" t="s">
        <v>670</v>
      </c>
      <c r="P265" t="s">
        <v>508</v>
      </c>
      <c r="Q265">
        <v>1</v>
      </c>
      <c r="R265" t="s">
        <v>480</v>
      </c>
    </row>
    <row r="266" spans="1:18" x14ac:dyDescent="0.3">
      <c r="A266" t="s">
        <v>559</v>
      </c>
      <c r="B266" t="s">
        <v>665</v>
      </c>
      <c r="C266" t="s">
        <v>396</v>
      </c>
      <c r="D266" t="s">
        <v>508</v>
      </c>
      <c r="E266" t="s">
        <v>397</v>
      </c>
      <c r="F266" t="s">
        <v>479</v>
      </c>
      <c r="G266" t="s">
        <v>390</v>
      </c>
      <c r="H266" t="s">
        <v>391</v>
      </c>
      <c r="I266" t="s">
        <v>533</v>
      </c>
      <c r="J266" t="s">
        <v>398</v>
      </c>
      <c r="K266" t="s">
        <v>397</v>
      </c>
      <c r="L266" t="s">
        <v>534</v>
      </c>
      <c r="M266" t="s">
        <v>525</v>
      </c>
      <c r="N266" t="s">
        <v>526</v>
      </c>
      <c r="O266" t="s">
        <v>671</v>
      </c>
      <c r="P266" t="s">
        <v>508</v>
      </c>
      <c r="Q266">
        <v>1</v>
      </c>
      <c r="R266" t="s">
        <v>480</v>
      </c>
    </row>
    <row r="267" spans="1:18" x14ac:dyDescent="0.3">
      <c r="A267" t="s">
        <v>559</v>
      </c>
      <c r="B267" t="s">
        <v>689</v>
      </c>
      <c r="C267" t="s">
        <v>396</v>
      </c>
      <c r="D267" t="s">
        <v>508</v>
      </c>
      <c r="E267" t="s">
        <v>397</v>
      </c>
      <c r="F267" t="s">
        <v>479</v>
      </c>
      <c r="G267" t="s">
        <v>390</v>
      </c>
      <c r="H267" t="s">
        <v>391</v>
      </c>
      <c r="I267" t="s">
        <v>533</v>
      </c>
      <c r="J267" t="s">
        <v>398</v>
      </c>
      <c r="K267" t="s">
        <v>397</v>
      </c>
      <c r="L267" t="s">
        <v>534</v>
      </c>
      <c r="M267" t="s">
        <v>525</v>
      </c>
      <c r="N267" t="s">
        <v>526</v>
      </c>
      <c r="O267" t="s">
        <v>690</v>
      </c>
      <c r="P267" t="s">
        <v>508</v>
      </c>
      <c r="Q267">
        <v>1</v>
      </c>
      <c r="R267" t="s">
        <v>480</v>
      </c>
    </row>
    <row r="268" spans="1:18" x14ac:dyDescent="0.3">
      <c r="A268" t="s">
        <v>559</v>
      </c>
      <c r="B268" t="s">
        <v>689</v>
      </c>
      <c r="C268" t="s">
        <v>396</v>
      </c>
      <c r="D268" t="s">
        <v>508</v>
      </c>
      <c r="E268" t="s">
        <v>397</v>
      </c>
      <c r="F268" t="s">
        <v>479</v>
      </c>
      <c r="G268" t="s">
        <v>390</v>
      </c>
      <c r="H268" t="s">
        <v>391</v>
      </c>
      <c r="I268" t="s">
        <v>533</v>
      </c>
      <c r="J268" t="s">
        <v>398</v>
      </c>
      <c r="K268" t="s">
        <v>397</v>
      </c>
      <c r="L268" t="s">
        <v>534</v>
      </c>
      <c r="M268" t="s">
        <v>525</v>
      </c>
      <c r="N268" t="s">
        <v>526</v>
      </c>
      <c r="O268" t="s">
        <v>693</v>
      </c>
      <c r="P268" t="s">
        <v>508</v>
      </c>
      <c r="Q268">
        <v>1</v>
      </c>
      <c r="R268" t="s">
        <v>480</v>
      </c>
    </row>
    <row r="269" spans="1:18" x14ac:dyDescent="0.3">
      <c r="A269" t="s">
        <v>559</v>
      </c>
      <c r="B269" t="s">
        <v>689</v>
      </c>
      <c r="C269" t="s">
        <v>396</v>
      </c>
      <c r="D269" t="s">
        <v>508</v>
      </c>
      <c r="E269" t="s">
        <v>397</v>
      </c>
      <c r="F269" t="s">
        <v>479</v>
      </c>
      <c r="G269" t="s">
        <v>390</v>
      </c>
      <c r="H269" t="s">
        <v>391</v>
      </c>
      <c r="I269" t="s">
        <v>533</v>
      </c>
      <c r="J269" t="s">
        <v>398</v>
      </c>
      <c r="K269" t="s">
        <v>397</v>
      </c>
      <c r="L269" t="s">
        <v>534</v>
      </c>
      <c r="M269" t="s">
        <v>525</v>
      </c>
      <c r="N269" t="s">
        <v>586</v>
      </c>
      <c r="O269" t="s">
        <v>695</v>
      </c>
      <c r="P269" t="s">
        <v>508</v>
      </c>
      <c r="Q269">
        <v>1</v>
      </c>
      <c r="R269" t="s">
        <v>480</v>
      </c>
    </row>
    <row r="270" spans="1:18" x14ac:dyDescent="0.3">
      <c r="A270" t="s">
        <v>559</v>
      </c>
      <c r="B270" t="s">
        <v>689</v>
      </c>
      <c r="C270" t="s">
        <v>396</v>
      </c>
      <c r="D270" t="s">
        <v>508</v>
      </c>
      <c r="E270" t="s">
        <v>397</v>
      </c>
      <c r="F270" t="s">
        <v>479</v>
      </c>
      <c r="G270" t="s">
        <v>390</v>
      </c>
      <c r="H270" t="s">
        <v>391</v>
      </c>
      <c r="I270" t="s">
        <v>533</v>
      </c>
      <c r="J270" t="s">
        <v>398</v>
      </c>
      <c r="K270" t="s">
        <v>397</v>
      </c>
      <c r="L270" t="s">
        <v>534</v>
      </c>
      <c r="M270" t="s">
        <v>525</v>
      </c>
      <c r="N270" t="s">
        <v>526</v>
      </c>
      <c r="O270" t="s">
        <v>698</v>
      </c>
      <c r="P270" t="s">
        <v>508</v>
      </c>
      <c r="Q270">
        <v>1</v>
      </c>
      <c r="R270" t="s">
        <v>480</v>
      </c>
    </row>
    <row r="271" spans="1:18" x14ac:dyDescent="0.3">
      <c r="A271" t="s">
        <v>559</v>
      </c>
      <c r="B271" t="s">
        <v>689</v>
      </c>
      <c r="C271" t="s">
        <v>396</v>
      </c>
      <c r="D271" t="s">
        <v>508</v>
      </c>
      <c r="E271" t="s">
        <v>397</v>
      </c>
      <c r="F271" t="s">
        <v>479</v>
      </c>
      <c r="G271" t="s">
        <v>390</v>
      </c>
      <c r="H271" t="s">
        <v>391</v>
      </c>
      <c r="I271" t="s">
        <v>533</v>
      </c>
      <c r="J271" t="s">
        <v>398</v>
      </c>
      <c r="K271" t="s">
        <v>397</v>
      </c>
      <c r="L271" t="s">
        <v>534</v>
      </c>
      <c r="M271" t="s">
        <v>525</v>
      </c>
      <c r="N271" t="s">
        <v>526</v>
      </c>
      <c r="O271" t="s">
        <v>699</v>
      </c>
      <c r="P271" t="s">
        <v>508</v>
      </c>
      <c r="Q271">
        <v>1</v>
      </c>
      <c r="R271" t="s">
        <v>480</v>
      </c>
    </row>
    <row r="272" spans="1:18" x14ac:dyDescent="0.3">
      <c r="A272" t="s">
        <v>559</v>
      </c>
      <c r="B272" t="s">
        <v>689</v>
      </c>
      <c r="C272" t="s">
        <v>396</v>
      </c>
      <c r="D272" t="s">
        <v>508</v>
      </c>
      <c r="E272" t="s">
        <v>397</v>
      </c>
      <c r="F272" t="s">
        <v>479</v>
      </c>
      <c r="G272" t="s">
        <v>390</v>
      </c>
      <c r="H272" t="s">
        <v>391</v>
      </c>
      <c r="I272" t="s">
        <v>533</v>
      </c>
      <c r="J272" t="s">
        <v>398</v>
      </c>
      <c r="K272" t="s">
        <v>397</v>
      </c>
      <c r="L272" t="s">
        <v>534</v>
      </c>
      <c r="M272" t="s">
        <v>525</v>
      </c>
      <c r="N272" t="s">
        <v>526</v>
      </c>
      <c r="O272" t="s">
        <v>700</v>
      </c>
      <c r="P272" t="s">
        <v>508</v>
      </c>
      <c r="Q272">
        <v>1</v>
      </c>
      <c r="R272" t="s">
        <v>480</v>
      </c>
    </row>
    <row r="273" spans="1:18" x14ac:dyDescent="0.3">
      <c r="A273" t="s">
        <v>559</v>
      </c>
      <c r="B273" t="s">
        <v>689</v>
      </c>
      <c r="C273" t="s">
        <v>396</v>
      </c>
      <c r="D273" t="s">
        <v>508</v>
      </c>
      <c r="E273" t="s">
        <v>397</v>
      </c>
      <c r="F273" t="s">
        <v>479</v>
      </c>
      <c r="G273" t="s">
        <v>390</v>
      </c>
      <c r="H273" t="s">
        <v>391</v>
      </c>
      <c r="I273" t="s">
        <v>533</v>
      </c>
      <c r="J273" t="s">
        <v>398</v>
      </c>
      <c r="K273" t="s">
        <v>397</v>
      </c>
      <c r="L273" t="s">
        <v>534</v>
      </c>
      <c r="M273" t="s">
        <v>525</v>
      </c>
      <c r="N273" t="s">
        <v>526</v>
      </c>
      <c r="O273" t="s">
        <v>701</v>
      </c>
      <c r="P273" t="s">
        <v>508</v>
      </c>
      <c r="Q273">
        <v>1</v>
      </c>
      <c r="R273" t="s">
        <v>480</v>
      </c>
    </row>
    <row r="274" spans="1:18" x14ac:dyDescent="0.3">
      <c r="A274" t="s">
        <v>559</v>
      </c>
      <c r="B274" t="s">
        <v>689</v>
      </c>
      <c r="C274" t="s">
        <v>396</v>
      </c>
      <c r="D274" t="s">
        <v>508</v>
      </c>
      <c r="E274" t="s">
        <v>397</v>
      </c>
      <c r="F274" t="s">
        <v>479</v>
      </c>
      <c r="G274" t="s">
        <v>390</v>
      </c>
      <c r="H274" t="s">
        <v>391</v>
      </c>
      <c r="I274" t="s">
        <v>533</v>
      </c>
      <c r="J274" t="s">
        <v>398</v>
      </c>
      <c r="K274" t="s">
        <v>397</v>
      </c>
      <c r="L274" t="s">
        <v>534</v>
      </c>
      <c r="M274" t="s">
        <v>525</v>
      </c>
      <c r="N274" t="s">
        <v>526</v>
      </c>
      <c r="O274" t="s">
        <v>703</v>
      </c>
      <c r="P274" t="s">
        <v>508</v>
      </c>
      <c r="Q274">
        <v>1</v>
      </c>
      <c r="R274" t="s">
        <v>480</v>
      </c>
    </row>
    <row r="275" spans="1:18" x14ac:dyDescent="0.3">
      <c r="A275" t="s">
        <v>559</v>
      </c>
      <c r="B275" t="s">
        <v>827</v>
      </c>
      <c r="C275" t="s">
        <v>396</v>
      </c>
      <c r="D275" t="s">
        <v>508</v>
      </c>
      <c r="E275" t="s">
        <v>397</v>
      </c>
      <c r="F275" t="s">
        <v>479</v>
      </c>
      <c r="G275" t="s">
        <v>390</v>
      </c>
      <c r="H275" t="s">
        <v>391</v>
      </c>
      <c r="I275" t="s">
        <v>533</v>
      </c>
      <c r="J275" t="s">
        <v>398</v>
      </c>
      <c r="K275" t="s">
        <v>397</v>
      </c>
      <c r="L275" t="s">
        <v>534</v>
      </c>
      <c r="M275" t="s">
        <v>525</v>
      </c>
      <c r="N275" t="s">
        <v>586</v>
      </c>
      <c r="O275" t="s">
        <v>704</v>
      </c>
      <c r="P275" t="s">
        <v>508</v>
      </c>
      <c r="Q275">
        <v>1</v>
      </c>
      <c r="R275" t="s">
        <v>480</v>
      </c>
    </row>
    <row r="276" spans="1:18" x14ac:dyDescent="0.3">
      <c r="A276" t="s">
        <v>559</v>
      </c>
      <c r="B276" t="s">
        <v>689</v>
      </c>
      <c r="C276" t="s">
        <v>396</v>
      </c>
      <c r="D276" t="s">
        <v>508</v>
      </c>
      <c r="E276" t="s">
        <v>397</v>
      </c>
      <c r="F276" t="s">
        <v>479</v>
      </c>
      <c r="G276" t="s">
        <v>390</v>
      </c>
      <c r="H276" t="s">
        <v>391</v>
      </c>
      <c r="I276" t="s">
        <v>533</v>
      </c>
      <c r="J276" t="s">
        <v>398</v>
      </c>
      <c r="K276" t="s">
        <v>397</v>
      </c>
      <c r="L276" t="s">
        <v>534</v>
      </c>
      <c r="M276" t="s">
        <v>525</v>
      </c>
      <c r="N276" t="s">
        <v>586</v>
      </c>
      <c r="O276" t="s">
        <v>706</v>
      </c>
      <c r="P276" t="s">
        <v>508</v>
      </c>
      <c r="Q276">
        <v>1</v>
      </c>
      <c r="R276" t="s">
        <v>480</v>
      </c>
    </row>
    <row r="277" spans="1:18" x14ac:dyDescent="0.3">
      <c r="A277" t="s">
        <v>559</v>
      </c>
      <c r="B277" t="s">
        <v>827</v>
      </c>
      <c r="C277" t="s">
        <v>396</v>
      </c>
      <c r="D277" t="s">
        <v>508</v>
      </c>
      <c r="E277" t="s">
        <v>397</v>
      </c>
      <c r="F277" t="s">
        <v>479</v>
      </c>
      <c r="G277" t="s">
        <v>390</v>
      </c>
      <c r="H277" t="s">
        <v>391</v>
      </c>
      <c r="I277" t="s">
        <v>533</v>
      </c>
      <c r="J277" t="s">
        <v>398</v>
      </c>
      <c r="K277" t="s">
        <v>397</v>
      </c>
      <c r="L277" t="s">
        <v>534</v>
      </c>
      <c r="M277" t="s">
        <v>525</v>
      </c>
      <c r="N277" t="s">
        <v>586</v>
      </c>
      <c r="O277" t="s">
        <v>707</v>
      </c>
      <c r="P277" t="s">
        <v>508</v>
      </c>
      <c r="Q277">
        <v>1</v>
      </c>
      <c r="R277" t="s">
        <v>480</v>
      </c>
    </row>
    <row r="278" spans="1:18" x14ac:dyDescent="0.3">
      <c r="A278" t="s">
        <v>559</v>
      </c>
      <c r="B278" t="s">
        <v>689</v>
      </c>
      <c r="C278" t="s">
        <v>396</v>
      </c>
      <c r="D278" t="s">
        <v>508</v>
      </c>
      <c r="E278" t="s">
        <v>397</v>
      </c>
      <c r="F278" t="s">
        <v>479</v>
      </c>
      <c r="G278" t="s">
        <v>390</v>
      </c>
      <c r="H278" t="s">
        <v>391</v>
      </c>
      <c r="I278" t="s">
        <v>533</v>
      </c>
      <c r="J278" t="s">
        <v>398</v>
      </c>
      <c r="K278" t="s">
        <v>397</v>
      </c>
      <c r="L278" t="s">
        <v>534</v>
      </c>
      <c r="M278" t="s">
        <v>669</v>
      </c>
      <c r="N278" t="s">
        <v>586</v>
      </c>
      <c r="O278" t="s">
        <v>709</v>
      </c>
      <c r="P278" t="s">
        <v>508</v>
      </c>
      <c r="Q278">
        <v>1</v>
      </c>
      <c r="R278" t="s">
        <v>480</v>
      </c>
    </row>
    <row r="279" spans="1:18" x14ac:dyDescent="0.3">
      <c r="A279" t="s">
        <v>559</v>
      </c>
      <c r="B279" t="s">
        <v>689</v>
      </c>
      <c r="C279" t="s">
        <v>396</v>
      </c>
      <c r="D279" t="s">
        <v>508</v>
      </c>
      <c r="E279" t="s">
        <v>397</v>
      </c>
      <c r="F279" t="s">
        <v>479</v>
      </c>
      <c r="G279" t="s">
        <v>390</v>
      </c>
      <c r="H279" t="s">
        <v>391</v>
      </c>
      <c r="I279" t="s">
        <v>533</v>
      </c>
      <c r="J279" t="s">
        <v>398</v>
      </c>
      <c r="K279" t="s">
        <v>397</v>
      </c>
      <c r="L279" t="s">
        <v>534</v>
      </c>
      <c r="M279" t="s">
        <v>525</v>
      </c>
      <c r="N279" t="s">
        <v>586</v>
      </c>
      <c r="O279" t="s">
        <v>710</v>
      </c>
      <c r="P279" t="s">
        <v>508</v>
      </c>
      <c r="Q279">
        <v>1</v>
      </c>
      <c r="R279" t="s">
        <v>480</v>
      </c>
    </row>
    <row r="280" spans="1:18" x14ac:dyDescent="0.3">
      <c r="A280" t="s">
        <v>559</v>
      </c>
      <c r="B280" t="s">
        <v>827</v>
      </c>
      <c r="C280" t="s">
        <v>396</v>
      </c>
      <c r="D280" t="s">
        <v>508</v>
      </c>
      <c r="E280" t="s">
        <v>397</v>
      </c>
      <c r="F280" t="s">
        <v>479</v>
      </c>
      <c r="G280" t="s">
        <v>390</v>
      </c>
      <c r="H280" t="s">
        <v>391</v>
      </c>
      <c r="I280" t="s">
        <v>533</v>
      </c>
      <c r="J280" t="s">
        <v>398</v>
      </c>
      <c r="K280" t="s">
        <v>397</v>
      </c>
      <c r="L280" t="s">
        <v>534</v>
      </c>
      <c r="M280" t="s">
        <v>669</v>
      </c>
      <c r="N280" t="s">
        <v>586</v>
      </c>
      <c r="O280" t="s">
        <v>715</v>
      </c>
      <c r="P280" t="s">
        <v>508</v>
      </c>
      <c r="Q280">
        <v>1</v>
      </c>
      <c r="R280" t="s">
        <v>480</v>
      </c>
    </row>
    <row r="281" spans="1:18" x14ac:dyDescent="0.3">
      <c r="A281" t="s">
        <v>559</v>
      </c>
      <c r="B281" t="s">
        <v>827</v>
      </c>
      <c r="C281" t="s">
        <v>396</v>
      </c>
      <c r="D281" t="s">
        <v>508</v>
      </c>
      <c r="E281" t="s">
        <v>397</v>
      </c>
      <c r="F281" t="s">
        <v>479</v>
      </c>
      <c r="G281" t="s">
        <v>390</v>
      </c>
      <c r="H281" t="s">
        <v>391</v>
      </c>
      <c r="I281" t="s">
        <v>533</v>
      </c>
      <c r="J281" t="s">
        <v>398</v>
      </c>
      <c r="K281" t="s">
        <v>397</v>
      </c>
      <c r="L281" t="s">
        <v>534</v>
      </c>
      <c r="M281" t="s">
        <v>525</v>
      </c>
      <c r="N281" t="s">
        <v>586</v>
      </c>
      <c r="O281" t="s">
        <v>716</v>
      </c>
      <c r="P281" t="s">
        <v>508</v>
      </c>
      <c r="Q281">
        <v>1</v>
      </c>
      <c r="R281" t="s">
        <v>480</v>
      </c>
    </row>
    <row r="282" spans="1:18" x14ac:dyDescent="0.3">
      <c r="A282" t="s">
        <v>559</v>
      </c>
      <c r="B282" t="s">
        <v>827</v>
      </c>
      <c r="C282" t="s">
        <v>396</v>
      </c>
      <c r="D282" t="s">
        <v>508</v>
      </c>
      <c r="E282" t="s">
        <v>397</v>
      </c>
      <c r="F282" t="s">
        <v>479</v>
      </c>
      <c r="G282" t="s">
        <v>390</v>
      </c>
      <c r="H282" t="s">
        <v>391</v>
      </c>
      <c r="I282" t="s">
        <v>533</v>
      </c>
      <c r="J282" t="s">
        <v>398</v>
      </c>
      <c r="K282" t="s">
        <v>397</v>
      </c>
      <c r="L282" t="s">
        <v>534</v>
      </c>
      <c r="M282" t="s">
        <v>525</v>
      </c>
      <c r="N282" t="s">
        <v>586</v>
      </c>
      <c r="O282" t="s">
        <v>717</v>
      </c>
      <c r="P282" t="s">
        <v>508</v>
      </c>
      <c r="Q282">
        <v>1</v>
      </c>
      <c r="R282" t="s">
        <v>480</v>
      </c>
    </row>
    <row r="283" spans="1:18" x14ac:dyDescent="0.3">
      <c r="A283" t="s">
        <v>559</v>
      </c>
      <c r="B283" t="s">
        <v>827</v>
      </c>
      <c r="C283" t="s">
        <v>396</v>
      </c>
      <c r="D283" t="s">
        <v>508</v>
      </c>
      <c r="E283" t="s">
        <v>397</v>
      </c>
      <c r="F283" t="s">
        <v>479</v>
      </c>
      <c r="G283" t="s">
        <v>390</v>
      </c>
      <c r="H283" t="s">
        <v>391</v>
      </c>
      <c r="I283" t="s">
        <v>533</v>
      </c>
      <c r="J283" t="s">
        <v>398</v>
      </c>
      <c r="K283" t="s">
        <v>397</v>
      </c>
      <c r="L283" t="s">
        <v>534</v>
      </c>
      <c r="M283" t="s">
        <v>669</v>
      </c>
      <c r="N283" t="s">
        <v>586</v>
      </c>
      <c r="O283" t="s">
        <v>718</v>
      </c>
      <c r="P283" t="s">
        <v>508</v>
      </c>
      <c r="Q283">
        <v>1</v>
      </c>
      <c r="R283" t="s">
        <v>480</v>
      </c>
    </row>
    <row r="284" spans="1:18" x14ac:dyDescent="0.3">
      <c r="A284" t="s">
        <v>559</v>
      </c>
      <c r="B284" t="s">
        <v>827</v>
      </c>
      <c r="C284" t="s">
        <v>396</v>
      </c>
      <c r="D284" t="s">
        <v>508</v>
      </c>
      <c r="E284" t="s">
        <v>397</v>
      </c>
      <c r="F284" t="s">
        <v>479</v>
      </c>
      <c r="G284" t="s">
        <v>390</v>
      </c>
      <c r="H284" t="s">
        <v>391</v>
      </c>
      <c r="I284" t="s">
        <v>533</v>
      </c>
      <c r="J284" t="s">
        <v>398</v>
      </c>
      <c r="K284" t="s">
        <v>397</v>
      </c>
      <c r="L284" t="s">
        <v>534</v>
      </c>
      <c r="M284" t="s">
        <v>525</v>
      </c>
      <c r="N284" t="s">
        <v>586</v>
      </c>
      <c r="O284" t="s">
        <v>720</v>
      </c>
      <c r="P284" t="s">
        <v>508</v>
      </c>
      <c r="Q284">
        <v>1</v>
      </c>
      <c r="R284" t="s">
        <v>480</v>
      </c>
    </row>
    <row r="285" spans="1:18" x14ac:dyDescent="0.3">
      <c r="A285" t="s">
        <v>559</v>
      </c>
      <c r="B285" t="s">
        <v>827</v>
      </c>
      <c r="C285" t="s">
        <v>396</v>
      </c>
      <c r="D285" t="s">
        <v>508</v>
      </c>
      <c r="E285" t="s">
        <v>397</v>
      </c>
      <c r="F285" t="s">
        <v>479</v>
      </c>
      <c r="G285" t="s">
        <v>390</v>
      </c>
      <c r="H285" t="s">
        <v>391</v>
      </c>
      <c r="I285" t="s">
        <v>533</v>
      </c>
      <c r="J285" t="s">
        <v>398</v>
      </c>
      <c r="K285" t="s">
        <v>397</v>
      </c>
      <c r="L285" t="s">
        <v>534</v>
      </c>
      <c r="M285" t="s">
        <v>669</v>
      </c>
      <c r="N285" t="s">
        <v>586</v>
      </c>
      <c r="O285" t="s">
        <v>721</v>
      </c>
      <c r="P285" t="s">
        <v>508</v>
      </c>
      <c r="Q285">
        <v>1</v>
      </c>
      <c r="R285" t="s">
        <v>480</v>
      </c>
    </row>
    <row r="286" spans="1:18" x14ac:dyDescent="0.3">
      <c r="A286" t="s">
        <v>559</v>
      </c>
      <c r="B286" t="s">
        <v>827</v>
      </c>
      <c r="C286" t="s">
        <v>396</v>
      </c>
      <c r="D286" t="s">
        <v>508</v>
      </c>
      <c r="E286" t="s">
        <v>397</v>
      </c>
      <c r="F286" t="s">
        <v>479</v>
      </c>
      <c r="G286" t="s">
        <v>390</v>
      </c>
      <c r="H286" t="s">
        <v>391</v>
      </c>
      <c r="I286" t="s">
        <v>533</v>
      </c>
      <c r="J286" t="s">
        <v>398</v>
      </c>
      <c r="K286" t="s">
        <v>397</v>
      </c>
      <c r="L286" t="s">
        <v>534</v>
      </c>
      <c r="M286" t="s">
        <v>525</v>
      </c>
      <c r="N286" t="s">
        <v>586</v>
      </c>
      <c r="O286" t="s">
        <v>724</v>
      </c>
      <c r="P286" t="s">
        <v>508</v>
      </c>
      <c r="Q286">
        <v>1</v>
      </c>
      <c r="R286" t="s">
        <v>480</v>
      </c>
    </row>
    <row r="287" spans="1:18" x14ac:dyDescent="0.3">
      <c r="A287" t="s">
        <v>622</v>
      </c>
      <c r="B287" t="s">
        <v>828</v>
      </c>
      <c r="C287" t="s">
        <v>396</v>
      </c>
      <c r="D287" t="s">
        <v>508</v>
      </c>
      <c r="E287" t="s">
        <v>397</v>
      </c>
      <c r="F287" t="s">
        <v>479</v>
      </c>
      <c r="G287" t="s">
        <v>390</v>
      </c>
      <c r="H287" t="s">
        <v>391</v>
      </c>
      <c r="I287" t="s">
        <v>533</v>
      </c>
      <c r="J287" t="s">
        <v>398</v>
      </c>
      <c r="K287" t="s">
        <v>397</v>
      </c>
      <c r="L287" t="s">
        <v>534</v>
      </c>
      <c r="M287" t="s">
        <v>525</v>
      </c>
      <c r="N287" t="s">
        <v>586</v>
      </c>
      <c r="O287" t="s">
        <v>730</v>
      </c>
      <c r="P287" t="s">
        <v>508</v>
      </c>
      <c r="Q287">
        <v>1</v>
      </c>
      <c r="R287" t="s">
        <v>480</v>
      </c>
    </row>
    <row r="288" spans="1:18" x14ac:dyDescent="0.3">
      <c r="A288" t="s">
        <v>559</v>
      </c>
      <c r="B288" t="s">
        <v>828</v>
      </c>
      <c r="C288" t="s">
        <v>396</v>
      </c>
      <c r="D288" t="s">
        <v>508</v>
      </c>
      <c r="E288" t="s">
        <v>397</v>
      </c>
      <c r="F288" t="s">
        <v>479</v>
      </c>
      <c r="G288" t="s">
        <v>390</v>
      </c>
      <c r="H288" t="s">
        <v>391</v>
      </c>
      <c r="I288" t="s">
        <v>533</v>
      </c>
      <c r="J288" t="s">
        <v>398</v>
      </c>
      <c r="K288" t="s">
        <v>397</v>
      </c>
      <c r="L288" t="s">
        <v>534</v>
      </c>
      <c r="M288" t="s">
        <v>669</v>
      </c>
      <c r="N288" t="s">
        <v>586</v>
      </c>
      <c r="O288" t="s">
        <v>732</v>
      </c>
      <c r="P288" t="s">
        <v>508</v>
      </c>
      <c r="Q288">
        <v>1</v>
      </c>
      <c r="R288" t="s">
        <v>480</v>
      </c>
    </row>
    <row r="289" spans="1:18" x14ac:dyDescent="0.3">
      <c r="A289" t="s">
        <v>559</v>
      </c>
      <c r="B289" t="s">
        <v>828</v>
      </c>
      <c r="C289" t="s">
        <v>396</v>
      </c>
      <c r="D289" t="s">
        <v>508</v>
      </c>
      <c r="E289" t="s">
        <v>397</v>
      </c>
      <c r="F289" t="s">
        <v>479</v>
      </c>
      <c r="G289" t="s">
        <v>390</v>
      </c>
      <c r="H289" t="s">
        <v>391</v>
      </c>
      <c r="I289" t="s">
        <v>533</v>
      </c>
      <c r="J289" t="s">
        <v>398</v>
      </c>
      <c r="K289" t="s">
        <v>397</v>
      </c>
      <c r="L289" t="s">
        <v>534</v>
      </c>
      <c r="M289" t="s">
        <v>525</v>
      </c>
      <c r="N289" t="s">
        <v>586</v>
      </c>
      <c r="O289" t="s">
        <v>733</v>
      </c>
      <c r="P289" t="s">
        <v>508</v>
      </c>
      <c r="Q289">
        <v>1</v>
      </c>
      <c r="R289" t="s">
        <v>480</v>
      </c>
    </row>
    <row r="290" spans="1:18" x14ac:dyDescent="0.3">
      <c r="A290" t="s">
        <v>559</v>
      </c>
      <c r="B290" t="s">
        <v>828</v>
      </c>
      <c r="C290" t="s">
        <v>396</v>
      </c>
      <c r="D290" t="s">
        <v>508</v>
      </c>
      <c r="E290" t="s">
        <v>397</v>
      </c>
      <c r="F290" t="s">
        <v>479</v>
      </c>
      <c r="G290" t="s">
        <v>390</v>
      </c>
      <c r="H290" t="s">
        <v>391</v>
      </c>
      <c r="I290" t="s">
        <v>533</v>
      </c>
      <c r="J290" t="s">
        <v>398</v>
      </c>
      <c r="K290" t="s">
        <v>397</v>
      </c>
      <c r="L290" t="s">
        <v>534</v>
      </c>
      <c r="M290" t="s">
        <v>525</v>
      </c>
      <c r="N290" t="s">
        <v>586</v>
      </c>
      <c r="O290" t="s">
        <v>734</v>
      </c>
      <c r="P290" t="s">
        <v>508</v>
      </c>
      <c r="Q290">
        <v>1</v>
      </c>
      <c r="R290" t="s">
        <v>480</v>
      </c>
    </row>
    <row r="291" spans="1:18" x14ac:dyDescent="0.3">
      <c r="A291" t="s">
        <v>559</v>
      </c>
      <c r="B291" t="s">
        <v>828</v>
      </c>
      <c r="C291" t="s">
        <v>396</v>
      </c>
      <c r="D291" t="s">
        <v>508</v>
      </c>
      <c r="E291" t="s">
        <v>397</v>
      </c>
      <c r="F291" t="s">
        <v>479</v>
      </c>
      <c r="G291" t="s">
        <v>390</v>
      </c>
      <c r="H291" t="s">
        <v>391</v>
      </c>
      <c r="I291" t="s">
        <v>533</v>
      </c>
      <c r="J291" t="s">
        <v>398</v>
      </c>
      <c r="K291" t="s">
        <v>397</v>
      </c>
      <c r="L291" t="s">
        <v>534</v>
      </c>
      <c r="M291" t="s">
        <v>669</v>
      </c>
      <c r="N291" t="s">
        <v>586</v>
      </c>
      <c r="O291" t="s">
        <v>735</v>
      </c>
      <c r="P291" t="s">
        <v>508</v>
      </c>
      <c r="Q291">
        <v>1</v>
      </c>
      <c r="R291" t="s">
        <v>480</v>
      </c>
    </row>
    <row r="292" spans="1:18" x14ac:dyDescent="0.3">
      <c r="A292" t="s">
        <v>559</v>
      </c>
      <c r="B292" t="s">
        <v>828</v>
      </c>
      <c r="C292" t="s">
        <v>396</v>
      </c>
      <c r="D292" t="s">
        <v>508</v>
      </c>
      <c r="E292" t="s">
        <v>397</v>
      </c>
      <c r="F292" t="s">
        <v>479</v>
      </c>
      <c r="G292" t="s">
        <v>390</v>
      </c>
      <c r="H292" t="s">
        <v>391</v>
      </c>
      <c r="I292" t="s">
        <v>533</v>
      </c>
      <c r="J292" t="s">
        <v>398</v>
      </c>
      <c r="K292" t="s">
        <v>397</v>
      </c>
      <c r="L292" t="s">
        <v>534</v>
      </c>
      <c r="M292" t="s">
        <v>669</v>
      </c>
      <c r="N292" t="s">
        <v>586</v>
      </c>
      <c r="O292" t="s">
        <v>736</v>
      </c>
      <c r="P292" t="s">
        <v>508</v>
      </c>
      <c r="Q292">
        <v>1</v>
      </c>
      <c r="R292" t="s">
        <v>480</v>
      </c>
    </row>
    <row r="293" spans="1:18" x14ac:dyDescent="0.3">
      <c r="A293" t="s">
        <v>622</v>
      </c>
      <c r="B293" t="s">
        <v>829</v>
      </c>
      <c r="C293" t="s">
        <v>396</v>
      </c>
      <c r="D293" t="s">
        <v>508</v>
      </c>
      <c r="E293" t="s">
        <v>397</v>
      </c>
      <c r="F293" t="s">
        <v>479</v>
      </c>
      <c r="G293" t="s">
        <v>390</v>
      </c>
      <c r="H293" t="s">
        <v>391</v>
      </c>
      <c r="I293" t="s">
        <v>533</v>
      </c>
      <c r="J293" t="s">
        <v>398</v>
      </c>
      <c r="K293" t="s">
        <v>397</v>
      </c>
      <c r="L293" t="s">
        <v>534</v>
      </c>
      <c r="M293" t="s">
        <v>525</v>
      </c>
      <c r="N293" t="s">
        <v>586</v>
      </c>
      <c r="O293" t="s">
        <v>755</v>
      </c>
      <c r="P293" t="s">
        <v>508</v>
      </c>
      <c r="Q293">
        <v>1</v>
      </c>
      <c r="R293" t="s">
        <v>480</v>
      </c>
    </row>
    <row r="294" spans="1:18" x14ac:dyDescent="0.3">
      <c r="A294" t="s">
        <v>622</v>
      </c>
      <c r="B294" t="s">
        <v>829</v>
      </c>
      <c r="C294" t="s">
        <v>396</v>
      </c>
      <c r="D294" t="s">
        <v>508</v>
      </c>
      <c r="E294" t="s">
        <v>397</v>
      </c>
      <c r="F294" t="s">
        <v>479</v>
      </c>
      <c r="G294" t="s">
        <v>390</v>
      </c>
      <c r="H294" t="s">
        <v>391</v>
      </c>
      <c r="I294" t="s">
        <v>533</v>
      </c>
      <c r="J294" t="s">
        <v>398</v>
      </c>
      <c r="K294" t="s">
        <v>397</v>
      </c>
      <c r="L294" t="s">
        <v>534</v>
      </c>
      <c r="M294" t="s">
        <v>669</v>
      </c>
      <c r="N294" t="s">
        <v>586</v>
      </c>
      <c r="O294" t="s">
        <v>756</v>
      </c>
      <c r="P294" t="s">
        <v>508</v>
      </c>
      <c r="Q294">
        <v>1</v>
      </c>
      <c r="R294" t="s">
        <v>480</v>
      </c>
    </row>
    <row r="295" spans="1:18" x14ac:dyDescent="0.3">
      <c r="A295" t="s">
        <v>622</v>
      </c>
      <c r="B295" t="s">
        <v>829</v>
      </c>
      <c r="C295" t="s">
        <v>396</v>
      </c>
      <c r="D295" t="s">
        <v>508</v>
      </c>
      <c r="E295" t="s">
        <v>397</v>
      </c>
      <c r="F295" t="s">
        <v>479</v>
      </c>
      <c r="G295" t="s">
        <v>390</v>
      </c>
      <c r="H295" t="s">
        <v>391</v>
      </c>
      <c r="I295" t="s">
        <v>533</v>
      </c>
      <c r="J295" t="s">
        <v>398</v>
      </c>
      <c r="K295" t="s">
        <v>397</v>
      </c>
      <c r="L295" t="s">
        <v>534</v>
      </c>
      <c r="M295" t="s">
        <v>525</v>
      </c>
      <c r="N295" t="s">
        <v>586</v>
      </c>
      <c r="O295" t="s">
        <v>757</v>
      </c>
      <c r="P295" t="s">
        <v>508</v>
      </c>
      <c r="Q295">
        <v>1</v>
      </c>
      <c r="R295" t="s">
        <v>480</v>
      </c>
    </row>
    <row r="296" spans="1:18" x14ac:dyDescent="0.3">
      <c r="A296" t="s">
        <v>559</v>
      </c>
      <c r="B296" t="s">
        <v>829</v>
      </c>
      <c r="C296" t="s">
        <v>396</v>
      </c>
      <c r="D296" t="s">
        <v>508</v>
      </c>
      <c r="E296" t="s">
        <v>397</v>
      </c>
      <c r="F296" t="s">
        <v>479</v>
      </c>
      <c r="G296" t="s">
        <v>390</v>
      </c>
      <c r="H296" t="s">
        <v>391</v>
      </c>
      <c r="I296" t="s">
        <v>533</v>
      </c>
      <c r="J296" t="s">
        <v>398</v>
      </c>
      <c r="K296" t="s">
        <v>397</v>
      </c>
      <c r="L296" t="s">
        <v>534</v>
      </c>
      <c r="M296" t="s">
        <v>525</v>
      </c>
      <c r="N296" t="s">
        <v>586</v>
      </c>
      <c r="O296" t="s">
        <v>759</v>
      </c>
      <c r="P296" t="s">
        <v>508</v>
      </c>
      <c r="Q296">
        <v>1</v>
      </c>
      <c r="R296" t="s">
        <v>480</v>
      </c>
    </row>
    <row r="297" spans="1:18" x14ac:dyDescent="0.3">
      <c r="A297" t="s">
        <v>622</v>
      </c>
      <c r="B297" t="s">
        <v>829</v>
      </c>
      <c r="C297" t="s">
        <v>396</v>
      </c>
      <c r="D297" t="s">
        <v>508</v>
      </c>
      <c r="E297" t="s">
        <v>397</v>
      </c>
      <c r="F297" t="s">
        <v>479</v>
      </c>
      <c r="G297" t="s">
        <v>390</v>
      </c>
      <c r="H297" t="s">
        <v>391</v>
      </c>
      <c r="I297" t="s">
        <v>533</v>
      </c>
      <c r="J297" t="s">
        <v>398</v>
      </c>
      <c r="K297" t="s">
        <v>397</v>
      </c>
      <c r="L297" t="s">
        <v>534</v>
      </c>
      <c r="M297" t="s">
        <v>525</v>
      </c>
      <c r="N297" t="s">
        <v>586</v>
      </c>
      <c r="O297" t="s">
        <v>771</v>
      </c>
      <c r="P297" t="s">
        <v>508</v>
      </c>
      <c r="Q297">
        <v>1</v>
      </c>
      <c r="R297" t="s">
        <v>480</v>
      </c>
    </row>
    <row r="298" spans="1:18" x14ac:dyDescent="0.3">
      <c r="A298" t="s">
        <v>622</v>
      </c>
      <c r="B298" t="s">
        <v>829</v>
      </c>
      <c r="C298" t="s">
        <v>396</v>
      </c>
      <c r="D298" t="s">
        <v>508</v>
      </c>
      <c r="E298" t="s">
        <v>397</v>
      </c>
      <c r="F298" t="s">
        <v>479</v>
      </c>
      <c r="G298" t="s">
        <v>390</v>
      </c>
      <c r="H298" t="s">
        <v>391</v>
      </c>
      <c r="I298" t="s">
        <v>533</v>
      </c>
      <c r="J298" t="s">
        <v>398</v>
      </c>
      <c r="K298" t="s">
        <v>397</v>
      </c>
      <c r="L298" t="s">
        <v>534</v>
      </c>
      <c r="M298" t="s">
        <v>525</v>
      </c>
      <c r="N298" t="s">
        <v>586</v>
      </c>
      <c r="O298" t="s">
        <v>772</v>
      </c>
      <c r="P298" t="s">
        <v>508</v>
      </c>
      <c r="Q298">
        <v>1</v>
      </c>
      <c r="R298" t="s">
        <v>480</v>
      </c>
    </row>
    <row r="299" spans="1:18" x14ac:dyDescent="0.3">
      <c r="A299" t="s">
        <v>622</v>
      </c>
      <c r="B299" t="s">
        <v>829</v>
      </c>
      <c r="C299" t="s">
        <v>396</v>
      </c>
      <c r="D299" t="s">
        <v>508</v>
      </c>
      <c r="E299" t="s">
        <v>397</v>
      </c>
      <c r="F299" t="s">
        <v>479</v>
      </c>
      <c r="G299" t="s">
        <v>390</v>
      </c>
      <c r="H299" t="s">
        <v>391</v>
      </c>
      <c r="I299" t="s">
        <v>533</v>
      </c>
      <c r="J299" t="s">
        <v>398</v>
      </c>
      <c r="K299" t="s">
        <v>397</v>
      </c>
      <c r="L299" t="s">
        <v>534</v>
      </c>
      <c r="M299" t="s">
        <v>669</v>
      </c>
      <c r="N299" t="s">
        <v>586</v>
      </c>
      <c r="O299" t="s">
        <v>773</v>
      </c>
      <c r="P299" t="s">
        <v>508</v>
      </c>
      <c r="Q299">
        <v>1</v>
      </c>
      <c r="R299" t="s">
        <v>480</v>
      </c>
    </row>
    <row r="300" spans="1:18" x14ac:dyDescent="0.3">
      <c r="A300" t="s">
        <v>622</v>
      </c>
      <c r="B300" t="s">
        <v>829</v>
      </c>
      <c r="C300" t="s">
        <v>396</v>
      </c>
      <c r="D300" t="s">
        <v>508</v>
      </c>
      <c r="E300" t="s">
        <v>397</v>
      </c>
      <c r="F300" t="s">
        <v>479</v>
      </c>
      <c r="G300" t="s">
        <v>390</v>
      </c>
      <c r="H300" t="s">
        <v>391</v>
      </c>
      <c r="I300" t="s">
        <v>533</v>
      </c>
      <c r="J300" t="s">
        <v>398</v>
      </c>
      <c r="K300" t="s">
        <v>397</v>
      </c>
      <c r="L300" t="s">
        <v>534</v>
      </c>
      <c r="M300" t="s">
        <v>527</v>
      </c>
      <c r="N300" t="s">
        <v>586</v>
      </c>
      <c r="O300" t="s">
        <v>784</v>
      </c>
      <c r="P300" t="s">
        <v>508</v>
      </c>
      <c r="Q300">
        <v>1</v>
      </c>
      <c r="R300" t="s">
        <v>480</v>
      </c>
    </row>
    <row r="301" spans="1:18" x14ac:dyDescent="0.3">
      <c r="A301" t="s">
        <v>559</v>
      </c>
      <c r="B301" t="s">
        <v>483</v>
      </c>
      <c r="C301" t="s">
        <v>396</v>
      </c>
      <c r="D301" t="s">
        <v>508</v>
      </c>
      <c r="E301" t="s">
        <v>397</v>
      </c>
      <c r="F301" t="s">
        <v>479</v>
      </c>
      <c r="G301" t="s">
        <v>390</v>
      </c>
      <c r="H301" t="s">
        <v>391</v>
      </c>
      <c r="I301" t="s">
        <v>533</v>
      </c>
      <c r="J301" t="s">
        <v>398</v>
      </c>
      <c r="K301" t="s">
        <v>397</v>
      </c>
      <c r="L301" t="s">
        <v>534</v>
      </c>
      <c r="M301" t="s">
        <v>669</v>
      </c>
      <c r="N301" t="s">
        <v>526</v>
      </c>
      <c r="O301" t="s">
        <v>697</v>
      </c>
      <c r="P301" t="s">
        <v>508</v>
      </c>
      <c r="Q301">
        <v>0</v>
      </c>
      <c r="R301" t="s">
        <v>480</v>
      </c>
    </row>
    <row r="302" spans="1:18" x14ac:dyDescent="0.3">
      <c r="A302" t="s">
        <v>559</v>
      </c>
      <c r="B302" t="s">
        <v>483</v>
      </c>
      <c r="C302" t="s">
        <v>396</v>
      </c>
      <c r="D302" t="s">
        <v>508</v>
      </c>
      <c r="E302" t="s">
        <v>397</v>
      </c>
      <c r="F302" t="s">
        <v>479</v>
      </c>
      <c r="G302" t="s">
        <v>390</v>
      </c>
      <c r="H302" t="s">
        <v>391</v>
      </c>
      <c r="I302" t="s">
        <v>533</v>
      </c>
      <c r="J302" t="s">
        <v>398</v>
      </c>
      <c r="K302" t="s">
        <v>397</v>
      </c>
      <c r="L302" t="s">
        <v>534</v>
      </c>
      <c r="M302" t="s">
        <v>669</v>
      </c>
      <c r="N302" t="s">
        <v>526</v>
      </c>
      <c r="O302" t="s">
        <v>702</v>
      </c>
      <c r="P302" t="s">
        <v>508</v>
      </c>
      <c r="Q302">
        <v>0</v>
      </c>
      <c r="R302" t="s">
        <v>480</v>
      </c>
    </row>
    <row r="303" spans="1:18" x14ac:dyDescent="0.3">
      <c r="A303" t="s">
        <v>622</v>
      </c>
      <c r="B303" t="s">
        <v>896</v>
      </c>
      <c r="C303" t="s">
        <v>396</v>
      </c>
      <c r="D303" t="s">
        <v>508</v>
      </c>
      <c r="E303" t="s">
        <v>397</v>
      </c>
      <c r="F303" t="s">
        <v>479</v>
      </c>
      <c r="G303" t="s">
        <v>390</v>
      </c>
      <c r="H303" t="s">
        <v>391</v>
      </c>
      <c r="I303" t="s">
        <v>533</v>
      </c>
      <c r="J303" t="s">
        <v>398</v>
      </c>
      <c r="K303" t="s">
        <v>397</v>
      </c>
      <c r="L303" t="s">
        <v>534</v>
      </c>
      <c r="M303" t="s">
        <v>525</v>
      </c>
      <c r="N303" t="s">
        <v>586</v>
      </c>
      <c r="O303" t="s">
        <v>800</v>
      </c>
      <c r="P303" t="s">
        <v>508</v>
      </c>
      <c r="Q303">
        <v>0</v>
      </c>
      <c r="R303" t="s">
        <v>480</v>
      </c>
    </row>
    <row r="304" spans="1:18" x14ac:dyDescent="0.3">
      <c r="A304" t="s">
        <v>622</v>
      </c>
      <c r="B304" t="s">
        <v>896</v>
      </c>
      <c r="C304" t="s">
        <v>396</v>
      </c>
      <c r="D304" t="s">
        <v>508</v>
      </c>
      <c r="E304" t="s">
        <v>397</v>
      </c>
      <c r="F304" t="s">
        <v>479</v>
      </c>
      <c r="G304" t="s">
        <v>390</v>
      </c>
      <c r="H304" t="s">
        <v>391</v>
      </c>
      <c r="I304" t="s">
        <v>533</v>
      </c>
      <c r="J304" t="s">
        <v>398</v>
      </c>
      <c r="K304" t="s">
        <v>397</v>
      </c>
      <c r="L304" t="s">
        <v>534</v>
      </c>
      <c r="M304" t="s">
        <v>527</v>
      </c>
      <c r="N304" t="s">
        <v>586</v>
      </c>
      <c r="O304" t="s">
        <v>801</v>
      </c>
      <c r="P304" t="s">
        <v>508</v>
      </c>
      <c r="Q304">
        <v>0</v>
      </c>
      <c r="R304" t="s">
        <v>480</v>
      </c>
    </row>
    <row r="305" spans="1:18" x14ac:dyDescent="0.3">
      <c r="A305" t="s">
        <v>622</v>
      </c>
      <c r="B305" t="s">
        <v>896</v>
      </c>
      <c r="C305" t="s">
        <v>396</v>
      </c>
      <c r="D305" t="s">
        <v>508</v>
      </c>
      <c r="E305" t="s">
        <v>397</v>
      </c>
      <c r="F305" t="s">
        <v>479</v>
      </c>
      <c r="G305" t="s">
        <v>390</v>
      </c>
      <c r="H305" t="s">
        <v>391</v>
      </c>
      <c r="I305" t="s">
        <v>533</v>
      </c>
      <c r="J305" t="s">
        <v>398</v>
      </c>
      <c r="K305" t="s">
        <v>397</v>
      </c>
      <c r="L305" t="s">
        <v>534</v>
      </c>
      <c r="M305" t="s">
        <v>525</v>
      </c>
      <c r="N305" t="s">
        <v>586</v>
      </c>
      <c r="O305" t="s">
        <v>802</v>
      </c>
      <c r="P305" t="s">
        <v>508</v>
      </c>
      <c r="Q305">
        <v>0</v>
      </c>
      <c r="R305" t="s">
        <v>480</v>
      </c>
    </row>
    <row r="306" spans="1:18" x14ac:dyDescent="0.3">
      <c r="A306" t="s">
        <v>622</v>
      </c>
      <c r="B306" t="s">
        <v>896</v>
      </c>
      <c r="C306" t="s">
        <v>396</v>
      </c>
      <c r="D306" t="s">
        <v>508</v>
      </c>
      <c r="E306" t="s">
        <v>397</v>
      </c>
      <c r="F306" t="s">
        <v>479</v>
      </c>
      <c r="G306" t="s">
        <v>390</v>
      </c>
      <c r="H306" t="s">
        <v>391</v>
      </c>
      <c r="I306" t="s">
        <v>533</v>
      </c>
      <c r="J306" t="s">
        <v>398</v>
      </c>
      <c r="K306" t="s">
        <v>397</v>
      </c>
      <c r="L306" t="s">
        <v>534</v>
      </c>
      <c r="M306" t="s">
        <v>527</v>
      </c>
      <c r="N306" t="s">
        <v>586</v>
      </c>
      <c r="O306" t="s">
        <v>803</v>
      </c>
      <c r="P306" t="s">
        <v>508</v>
      </c>
      <c r="Q306">
        <v>0</v>
      </c>
      <c r="R306" t="s">
        <v>480</v>
      </c>
    </row>
    <row r="307" spans="1:18" x14ac:dyDescent="0.3">
      <c r="A307" t="s">
        <v>622</v>
      </c>
      <c r="B307" t="s">
        <v>896</v>
      </c>
      <c r="C307" t="s">
        <v>396</v>
      </c>
      <c r="D307" t="s">
        <v>508</v>
      </c>
      <c r="E307" t="s">
        <v>397</v>
      </c>
      <c r="F307" t="s">
        <v>479</v>
      </c>
      <c r="G307" t="s">
        <v>390</v>
      </c>
      <c r="H307" t="s">
        <v>391</v>
      </c>
      <c r="I307" t="s">
        <v>533</v>
      </c>
      <c r="J307" t="s">
        <v>398</v>
      </c>
      <c r="K307" t="s">
        <v>397</v>
      </c>
      <c r="L307" t="s">
        <v>534</v>
      </c>
      <c r="M307" t="s">
        <v>527</v>
      </c>
      <c r="N307" t="s">
        <v>586</v>
      </c>
      <c r="O307" t="s">
        <v>830</v>
      </c>
      <c r="P307" t="s">
        <v>508</v>
      </c>
      <c r="Q307">
        <v>0</v>
      </c>
      <c r="R307" t="s">
        <v>480</v>
      </c>
    </row>
    <row r="308" spans="1:18" x14ac:dyDescent="0.3">
      <c r="A308" t="s">
        <v>821</v>
      </c>
      <c r="B308" t="s">
        <v>896</v>
      </c>
      <c r="C308" t="s">
        <v>396</v>
      </c>
      <c r="D308" t="s">
        <v>508</v>
      </c>
      <c r="E308" t="s">
        <v>397</v>
      </c>
      <c r="F308" t="s">
        <v>479</v>
      </c>
      <c r="G308" t="s">
        <v>390</v>
      </c>
      <c r="H308" t="s">
        <v>391</v>
      </c>
      <c r="I308" t="s">
        <v>533</v>
      </c>
      <c r="J308" t="s">
        <v>398</v>
      </c>
      <c r="K308" t="s">
        <v>397</v>
      </c>
      <c r="L308" t="s">
        <v>534</v>
      </c>
      <c r="M308" t="s">
        <v>525</v>
      </c>
      <c r="N308" t="s">
        <v>526</v>
      </c>
      <c r="O308" t="s">
        <v>831</v>
      </c>
      <c r="P308" t="s">
        <v>508</v>
      </c>
      <c r="Q308">
        <v>0</v>
      </c>
      <c r="R308" t="s">
        <v>480</v>
      </c>
    </row>
    <row r="309" spans="1:18" x14ac:dyDescent="0.3">
      <c r="A309" t="s">
        <v>622</v>
      </c>
      <c r="B309" t="s">
        <v>896</v>
      </c>
      <c r="C309" t="s">
        <v>396</v>
      </c>
      <c r="D309" t="s">
        <v>508</v>
      </c>
      <c r="E309" t="s">
        <v>397</v>
      </c>
      <c r="F309" t="s">
        <v>479</v>
      </c>
      <c r="G309" t="s">
        <v>390</v>
      </c>
      <c r="H309" t="s">
        <v>391</v>
      </c>
      <c r="I309" t="s">
        <v>533</v>
      </c>
      <c r="J309" t="s">
        <v>398</v>
      </c>
      <c r="K309" t="s">
        <v>397</v>
      </c>
      <c r="L309" t="s">
        <v>534</v>
      </c>
      <c r="M309" t="s">
        <v>669</v>
      </c>
      <c r="N309" t="s">
        <v>586</v>
      </c>
      <c r="O309" t="s">
        <v>833</v>
      </c>
      <c r="P309" t="s">
        <v>508</v>
      </c>
      <c r="Q309">
        <v>0</v>
      </c>
      <c r="R309" t="s">
        <v>480</v>
      </c>
    </row>
    <row r="310" spans="1:18" x14ac:dyDescent="0.3">
      <c r="A310" t="s">
        <v>821</v>
      </c>
      <c r="B310" t="s">
        <v>896</v>
      </c>
      <c r="C310" t="s">
        <v>396</v>
      </c>
      <c r="D310" t="s">
        <v>508</v>
      </c>
      <c r="E310" t="s">
        <v>397</v>
      </c>
      <c r="F310" t="s">
        <v>479</v>
      </c>
      <c r="G310" t="s">
        <v>390</v>
      </c>
      <c r="H310" t="s">
        <v>391</v>
      </c>
      <c r="I310" t="s">
        <v>533</v>
      </c>
      <c r="J310" t="s">
        <v>398</v>
      </c>
      <c r="K310" t="s">
        <v>397</v>
      </c>
      <c r="L310" t="s">
        <v>534</v>
      </c>
      <c r="M310" t="s">
        <v>525</v>
      </c>
      <c r="N310" t="s">
        <v>526</v>
      </c>
      <c r="O310" t="s">
        <v>834</v>
      </c>
      <c r="P310" t="s">
        <v>508</v>
      </c>
      <c r="Q310">
        <v>0</v>
      </c>
      <c r="R310" t="s">
        <v>480</v>
      </c>
    </row>
    <row r="311" spans="1:18" x14ac:dyDescent="0.3">
      <c r="A311" t="s">
        <v>821</v>
      </c>
      <c r="B311" t="s">
        <v>896</v>
      </c>
      <c r="C311" t="s">
        <v>396</v>
      </c>
      <c r="D311" t="s">
        <v>508</v>
      </c>
      <c r="E311" t="s">
        <v>397</v>
      </c>
      <c r="F311" t="s">
        <v>479</v>
      </c>
      <c r="G311" t="s">
        <v>390</v>
      </c>
      <c r="H311" t="s">
        <v>391</v>
      </c>
      <c r="I311" t="s">
        <v>533</v>
      </c>
      <c r="J311" t="s">
        <v>398</v>
      </c>
      <c r="K311" t="s">
        <v>397</v>
      </c>
      <c r="L311" t="s">
        <v>534</v>
      </c>
      <c r="M311" t="s">
        <v>525</v>
      </c>
      <c r="N311" t="s">
        <v>526</v>
      </c>
      <c r="O311" t="s">
        <v>835</v>
      </c>
      <c r="P311" t="s">
        <v>508</v>
      </c>
      <c r="Q311">
        <v>0</v>
      </c>
      <c r="R311" t="s">
        <v>480</v>
      </c>
    </row>
    <row r="312" spans="1:18" x14ac:dyDescent="0.3">
      <c r="A312" t="s">
        <v>821</v>
      </c>
      <c r="B312" t="s">
        <v>896</v>
      </c>
      <c r="C312" t="s">
        <v>396</v>
      </c>
      <c r="D312" t="s">
        <v>508</v>
      </c>
      <c r="E312" t="s">
        <v>397</v>
      </c>
      <c r="F312" t="s">
        <v>479</v>
      </c>
      <c r="G312" t="s">
        <v>390</v>
      </c>
      <c r="H312" t="s">
        <v>391</v>
      </c>
      <c r="I312" t="s">
        <v>533</v>
      </c>
      <c r="J312" t="s">
        <v>398</v>
      </c>
      <c r="K312" t="s">
        <v>397</v>
      </c>
      <c r="L312" t="s">
        <v>534</v>
      </c>
      <c r="M312" t="s">
        <v>527</v>
      </c>
      <c r="N312" t="s">
        <v>586</v>
      </c>
      <c r="O312" t="s">
        <v>836</v>
      </c>
      <c r="P312" t="s">
        <v>508</v>
      </c>
      <c r="Q312">
        <v>0</v>
      </c>
      <c r="R312" t="s">
        <v>480</v>
      </c>
    </row>
    <row r="313" spans="1:18" x14ac:dyDescent="0.3">
      <c r="A313" t="s">
        <v>821</v>
      </c>
      <c r="B313" t="s">
        <v>896</v>
      </c>
      <c r="C313" t="s">
        <v>396</v>
      </c>
      <c r="D313" t="s">
        <v>508</v>
      </c>
      <c r="E313" t="s">
        <v>397</v>
      </c>
      <c r="F313" t="s">
        <v>479</v>
      </c>
      <c r="G313" t="s">
        <v>390</v>
      </c>
      <c r="H313" t="s">
        <v>391</v>
      </c>
      <c r="I313" t="s">
        <v>533</v>
      </c>
      <c r="J313" t="s">
        <v>398</v>
      </c>
      <c r="K313" t="s">
        <v>397</v>
      </c>
      <c r="L313" t="s">
        <v>534</v>
      </c>
      <c r="M313" t="s">
        <v>525</v>
      </c>
      <c r="N313" t="s">
        <v>526</v>
      </c>
      <c r="O313" t="s">
        <v>840</v>
      </c>
      <c r="P313" t="s">
        <v>508</v>
      </c>
      <c r="Q313">
        <v>0</v>
      </c>
      <c r="R313" t="s">
        <v>480</v>
      </c>
    </row>
    <row r="314" spans="1:18" x14ac:dyDescent="0.3">
      <c r="A314" t="s">
        <v>821</v>
      </c>
      <c r="B314" t="s">
        <v>896</v>
      </c>
      <c r="C314" t="s">
        <v>396</v>
      </c>
      <c r="D314" t="s">
        <v>508</v>
      </c>
      <c r="E314" t="s">
        <v>397</v>
      </c>
      <c r="F314" t="s">
        <v>479</v>
      </c>
      <c r="G314" t="s">
        <v>390</v>
      </c>
      <c r="H314" t="s">
        <v>391</v>
      </c>
      <c r="I314" t="s">
        <v>533</v>
      </c>
      <c r="J314" t="s">
        <v>398</v>
      </c>
      <c r="K314" t="s">
        <v>397</v>
      </c>
      <c r="L314" t="s">
        <v>534</v>
      </c>
      <c r="M314" t="s">
        <v>525</v>
      </c>
      <c r="N314" t="s">
        <v>526</v>
      </c>
      <c r="O314" t="s">
        <v>843</v>
      </c>
      <c r="P314" t="s">
        <v>508</v>
      </c>
      <c r="Q314">
        <v>0</v>
      </c>
      <c r="R314" t="s">
        <v>480</v>
      </c>
    </row>
    <row r="315" spans="1:18" x14ac:dyDescent="0.3">
      <c r="A315" t="s">
        <v>821</v>
      </c>
      <c r="B315" t="s">
        <v>896</v>
      </c>
      <c r="C315" t="s">
        <v>396</v>
      </c>
      <c r="D315" t="s">
        <v>508</v>
      </c>
      <c r="E315" t="s">
        <v>397</v>
      </c>
      <c r="F315" t="s">
        <v>479</v>
      </c>
      <c r="G315" t="s">
        <v>390</v>
      </c>
      <c r="H315" t="s">
        <v>391</v>
      </c>
      <c r="I315" t="s">
        <v>533</v>
      </c>
      <c r="J315" t="s">
        <v>398</v>
      </c>
      <c r="K315" t="s">
        <v>397</v>
      </c>
      <c r="L315" t="s">
        <v>534</v>
      </c>
      <c r="M315" t="s">
        <v>525</v>
      </c>
      <c r="N315" t="s">
        <v>526</v>
      </c>
      <c r="O315" t="s">
        <v>844</v>
      </c>
      <c r="P315" t="s">
        <v>508</v>
      </c>
      <c r="Q315">
        <v>0</v>
      </c>
      <c r="R315" t="s">
        <v>480</v>
      </c>
    </row>
    <row r="316" spans="1:18" x14ac:dyDescent="0.3">
      <c r="A316" t="s">
        <v>821</v>
      </c>
      <c r="B316" t="s">
        <v>897</v>
      </c>
      <c r="C316" t="s">
        <v>396</v>
      </c>
      <c r="D316" t="s">
        <v>508</v>
      </c>
      <c r="E316" t="s">
        <v>397</v>
      </c>
      <c r="F316" t="s">
        <v>479</v>
      </c>
      <c r="G316" t="s">
        <v>390</v>
      </c>
      <c r="H316" t="s">
        <v>391</v>
      </c>
      <c r="I316" t="s">
        <v>533</v>
      </c>
      <c r="J316" t="s">
        <v>398</v>
      </c>
      <c r="K316" t="s">
        <v>397</v>
      </c>
      <c r="L316" t="s">
        <v>534</v>
      </c>
      <c r="M316" t="s">
        <v>527</v>
      </c>
      <c r="N316" t="s">
        <v>526</v>
      </c>
      <c r="O316" t="s">
        <v>845</v>
      </c>
      <c r="P316" t="s">
        <v>508</v>
      </c>
      <c r="Q316">
        <v>0</v>
      </c>
      <c r="R316" t="s">
        <v>480</v>
      </c>
    </row>
    <row r="317" spans="1:18" x14ac:dyDescent="0.3">
      <c r="A317" t="s">
        <v>821</v>
      </c>
      <c r="B317" t="s">
        <v>897</v>
      </c>
      <c r="C317" t="s">
        <v>396</v>
      </c>
      <c r="D317" t="s">
        <v>508</v>
      </c>
      <c r="E317" t="s">
        <v>397</v>
      </c>
      <c r="F317" t="s">
        <v>479</v>
      </c>
      <c r="G317" t="s">
        <v>390</v>
      </c>
      <c r="H317" t="s">
        <v>391</v>
      </c>
      <c r="I317" t="s">
        <v>533</v>
      </c>
      <c r="J317" t="s">
        <v>398</v>
      </c>
      <c r="K317" t="s">
        <v>397</v>
      </c>
      <c r="L317" t="s">
        <v>534</v>
      </c>
      <c r="M317" t="s">
        <v>525</v>
      </c>
      <c r="N317" t="s">
        <v>526</v>
      </c>
      <c r="O317" t="s">
        <v>846</v>
      </c>
      <c r="P317" t="s">
        <v>508</v>
      </c>
      <c r="Q317">
        <v>0</v>
      </c>
      <c r="R317" t="s">
        <v>480</v>
      </c>
    </row>
    <row r="318" spans="1:18" x14ac:dyDescent="0.3">
      <c r="A318" t="s">
        <v>821</v>
      </c>
      <c r="B318" t="s">
        <v>897</v>
      </c>
      <c r="C318" t="s">
        <v>396</v>
      </c>
      <c r="D318" t="s">
        <v>508</v>
      </c>
      <c r="E318" t="s">
        <v>397</v>
      </c>
      <c r="F318" t="s">
        <v>479</v>
      </c>
      <c r="G318" t="s">
        <v>390</v>
      </c>
      <c r="H318" t="s">
        <v>391</v>
      </c>
      <c r="I318" t="s">
        <v>533</v>
      </c>
      <c r="J318" t="s">
        <v>398</v>
      </c>
      <c r="K318" t="s">
        <v>397</v>
      </c>
      <c r="L318" t="s">
        <v>534</v>
      </c>
      <c r="M318" t="s">
        <v>525</v>
      </c>
      <c r="N318" t="s">
        <v>526</v>
      </c>
      <c r="O318" t="s">
        <v>847</v>
      </c>
      <c r="P318" t="s">
        <v>508</v>
      </c>
      <c r="Q318">
        <v>0</v>
      </c>
      <c r="R318" t="s">
        <v>480</v>
      </c>
    </row>
    <row r="319" spans="1:18" x14ac:dyDescent="0.3">
      <c r="A319" t="s">
        <v>821</v>
      </c>
      <c r="B319" t="s">
        <v>897</v>
      </c>
      <c r="C319" t="s">
        <v>396</v>
      </c>
      <c r="D319" t="s">
        <v>508</v>
      </c>
      <c r="E319" t="s">
        <v>397</v>
      </c>
      <c r="F319" t="s">
        <v>479</v>
      </c>
      <c r="G319" t="s">
        <v>390</v>
      </c>
      <c r="H319" t="s">
        <v>391</v>
      </c>
      <c r="I319" t="s">
        <v>533</v>
      </c>
      <c r="J319" t="s">
        <v>398</v>
      </c>
      <c r="K319" t="s">
        <v>397</v>
      </c>
      <c r="L319" t="s">
        <v>534</v>
      </c>
      <c r="M319" t="s">
        <v>527</v>
      </c>
      <c r="N319" t="s">
        <v>586</v>
      </c>
      <c r="O319" t="s">
        <v>848</v>
      </c>
      <c r="P319" t="s">
        <v>508</v>
      </c>
      <c r="Q319">
        <v>0</v>
      </c>
      <c r="R319" t="s">
        <v>480</v>
      </c>
    </row>
    <row r="320" spans="1:18" x14ac:dyDescent="0.3">
      <c r="A320" t="s">
        <v>821</v>
      </c>
      <c r="B320" t="s">
        <v>897</v>
      </c>
      <c r="C320" t="s">
        <v>396</v>
      </c>
      <c r="D320" t="s">
        <v>508</v>
      </c>
      <c r="E320" t="s">
        <v>397</v>
      </c>
      <c r="F320" t="s">
        <v>479</v>
      </c>
      <c r="G320" t="s">
        <v>390</v>
      </c>
      <c r="H320" t="s">
        <v>391</v>
      </c>
      <c r="I320" t="s">
        <v>533</v>
      </c>
      <c r="J320" t="s">
        <v>398</v>
      </c>
      <c r="K320" t="s">
        <v>397</v>
      </c>
      <c r="L320" t="s">
        <v>534</v>
      </c>
      <c r="M320" t="s">
        <v>527</v>
      </c>
      <c r="N320" t="s">
        <v>526</v>
      </c>
      <c r="O320" t="s">
        <v>858</v>
      </c>
      <c r="P320" t="s">
        <v>508</v>
      </c>
      <c r="Q320">
        <v>0</v>
      </c>
      <c r="R320" t="s">
        <v>480</v>
      </c>
    </row>
    <row r="321" spans="1:18" x14ac:dyDescent="0.3">
      <c r="A321" t="s">
        <v>821</v>
      </c>
      <c r="B321" t="s">
        <v>897</v>
      </c>
      <c r="C321" t="s">
        <v>396</v>
      </c>
      <c r="D321" t="s">
        <v>508</v>
      </c>
      <c r="E321" t="s">
        <v>397</v>
      </c>
      <c r="F321" t="s">
        <v>479</v>
      </c>
      <c r="G321" t="s">
        <v>390</v>
      </c>
      <c r="H321" t="s">
        <v>391</v>
      </c>
      <c r="I321" t="s">
        <v>533</v>
      </c>
      <c r="J321" t="s">
        <v>398</v>
      </c>
      <c r="K321" t="s">
        <v>397</v>
      </c>
      <c r="L321" t="s">
        <v>534</v>
      </c>
      <c r="M321" t="s">
        <v>527</v>
      </c>
      <c r="N321" t="s">
        <v>526</v>
      </c>
      <c r="O321" t="s">
        <v>859</v>
      </c>
      <c r="P321" t="s">
        <v>508</v>
      </c>
      <c r="Q321">
        <v>0</v>
      </c>
      <c r="R321" t="s">
        <v>480</v>
      </c>
    </row>
    <row r="322" spans="1:18" x14ac:dyDescent="0.3">
      <c r="A322" t="s">
        <v>821</v>
      </c>
      <c r="B322" t="s">
        <v>897</v>
      </c>
      <c r="C322" t="s">
        <v>396</v>
      </c>
      <c r="D322" t="s">
        <v>508</v>
      </c>
      <c r="E322" t="s">
        <v>397</v>
      </c>
      <c r="F322" t="s">
        <v>479</v>
      </c>
      <c r="G322" t="s">
        <v>390</v>
      </c>
      <c r="H322" t="s">
        <v>391</v>
      </c>
      <c r="I322" t="s">
        <v>533</v>
      </c>
      <c r="J322" t="s">
        <v>398</v>
      </c>
      <c r="K322" t="s">
        <v>397</v>
      </c>
      <c r="L322" t="s">
        <v>534</v>
      </c>
      <c r="M322" t="s">
        <v>527</v>
      </c>
      <c r="N322" t="s">
        <v>526</v>
      </c>
      <c r="O322" t="s">
        <v>860</v>
      </c>
      <c r="P322" t="s">
        <v>508</v>
      </c>
      <c r="Q322">
        <v>0</v>
      </c>
      <c r="R322" t="s">
        <v>480</v>
      </c>
    </row>
    <row r="323" spans="1:18" x14ac:dyDescent="0.3">
      <c r="A323" t="s">
        <v>821</v>
      </c>
      <c r="B323" t="s">
        <v>897</v>
      </c>
      <c r="C323" t="s">
        <v>396</v>
      </c>
      <c r="D323" t="s">
        <v>508</v>
      </c>
      <c r="E323" t="s">
        <v>397</v>
      </c>
      <c r="F323" t="s">
        <v>479</v>
      </c>
      <c r="G323" t="s">
        <v>390</v>
      </c>
      <c r="H323" t="s">
        <v>391</v>
      </c>
      <c r="I323" t="s">
        <v>533</v>
      </c>
      <c r="J323" t="s">
        <v>398</v>
      </c>
      <c r="K323" t="s">
        <v>397</v>
      </c>
      <c r="L323" t="s">
        <v>534</v>
      </c>
      <c r="M323" t="s">
        <v>525</v>
      </c>
      <c r="N323" t="s">
        <v>526</v>
      </c>
      <c r="O323" t="s">
        <v>861</v>
      </c>
      <c r="P323" t="s">
        <v>508</v>
      </c>
      <c r="Q323">
        <v>0</v>
      </c>
      <c r="R323" t="s">
        <v>480</v>
      </c>
    </row>
    <row r="324" spans="1:18" x14ac:dyDescent="0.3">
      <c r="A324" t="s">
        <v>821</v>
      </c>
      <c r="B324" t="s">
        <v>897</v>
      </c>
      <c r="C324" t="s">
        <v>396</v>
      </c>
      <c r="D324" t="s">
        <v>508</v>
      </c>
      <c r="E324" t="s">
        <v>397</v>
      </c>
      <c r="F324" t="s">
        <v>479</v>
      </c>
      <c r="G324" t="s">
        <v>390</v>
      </c>
      <c r="H324" t="s">
        <v>391</v>
      </c>
      <c r="I324" t="s">
        <v>533</v>
      </c>
      <c r="J324" t="s">
        <v>398</v>
      </c>
      <c r="K324" t="s">
        <v>397</v>
      </c>
      <c r="L324" t="s">
        <v>534</v>
      </c>
      <c r="M324" t="s">
        <v>525</v>
      </c>
      <c r="N324" t="s">
        <v>526</v>
      </c>
      <c r="O324" t="s">
        <v>898</v>
      </c>
      <c r="P324" t="s">
        <v>508</v>
      </c>
      <c r="Q324">
        <v>0</v>
      </c>
      <c r="R324" t="s">
        <v>480</v>
      </c>
    </row>
    <row r="325" spans="1:18" x14ac:dyDescent="0.3">
      <c r="A325" t="s">
        <v>821</v>
      </c>
      <c r="B325" t="s">
        <v>897</v>
      </c>
      <c r="C325" t="s">
        <v>396</v>
      </c>
      <c r="D325" t="s">
        <v>508</v>
      </c>
      <c r="E325" t="s">
        <v>397</v>
      </c>
      <c r="F325" t="s">
        <v>479</v>
      </c>
      <c r="G325" t="s">
        <v>390</v>
      </c>
      <c r="H325" t="s">
        <v>391</v>
      </c>
      <c r="I325" t="s">
        <v>533</v>
      </c>
      <c r="J325" t="s">
        <v>398</v>
      </c>
      <c r="K325" t="s">
        <v>397</v>
      </c>
      <c r="L325" t="s">
        <v>534</v>
      </c>
      <c r="M325" t="s">
        <v>527</v>
      </c>
      <c r="N325" t="s">
        <v>526</v>
      </c>
      <c r="O325" t="s">
        <v>899</v>
      </c>
      <c r="P325" t="s">
        <v>508</v>
      </c>
      <c r="Q325">
        <v>0</v>
      </c>
      <c r="R325" t="s">
        <v>480</v>
      </c>
    </row>
    <row r="326" spans="1:18" x14ac:dyDescent="0.3">
      <c r="A326" t="s">
        <v>821</v>
      </c>
      <c r="B326" t="s">
        <v>897</v>
      </c>
      <c r="C326" t="s">
        <v>396</v>
      </c>
      <c r="D326" t="s">
        <v>508</v>
      </c>
      <c r="E326" t="s">
        <v>397</v>
      </c>
      <c r="F326" t="s">
        <v>479</v>
      </c>
      <c r="G326" t="s">
        <v>390</v>
      </c>
      <c r="H326" t="s">
        <v>391</v>
      </c>
      <c r="I326" t="s">
        <v>533</v>
      </c>
      <c r="J326" t="s">
        <v>398</v>
      </c>
      <c r="K326" t="s">
        <v>397</v>
      </c>
      <c r="L326" t="s">
        <v>534</v>
      </c>
      <c r="M326" t="s">
        <v>525</v>
      </c>
      <c r="N326" t="s">
        <v>526</v>
      </c>
      <c r="O326" t="s">
        <v>900</v>
      </c>
      <c r="P326" t="s">
        <v>508</v>
      </c>
      <c r="Q326">
        <v>0</v>
      </c>
      <c r="R326" t="s">
        <v>480</v>
      </c>
    </row>
    <row r="327" spans="1:18" x14ac:dyDescent="0.3">
      <c r="A327" t="s">
        <v>821</v>
      </c>
      <c r="B327" t="s">
        <v>897</v>
      </c>
      <c r="C327" t="s">
        <v>396</v>
      </c>
      <c r="D327" t="s">
        <v>508</v>
      </c>
      <c r="E327" t="s">
        <v>397</v>
      </c>
      <c r="F327" t="s">
        <v>479</v>
      </c>
      <c r="G327" t="s">
        <v>390</v>
      </c>
      <c r="H327" t="s">
        <v>391</v>
      </c>
      <c r="I327" t="s">
        <v>533</v>
      </c>
      <c r="J327" t="s">
        <v>398</v>
      </c>
      <c r="K327" t="s">
        <v>397</v>
      </c>
      <c r="L327" t="s">
        <v>534</v>
      </c>
      <c r="M327" t="s">
        <v>527</v>
      </c>
      <c r="N327" t="s">
        <v>526</v>
      </c>
      <c r="O327" t="s">
        <v>901</v>
      </c>
      <c r="P327" t="s">
        <v>508</v>
      </c>
      <c r="Q327">
        <v>0</v>
      </c>
      <c r="R327" t="s">
        <v>480</v>
      </c>
    </row>
    <row r="328" spans="1:18" x14ac:dyDescent="0.3">
      <c r="A328" t="s">
        <v>821</v>
      </c>
      <c r="B328" t="s">
        <v>897</v>
      </c>
      <c r="C328" t="s">
        <v>396</v>
      </c>
      <c r="D328" t="s">
        <v>508</v>
      </c>
      <c r="E328" t="s">
        <v>397</v>
      </c>
      <c r="F328" t="s">
        <v>479</v>
      </c>
      <c r="G328" t="s">
        <v>390</v>
      </c>
      <c r="H328" t="s">
        <v>391</v>
      </c>
      <c r="I328" t="s">
        <v>533</v>
      </c>
      <c r="J328" t="s">
        <v>398</v>
      </c>
      <c r="K328" t="s">
        <v>397</v>
      </c>
      <c r="L328" t="s">
        <v>534</v>
      </c>
      <c r="M328" t="s">
        <v>527</v>
      </c>
      <c r="N328" t="s">
        <v>526</v>
      </c>
      <c r="O328" t="s">
        <v>902</v>
      </c>
      <c r="P328" t="s">
        <v>508</v>
      </c>
      <c r="Q328">
        <v>0</v>
      </c>
      <c r="R328" t="s">
        <v>480</v>
      </c>
    </row>
    <row r="329" spans="1:18" x14ac:dyDescent="0.3">
      <c r="A329" t="s">
        <v>821</v>
      </c>
      <c r="B329" t="s">
        <v>483</v>
      </c>
      <c r="C329" t="s">
        <v>396</v>
      </c>
      <c r="D329" t="s">
        <v>508</v>
      </c>
      <c r="E329" t="s">
        <v>397</v>
      </c>
      <c r="F329" t="s">
        <v>479</v>
      </c>
      <c r="G329" t="s">
        <v>390</v>
      </c>
      <c r="H329" t="s">
        <v>391</v>
      </c>
      <c r="I329" t="s">
        <v>533</v>
      </c>
      <c r="J329" t="s">
        <v>398</v>
      </c>
      <c r="K329" t="s">
        <v>397</v>
      </c>
      <c r="L329" t="s">
        <v>534</v>
      </c>
      <c r="M329" t="s">
        <v>525</v>
      </c>
      <c r="N329" t="s">
        <v>526</v>
      </c>
      <c r="O329" t="s">
        <v>903</v>
      </c>
      <c r="P329" t="s">
        <v>508</v>
      </c>
      <c r="Q329">
        <v>0</v>
      </c>
      <c r="R329" t="s">
        <v>480</v>
      </c>
    </row>
    <row r="330" spans="1:18" x14ac:dyDescent="0.3">
      <c r="A330" t="s">
        <v>821</v>
      </c>
      <c r="B330" t="s">
        <v>483</v>
      </c>
      <c r="C330" t="s">
        <v>396</v>
      </c>
      <c r="D330" t="s">
        <v>508</v>
      </c>
      <c r="E330" t="s">
        <v>397</v>
      </c>
      <c r="F330" t="s">
        <v>479</v>
      </c>
      <c r="G330" t="s">
        <v>390</v>
      </c>
      <c r="H330" t="s">
        <v>391</v>
      </c>
      <c r="I330" t="s">
        <v>533</v>
      </c>
      <c r="J330" t="s">
        <v>398</v>
      </c>
      <c r="K330" t="s">
        <v>397</v>
      </c>
      <c r="L330" t="s">
        <v>534</v>
      </c>
      <c r="M330" t="s">
        <v>527</v>
      </c>
      <c r="N330" t="s">
        <v>586</v>
      </c>
      <c r="O330" t="s">
        <v>904</v>
      </c>
      <c r="P330" t="s">
        <v>508</v>
      </c>
      <c r="Q330">
        <v>0</v>
      </c>
      <c r="R330" t="s">
        <v>480</v>
      </c>
    </row>
    <row r="331" spans="1:18" x14ac:dyDescent="0.3">
      <c r="A331" t="s">
        <v>821</v>
      </c>
      <c r="B331" t="s">
        <v>483</v>
      </c>
      <c r="C331" t="s">
        <v>396</v>
      </c>
      <c r="D331" t="s">
        <v>508</v>
      </c>
      <c r="E331" t="s">
        <v>397</v>
      </c>
      <c r="F331" t="s">
        <v>479</v>
      </c>
      <c r="G331" t="s">
        <v>390</v>
      </c>
      <c r="H331" t="s">
        <v>391</v>
      </c>
      <c r="I331" t="s">
        <v>533</v>
      </c>
      <c r="J331" t="s">
        <v>398</v>
      </c>
      <c r="K331" t="s">
        <v>397</v>
      </c>
      <c r="L331" t="s">
        <v>534</v>
      </c>
      <c r="M331" t="s">
        <v>525</v>
      </c>
      <c r="N331" t="s">
        <v>586</v>
      </c>
      <c r="O331" t="s">
        <v>905</v>
      </c>
      <c r="P331" t="s">
        <v>508</v>
      </c>
      <c r="Q331">
        <v>0</v>
      </c>
      <c r="R331" t="s">
        <v>480</v>
      </c>
    </row>
    <row r="332" spans="1:18" x14ac:dyDescent="0.3">
      <c r="A332" t="s">
        <v>821</v>
      </c>
      <c r="B332" t="s">
        <v>483</v>
      </c>
      <c r="C332" t="s">
        <v>396</v>
      </c>
      <c r="D332" t="s">
        <v>508</v>
      </c>
      <c r="E332" t="s">
        <v>397</v>
      </c>
      <c r="F332" t="s">
        <v>479</v>
      </c>
      <c r="G332" t="s">
        <v>390</v>
      </c>
      <c r="H332" t="s">
        <v>391</v>
      </c>
      <c r="I332" t="s">
        <v>533</v>
      </c>
      <c r="J332" t="s">
        <v>398</v>
      </c>
      <c r="K332" t="s">
        <v>397</v>
      </c>
      <c r="L332" t="s">
        <v>534</v>
      </c>
      <c r="M332" t="s">
        <v>669</v>
      </c>
      <c r="N332" t="s">
        <v>586</v>
      </c>
      <c r="O332" t="s">
        <v>906</v>
      </c>
      <c r="P332" t="s">
        <v>508</v>
      </c>
      <c r="Q332">
        <v>0</v>
      </c>
      <c r="R332" t="s">
        <v>480</v>
      </c>
    </row>
    <row r="333" spans="1:18" x14ac:dyDescent="0.3">
      <c r="A333" t="s">
        <v>821</v>
      </c>
      <c r="B333" t="s">
        <v>483</v>
      </c>
      <c r="C333" t="s">
        <v>396</v>
      </c>
      <c r="D333" t="s">
        <v>508</v>
      </c>
      <c r="E333" t="s">
        <v>397</v>
      </c>
      <c r="F333" t="s">
        <v>479</v>
      </c>
      <c r="G333" t="s">
        <v>390</v>
      </c>
      <c r="H333" t="s">
        <v>391</v>
      </c>
      <c r="I333" t="s">
        <v>533</v>
      </c>
      <c r="J333" t="s">
        <v>398</v>
      </c>
      <c r="K333" t="s">
        <v>397</v>
      </c>
      <c r="L333" t="s">
        <v>534</v>
      </c>
      <c r="M333" t="s">
        <v>527</v>
      </c>
      <c r="N333" t="s">
        <v>586</v>
      </c>
      <c r="O333" t="s">
        <v>907</v>
      </c>
      <c r="P333" t="s">
        <v>508</v>
      </c>
      <c r="Q333">
        <v>0</v>
      </c>
      <c r="R333" t="s">
        <v>480</v>
      </c>
    </row>
    <row r="334" spans="1:18" x14ac:dyDescent="0.3">
      <c r="A334" t="s">
        <v>821</v>
      </c>
      <c r="B334" t="s">
        <v>483</v>
      </c>
      <c r="C334" t="s">
        <v>396</v>
      </c>
      <c r="D334" t="s">
        <v>508</v>
      </c>
      <c r="E334" t="s">
        <v>397</v>
      </c>
      <c r="F334" t="s">
        <v>479</v>
      </c>
      <c r="G334" t="s">
        <v>390</v>
      </c>
      <c r="H334" t="s">
        <v>391</v>
      </c>
      <c r="I334" t="s">
        <v>533</v>
      </c>
      <c r="J334" t="s">
        <v>398</v>
      </c>
      <c r="K334" t="s">
        <v>397</v>
      </c>
      <c r="L334" t="s">
        <v>534</v>
      </c>
      <c r="M334" t="s">
        <v>527</v>
      </c>
      <c r="N334" t="s">
        <v>586</v>
      </c>
      <c r="O334" t="s">
        <v>908</v>
      </c>
      <c r="P334" t="s">
        <v>508</v>
      </c>
      <c r="Q334">
        <v>0</v>
      </c>
      <c r="R334" t="s">
        <v>480</v>
      </c>
    </row>
    <row r="335" spans="1:18" x14ac:dyDescent="0.3">
      <c r="A335" t="s">
        <v>821</v>
      </c>
      <c r="B335" t="s">
        <v>483</v>
      </c>
      <c r="C335" t="s">
        <v>396</v>
      </c>
      <c r="D335" t="s">
        <v>508</v>
      </c>
      <c r="E335" t="s">
        <v>397</v>
      </c>
      <c r="F335" t="s">
        <v>479</v>
      </c>
      <c r="G335" t="s">
        <v>390</v>
      </c>
      <c r="H335" t="s">
        <v>391</v>
      </c>
      <c r="I335" t="s">
        <v>533</v>
      </c>
      <c r="J335" t="s">
        <v>398</v>
      </c>
      <c r="K335" t="s">
        <v>397</v>
      </c>
      <c r="L335" t="s">
        <v>534</v>
      </c>
      <c r="M335" t="s">
        <v>525</v>
      </c>
      <c r="N335" t="s">
        <v>586</v>
      </c>
      <c r="O335" t="s">
        <v>920</v>
      </c>
      <c r="P335" t="s">
        <v>508</v>
      </c>
      <c r="Q335">
        <v>0</v>
      </c>
      <c r="R335" t="s">
        <v>480</v>
      </c>
    </row>
    <row r="336" spans="1:18" x14ac:dyDescent="0.3">
      <c r="A336" t="s">
        <v>559</v>
      </c>
      <c r="B336" t="s">
        <v>675</v>
      </c>
      <c r="C336" t="s">
        <v>396</v>
      </c>
      <c r="D336" t="s">
        <v>508</v>
      </c>
      <c r="E336" t="s">
        <v>397</v>
      </c>
      <c r="F336" t="s">
        <v>479</v>
      </c>
      <c r="G336" t="s">
        <v>390</v>
      </c>
      <c r="H336" t="s">
        <v>391</v>
      </c>
      <c r="I336" t="s">
        <v>533</v>
      </c>
      <c r="J336" t="s">
        <v>398</v>
      </c>
      <c r="K336" t="s">
        <v>397</v>
      </c>
      <c r="L336" t="s">
        <v>534</v>
      </c>
      <c r="M336" t="s">
        <v>525</v>
      </c>
      <c r="N336" t="s">
        <v>526</v>
      </c>
      <c r="O336" t="s">
        <v>676</v>
      </c>
      <c r="P336" t="s">
        <v>508</v>
      </c>
      <c r="Q336">
        <v>0</v>
      </c>
      <c r="R336" t="s">
        <v>677</v>
      </c>
    </row>
    <row r="337" spans="1:18" x14ac:dyDescent="0.3">
      <c r="A337" t="s">
        <v>559</v>
      </c>
      <c r="B337" t="s">
        <v>675</v>
      </c>
      <c r="C337" t="s">
        <v>396</v>
      </c>
      <c r="D337" t="s">
        <v>508</v>
      </c>
      <c r="E337" t="s">
        <v>397</v>
      </c>
      <c r="F337" t="s">
        <v>479</v>
      </c>
      <c r="G337" t="s">
        <v>390</v>
      </c>
      <c r="H337" t="s">
        <v>391</v>
      </c>
      <c r="I337" t="s">
        <v>533</v>
      </c>
      <c r="J337" t="s">
        <v>398</v>
      </c>
      <c r="K337" t="s">
        <v>397</v>
      </c>
      <c r="L337" t="s">
        <v>534</v>
      </c>
      <c r="M337" t="s">
        <v>669</v>
      </c>
      <c r="N337" t="s">
        <v>526</v>
      </c>
      <c r="O337" t="s">
        <v>678</v>
      </c>
      <c r="P337" t="s">
        <v>508</v>
      </c>
      <c r="Q337">
        <v>0</v>
      </c>
      <c r="R337" t="s">
        <v>677</v>
      </c>
    </row>
    <row r="338" spans="1:18" x14ac:dyDescent="0.3">
      <c r="A338" t="s">
        <v>559</v>
      </c>
      <c r="B338" t="s">
        <v>675</v>
      </c>
      <c r="C338" t="s">
        <v>396</v>
      </c>
      <c r="D338" t="s">
        <v>508</v>
      </c>
      <c r="E338" t="s">
        <v>397</v>
      </c>
      <c r="F338" t="s">
        <v>479</v>
      </c>
      <c r="G338" t="s">
        <v>390</v>
      </c>
      <c r="H338" t="s">
        <v>391</v>
      </c>
      <c r="I338" t="s">
        <v>533</v>
      </c>
      <c r="J338" t="s">
        <v>398</v>
      </c>
      <c r="K338" t="s">
        <v>397</v>
      </c>
      <c r="L338" t="s">
        <v>534</v>
      </c>
      <c r="M338" t="s">
        <v>525</v>
      </c>
      <c r="N338" t="s">
        <v>526</v>
      </c>
      <c r="O338" t="s">
        <v>679</v>
      </c>
      <c r="P338" t="s">
        <v>508</v>
      </c>
      <c r="Q338">
        <v>0</v>
      </c>
      <c r="R338" t="s">
        <v>677</v>
      </c>
    </row>
    <row r="339" spans="1:18" x14ac:dyDescent="0.3">
      <c r="A339" t="s">
        <v>559</v>
      </c>
      <c r="B339" t="s">
        <v>680</v>
      </c>
      <c r="C339" t="s">
        <v>478</v>
      </c>
      <c r="D339" t="s">
        <v>508</v>
      </c>
      <c r="E339" t="s">
        <v>493</v>
      </c>
      <c r="F339" t="s">
        <v>479</v>
      </c>
      <c r="G339" t="s">
        <v>394</v>
      </c>
      <c r="H339" t="s">
        <v>391</v>
      </c>
      <c r="I339" t="s">
        <v>512</v>
      </c>
      <c r="J339" t="s">
        <v>488</v>
      </c>
      <c r="K339" t="s">
        <v>493</v>
      </c>
      <c r="L339" t="s">
        <v>509</v>
      </c>
      <c r="M339" t="s">
        <v>529</v>
      </c>
      <c r="N339" t="s">
        <v>526</v>
      </c>
      <c r="O339" t="s">
        <v>681</v>
      </c>
      <c r="P339" t="s">
        <v>508</v>
      </c>
      <c r="Q339">
        <v>0</v>
      </c>
      <c r="R339" t="s">
        <v>808</v>
      </c>
    </row>
    <row r="340" spans="1:18" x14ac:dyDescent="0.3">
      <c r="A340" t="s">
        <v>559</v>
      </c>
      <c r="B340" t="s">
        <v>675</v>
      </c>
      <c r="C340" t="s">
        <v>396</v>
      </c>
      <c r="D340" t="s">
        <v>508</v>
      </c>
      <c r="E340" t="s">
        <v>397</v>
      </c>
      <c r="F340" t="s">
        <v>479</v>
      </c>
      <c r="G340" t="s">
        <v>390</v>
      </c>
      <c r="H340" t="s">
        <v>391</v>
      </c>
      <c r="I340" t="s">
        <v>533</v>
      </c>
      <c r="J340" t="s">
        <v>398</v>
      </c>
      <c r="K340" t="s">
        <v>397</v>
      </c>
      <c r="L340" t="s">
        <v>534</v>
      </c>
      <c r="M340" t="s">
        <v>525</v>
      </c>
      <c r="N340" t="s">
        <v>526</v>
      </c>
      <c r="O340" t="s">
        <v>682</v>
      </c>
      <c r="P340" t="s">
        <v>508</v>
      </c>
      <c r="Q340">
        <v>0</v>
      </c>
      <c r="R340" t="s">
        <v>677</v>
      </c>
    </row>
    <row r="341" spans="1:18" x14ac:dyDescent="0.3">
      <c r="A341" t="s">
        <v>559</v>
      </c>
      <c r="B341" t="s">
        <v>675</v>
      </c>
      <c r="C341" t="s">
        <v>396</v>
      </c>
      <c r="D341" t="s">
        <v>508</v>
      </c>
      <c r="E341" t="s">
        <v>397</v>
      </c>
      <c r="F341" t="s">
        <v>479</v>
      </c>
      <c r="G341" t="s">
        <v>390</v>
      </c>
      <c r="H341" t="s">
        <v>391</v>
      </c>
      <c r="I341" t="s">
        <v>533</v>
      </c>
      <c r="J341" t="s">
        <v>398</v>
      </c>
      <c r="K341" t="s">
        <v>397</v>
      </c>
      <c r="L341" t="s">
        <v>534</v>
      </c>
      <c r="M341" t="s">
        <v>525</v>
      </c>
      <c r="N341" t="s">
        <v>526</v>
      </c>
      <c r="O341" t="s">
        <v>683</v>
      </c>
      <c r="P341" t="s">
        <v>508</v>
      </c>
      <c r="Q341">
        <v>0</v>
      </c>
      <c r="R341" t="s">
        <v>677</v>
      </c>
    </row>
    <row r="342" spans="1:18" x14ac:dyDescent="0.3">
      <c r="A342" t="s">
        <v>559</v>
      </c>
      <c r="B342" t="s">
        <v>675</v>
      </c>
      <c r="C342" t="s">
        <v>396</v>
      </c>
      <c r="D342" t="s">
        <v>508</v>
      </c>
      <c r="E342" t="s">
        <v>397</v>
      </c>
      <c r="F342" t="s">
        <v>479</v>
      </c>
      <c r="G342" t="s">
        <v>390</v>
      </c>
      <c r="H342" t="s">
        <v>391</v>
      </c>
      <c r="I342" t="s">
        <v>533</v>
      </c>
      <c r="J342" t="s">
        <v>398</v>
      </c>
      <c r="K342" t="s">
        <v>397</v>
      </c>
      <c r="L342" t="s">
        <v>534</v>
      </c>
      <c r="M342" t="s">
        <v>669</v>
      </c>
      <c r="N342" t="s">
        <v>526</v>
      </c>
      <c r="O342" t="s">
        <v>684</v>
      </c>
      <c r="P342" t="s">
        <v>508</v>
      </c>
      <c r="Q342">
        <v>0</v>
      </c>
      <c r="R342" t="s">
        <v>677</v>
      </c>
    </row>
    <row r="343" spans="1:18" x14ac:dyDescent="0.3">
      <c r="A343" t="s">
        <v>559</v>
      </c>
      <c r="B343" t="s">
        <v>675</v>
      </c>
      <c r="C343" t="s">
        <v>396</v>
      </c>
      <c r="D343" t="s">
        <v>508</v>
      </c>
      <c r="E343" t="s">
        <v>397</v>
      </c>
      <c r="F343" t="s">
        <v>479</v>
      </c>
      <c r="G343" t="s">
        <v>390</v>
      </c>
      <c r="H343" t="s">
        <v>391</v>
      </c>
      <c r="I343" t="s">
        <v>533</v>
      </c>
      <c r="J343" t="s">
        <v>398</v>
      </c>
      <c r="K343" t="s">
        <v>397</v>
      </c>
      <c r="L343" t="s">
        <v>534</v>
      </c>
      <c r="M343" t="s">
        <v>525</v>
      </c>
      <c r="N343" t="s">
        <v>526</v>
      </c>
      <c r="O343" t="s">
        <v>685</v>
      </c>
      <c r="P343" t="s">
        <v>508</v>
      </c>
      <c r="Q343">
        <v>0</v>
      </c>
      <c r="R343" t="s">
        <v>677</v>
      </c>
    </row>
    <row r="344" spans="1:18" x14ac:dyDescent="0.3">
      <c r="A344" t="s">
        <v>559</v>
      </c>
      <c r="B344" t="s">
        <v>680</v>
      </c>
      <c r="C344" t="s">
        <v>478</v>
      </c>
      <c r="D344" t="s">
        <v>508</v>
      </c>
      <c r="E344" t="s">
        <v>493</v>
      </c>
      <c r="F344" t="s">
        <v>479</v>
      </c>
      <c r="G344" t="s">
        <v>394</v>
      </c>
      <c r="H344" t="s">
        <v>391</v>
      </c>
      <c r="I344" t="s">
        <v>512</v>
      </c>
      <c r="J344" t="s">
        <v>488</v>
      </c>
      <c r="K344" t="s">
        <v>493</v>
      </c>
      <c r="L344" t="s">
        <v>509</v>
      </c>
      <c r="M344" t="s">
        <v>528</v>
      </c>
      <c r="N344" t="s">
        <v>526</v>
      </c>
      <c r="O344" t="s">
        <v>686</v>
      </c>
      <c r="P344" t="s">
        <v>508</v>
      </c>
      <c r="Q344">
        <v>0</v>
      </c>
      <c r="R344" t="s">
        <v>808</v>
      </c>
    </row>
    <row r="345" spans="1:18" x14ac:dyDescent="0.3">
      <c r="A345" t="s">
        <v>622</v>
      </c>
      <c r="B345" t="s">
        <v>921</v>
      </c>
      <c r="C345" t="s">
        <v>478</v>
      </c>
      <c r="D345" t="s">
        <v>508</v>
      </c>
      <c r="E345" t="s">
        <v>487</v>
      </c>
      <c r="F345" t="s">
        <v>479</v>
      </c>
      <c r="G345" t="s">
        <v>394</v>
      </c>
      <c r="H345" t="s">
        <v>391</v>
      </c>
      <c r="I345" t="s">
        <v>480</v>
      </c>
      <c r="J345" t="s">
        <v>488</v>
      </c>
      <c r="K345" t="s">
        <v>487</v>
      </c>
      <c r="L345" t="s">
        <v>550</v>
      </c>
      <c r="M345" t="s">
        <v>529</v>
      </c>
      <c r="N345" t="s">
        <v>586</v>
      </c>
      <c r="O345" t="s">
        <v>744</v>
      </c>
      <c r="P345" t="s">
        <v>508</v>
      </c>
      <c r="Q345">
        <v>0</v>
      </c>
      <c r="R345" t="s">
        <v>922</v>
      </c>
    </row>
    <row r="346" spans="1:18" x14ac:dyDescent="0.3">
      <c r="A346" t="s">
        <v>622</v>
      </c>
      <c r="B346" t="s">
        <v>923</v>
      </c>
      <c r="C346" t="s">
        <v>396</v>
      </c>
      <c r="D346" t="s">
        <v>508</v>
      </c>
      <c r="E346" t="s">
        <v>487</v>
      </c>
      <c r="F346" t="s">
        <v>479</v>
      </c>
      <c r="G346" t="s">
        <v>390</v>
      </c>
      <c r="H346" t="s">
        <v>391</v>
      </c>
      <c r="I346" t="s">
        <v>480</v>
      </c>
      <c r="J346" t="s">
        <v>488</v>
      </c>
      <c r="K346" t="s">
        <v>487</v>
      </c>
      <c r="L346" t="s">
        <v>534</v>
      </c>
      <c r="M346" t="s">
        <v>530</v>
      </c>
      <c r="N346" t="s">
        <v>586</v>
      </c>
      <c r="O346" t="s">
        <v>745</v>
      </c>
      <c r="P346" t="s">
        <v>508</v>
      </c>
      <c r="Q346">
        <v>0</v>
      </c>
      <c r="R346" t="s">
        <v>922</v>
      </c>
    </row>
    <row r="347" spans="1:18" x14ac:dyDescent="0.3">
      <c r="A347" t="s">
        <v>622</v>
      </c>
      <c r="B347" t="s">
        <v>924</v>
      </c>
      <c r="C347" t="s">
        <v>478</v>
      </c>
      <c r="D347" t="s">
        <v>508</v>
      </c>
      <c r="E347" t="s">
        <v>487</v>
      </c>
      <c r="F347" t="s">
        <v>479</v>
      </c>
      <c r="G347" t="s">
        <v>411</v>
      </c>
      <c r="H347" t="s">
        <v>391</v>
      </c>
      <c r="I347" t="s">
        <v>480</v>
      </c>
      <c r="J347" t="s">
        <v>488</v>
      </c>
      <c r="K347" t="s">
        <v>487</v>
      </c>
      <c r="L347" t="s">
        <v>542</v>
      </c>
      <c r="M347" t="s">
        <v>529</v>
      </c>
      <c r="N347" t="s">
        <v>586</v>
      </c>
      <c r="O347" t="s">
        <v>786</v>
      </c>
      <c r="P347" t="s">
        <v>508</v>
      </c>
      <c r="Q347">
        <v>0</v>
      </c>
      <c r="R347" t="s">
        <v>922</v>
      </c>
    </row>
    <row r="348" spans="1:18" x14ac:dyDescent="0.3">
      <c r="A348" t="s">
        <v>622</v>
      </c>
      <c r="B348" t="s">
        <v>925</v>
      </c>
      <c r="C348" t="s">
        <v>396</v>
      </c>
      <c r="D348" t="s">
        <v>508</v>
      </c>
      <c r="E348" t="s">
        <v>487</v>
      </c>
      <c r="F348" t="s">
        <v>479</v>
      </c>
      <c r="G348" t="s">
        <v>390</v>
      </c>
      <c r="H348" t="s">
        <v>391</v>
      </c>
      <c r="I348" t="s">
        <v>480</v>
      </c>
      <c r="J348" t="s">
        <v>488</v>
      </c>
      <c r="K348" t="s">
        <v>487</v>
      </c>
      <c r="L348" t="s">
        <v>534</v>
      </c>
      <c r="M348" t="s">
        <v>530</v>
      </c>
      <c r="N348" t="s">
        <v>586</v>
      </c>
      <c r="O348" t="s">
        <v>789</v>
      </c>
      <c r="P348" t="s">
        <v>508</v>
      </c>
      <c r="Q348">
        <v>0</v>
      </c>
      <c r="R348" t="s">
        <v>922</v>
      </c>
    </row>
    <row r="349" spans="1:18" x14ac:dyDescent="0.3">
      <c r="A349" t="s">
        <v>622</v>
      </c>
      <c r="B349" t="s">
        <v>925</v>
      </c>
      <c r="C349" t="s">
        <v>396</v>
      </c>
      <c r="D349" t="s">
        <v>508</v>
      </c>
      <c r="E349" t="s">
        <v>487</v>
      </c>
      <c r="F349" t="s">
        <v>479</v>
      </c>
      <c r="G349" t="s">
        <v>390</v>
      </c>
      <c r="H349" t="s">
        <v>391</v>
      </c>
      <c r="I349" t="s">
        <v>480</v>
      </c>
      <c r="J349" t="s">
        <v>488</v>
      </c>
      <c r="K349" t="s">
        <v>487</v>
      </c>
      <c r="L349" t="s">
        <v>534</v>
      </c>
      <c r="M349" t="s">
        <v>530</v>
      </c>
      <c r="N349" t="s">
        <v>586</v>
      </c>
      <c r="O349" t="s">
        <v>795</v>
      </c>
      <c r="P349" t="s">
        <v>508</v>
      </c>
      <c r="Q349">
        <v>0</v>
      </c>
      <c r="R349" t="s">
        <v>922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29"/>
  <sheetViews>
    <sheetView topLeftCell="A10" zoomScale="70" zoomScaleNormal="70" workbookViewId="0">
      <selection activeCell="H44" sqref="H4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537</v>
      </c>
      <c r="C1" s="31"/>
      <c r="N1" s="100"/>
      <c r="O1" s="32"/>
      <c r="S1" s="101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2" t="s">
        <v>504</v>
      </c>
      <c r="R3" s="102" t="s">
        <v>505</v>
      </c>
      <c r="S3" s="102" t="s">
        <v>506</v>
      </c>
      <c r="T3" s="102" t="s">
        <v>507</v>
      </c>
      <c r="U3" s="102">
        <v>64</v>
      </c>
      <c r="V3" s="103">
        <v>72</v>
      </c>
      <c r="W3" s="103">
        <v>88</v>
      </c>
      <c r="X3" s="103">
        <v>105</v>
      </c>
      <c r="Y3" s="103" t="s">
        <v>388</v>
      </c>
      <c r="Z3" s="73" t="s">
        <v>404</v>
      </c>
      <c r="AA3" s="74" t="s">
        <v>405</v>
      </c>
    </row>
    <row r="4" spans="1:31" ht="15.6" x14ac:dyDescent="0.3">
      <c r="A4" s="147" t="s">
        <v>449</v>
      </c>
      <c r="B4" s="147" t="s">
        <v>485</v>
      </c>
      <c r="C4" s="111" t="s">
        <v>478</v>
      </c>
      <c r="D4" s="111" t="s">
        <v>508</v>
      </c>
      <c r="E4" s="111" t="s">
        <v>450</v>
      </c>
      <c r="F4" s="111">
        <v>1</v>
      </c>
      <c r="G4" s="111" t="s">
        <v>394</v>
      </c>
      <c r="H4" s="111" t="s">
        <v>391</v>
      </c>
      <c r="I4" s="148" t="s">
        <v>495</v>
      </c>
      <c r="J4" s="111" t="s">
        <v>439</v>
      </c>
      <c r="K4" s="111" t="s">
        <v>450</v>
      </c>
      <c r="L4" s="111" t="s">
        <v>484</v>
      </c>
      <c r="M4" s="111" t="s">
        <v>393</v>
      </c>
      <c r="N4" s="111">
        <f>+Y4/80</f>
        <v>2</v>
      </c>
      <c r="O4" s="111"/>
      <c r="P4" s="111" t="s">
        <v>509</v>
      </c>
      <c r="Q4" s="149"/>
      <c r="R4" s="149"/>
      <c r="S4" s="149"/>
      <c r="T4" s="149"/>
      <c r="U4" s="150"/>
      <c r="V4" s="149">
        <f>2*80</f>
        <v>160</v>
      </c>
      <c r="W4" s="149"/>
      <c r="X4" s="149"/>
      <c r="Y4" s="149">
        <f>SUM(Q4:X4)</f>
        <v>160</v>
      </c>
      <c r="Z4" s="151" t="s">
        <v>489</v>
      </c>
      <c r="AA4" s="111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0</v>
      </c>
      <c r="Y5" s="11"/>
      <c r="Z5" s="170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0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0</v>
      </c>
      <c r="Y6" s="11"/>
      <c r="Z6" s="170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73">
        <f>SUM(Q7:X7)</f>
        <v>0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70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73">
        <f>SUM(Q9:X9)</f>
        <v>2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7" t="s">
        <v>492</v>
      </c>
      <c r="B10" s="147" t="s">
        <v>485</v>
      </c>
      <c r="C10" s="111" t="s">
        <v>478</v>
      </c>
      <c r="D10" s="111" t="s">
        <v>508</v>
      </c>
      <c r="E10" s="111" t="s">
        <v>493</v>
      </c>
      <c r="F10" s="111">
        <v>1</v>
      </c>
      <c r="G10" s="111" t="s">
        <v>394</v>
      </c>
      <c r="H10" s="111" t="s">
        <v>391</v>
      </c>
      <c r="I10" s="148" t="s">
        <v>512</v>
      </c>
      <c r="J10" s="111" t="s">
        <v>488</v>
      </c>
      <c r="K10" s="111" t="s">
        <v>493</v>
      </c>
      <c r="L10" s="111" t="s">
        <v>392</v>
      </c>
      <c r="M10" s="111" t="s">
        <v>393</v>
      </c>
      <c r="N10" s="111">
        <f>+Y10/80</f>
        <v>5</v>
      </c>
      <c r="O10" s="111"/>
      <c r="P10" s="111" t="s">
        <v>509</v>
      </c>
      <c r="Q10" s="149"/>
      <c r="R10" s="149"/>
      <c r="S10" s="149"/>
      <c r="T10" s="149"/>
      <c r="U10" s="149"/>
      <c r="V10" s="149">
        <f>2*80</f>
        <v>160</v>
      </c>
      <c r="W10" s="149">
        <f>3*80</f>
        <v>240</v>
      </c>
      <c r="X10" s="111"/>
      <c r="Y10" s="149">
        <f>SUM(Q10:X10)</f>
        <v>400</v>
      </c>
      <c r="Z10" s="151" t="s">
        <v>489</v>
      </c>
      <c r="AA10" s="111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5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3</v>
      </c>
      <c r="X11" s="11">
        <f t="shared" si="3"/>
        <v>0</v>
      </c>
      <c r="Y11" s="11"/>
      <c r="Z11" s="170" t="s">
        <v>556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1</v>
      </c>
      <c r="X12" s="11">
        <f t="shared" si="4"/>
        <v>0</v>
      </c>
      <c r="Y12" s="11"/>
      <c r="Z12" s="170" t="s">
        <v>521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73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70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73">
        <f>SUM(Q15:X15)</f>
        <v>4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2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2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7"/>
      <c r="B16" s="147"/>
      <c r="C16" s="111" t="s">
        <v>478</v>
      </c>
      <c r="D16" s="111" t="s">
        <v>508</v>
      </c>
      <c r="E16" s="111" t="s">
        <v>493</v>
      </c>
      <c r="F16" s="111">
        <v>1</v>
      </c>
      <c r="G16" s="111" t="s">
        <v>394</v>
      </c>
      <c r="H16" s="111" t="s">
        <v>391</v>
      </c>
      <c r="I16" s="148" t="s">
        <v>514</v>
      </c>
      <c r="J16" s="111" t="s">
        <v>488</v>
      </c>
      <c r="K16" s="111" t="s">
        <v>493</v>
      </c>
      <c r="L16" s="111" t="s">
        <v>392</v>
      </c>
      <c r="M16" s="111" t="s">
        <v>393</v>
      </c>
      <c r="N16" s="111">
        <f>+Y16/80</f>
        <v>8</v>
      </c>
      <c r="O16" s="111"/>
      <c r="P16" s="111" t="s">
        <v>509</v>
      </c>
      <c r="Q16" s="149"/>
      <c r="R16" s="149"/>
      <c r="S16" s="149"/>
      <c r="T16" s="149"/>
      <c r="U16" s="149"/>
      <c r="V16" s="149">
        <f>3*80</f>
        <v>240</v>
      </c>
      <c r="W16" s="152">
        <f>1*80</f>
        <v>80</v>
      </c>
      <c r="X16" s="111">
        <f>4*80</f>
        <v>320</v>
      </c>
      <c r="Y16" s="149">
        <f>SUM(Q16:X16)</f>
        <v>640</v>
      </c>
      <c r="Z16" s="151" t="s">
        <v>489</v>
      </c>
      <c r="AA16" s="111"/>
      <c r="AE16" s="82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70" t="s">
        <v>556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70" t="s">
        <v>521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73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70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73">
        <f>SUM(Q21:X21)</f>
        <v>8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6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2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540</v>
      </c>
      <c r="B22" s="104" t="s">
        <v>485</v>
      </c>
      <c r="C22" s="105" t="s">
        <v>478</v>
      </c>
      <c r="D22" s="105" t="s">
        <v>508</v>
      </c>
      <c r="E22" s="105" t="s">
        <v>541</v>
      </c>
      <c r="F22" s="105">
        <v>1</v>
      </c>
      <c r="G22" s="105" t="s">
        <v>394</v>
      </c>
      <c r="H22" s="105" t="s">
        <v>391</v>
      </c>
      <c r="I22" s="107"/>
      <c r="J22" s="105" t="s">
        <v>488</v>
      </c>
      <c r="K22" s="105" t="s">
        <v>541</v>
      </c>
      <c r="L22" s="105" t="s">
        <v>392</v>
      </c>
      <c r="M22" s="105" t="s">
        <v>393</v>
      </c>
      <c r="N22" s="105">
        <f>+Y22/80</f>
        <v>20</v>
      </c>
      <c r="O22" s="62"/>
      <c r="P22" s="62" t="s">
        <v>542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70" t="s">
        <v>557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10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5</v>
      </c>
      <c r="X24" s="11">
        <f t="shared" si="10"/>
        <v>5</v>
      </c>
      <c r="Y24" s="11"/>
      <c r="Z24" s="170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73">
        <f>SUM(Q25:X25)</f>
        <v>7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6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1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73">
        <f>SUM(Q27:X27)</f>
        <v>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1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2</v>
      </c>
      <c r="Y27" s="11"/>
      <c r="Z27" s="11"/>
      <c r="AA27" s="11">
        <v>80</v>
      </c>
    </row>
    <row r="28" spans="1:27" ht="15.6" x14ac:dyDescent="0.3">
      <c r="A28" s="153" t="s">
        <v>544</v>
      </c>
      <c r="B28" s="153" t="s">
        <v>485</v>
      </c>
      <c r="C28" s="154" t="s">
        <v>478</v>
      </c>
      <c r="D28" s="154" t="s">
        <v>508</v>
      </c>
      <c r="E28" s="154" t="s">
        <v>545</v>
      </c>
      <c r="F28" s="154">
        <v>1</v>
      </c>
      <c r="G28" s="154" t="s">
        <v>394</v>
      </c>
      <c r="H28" s="154" t="s">
        <v>391</v>
      </c>
      <c r="I28" s="155" t="s">
        <v>546</v>
      </c>
      <c r="J28" s="154" t="s">
        <v>488</v>
      </c>
      <c r="K28" s="154" t="s">
        <v>545</v>
      </c>
      <c r="L28" s="154" t="s">
        <v>392</v>
      </c>
      <c r="M28" s="154" t="s">
        <v>393</v>
      </c>
      <c r="N28" s="154">
        <f>+Y28/80</f>
        <v>20</v>
      </c>
      <c r="O28" s="154"/>
      <c r="P28" s="154" t="s">
        <v>542</v>
      </c>
      <c r="Q28" s="156"/>
      <c r="R28" s="156"/>
      <c r="S28" s="156"/>
      <c r="T28" s="156"/>
      <c r="U28" s="156">
        <f>8*80</f>
        <v>640</v>
      </c>
      <c r="V28" s="156">
        <f>12*80</f>
        <v>960</v>
      </c>
      <c r="W28" s="156"/>
      <c r="X28" s="156"/>
      <c r="Y28" s="156">
        <f>SUM(Q28:X28)</f>
        <v>1600</v>
      </c>
      <c r="Z28" s="157" t="s">
        <v>489</v>
      </c>
      <c r="AA28" s="154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70" t="s">
        <v>557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0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0</v>
      </c>
      <c r="W30" s="11">
        <f t="shared" si="13"/>
        <v>0</v>
      </c>
      <c r="X30" s="11">
        <f t="shared" si="13"/>
        <v>0</v>
      </c>
      <c r="Y30" s="11"/>
      <c r="Z30" s="170" t="s">
        <v>548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73">
        <f>SUM(Q31:X31)</f>
        <v>15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5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10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70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73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3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2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64" t="s">
        <v>449</v>
      </c>
      <c r="B34" s="104" t="s">
        <v>485</v>
      </c>
      <c r="C34" s="105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6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542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70" t="s">
        <v>557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5</v>
      </c>
      <c r="W36" s="11">
        <f t="shared" si="16"/>
        <v>5</v>
      </c>
      <c r="X36" s="11">
        <f t="shared" si="16"/>
        <v>0</v>
      </c>
      <c r="Y36" s="11"/>
      <c r="Z36" s="170" t="s">
        <v>511</v>
      </c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73">
        <f>SUM(Q37:X37)</f>
        <v>10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10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70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73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27" ht="15.6" x14ac:dyDescent="0.3">
      <c r="A40" s="64" t="s">
        <v>492</v>
      </c>
      <c r="B40" s="104" t="s">
        <v>485</v>
      </c>
      <c r="C40" s="105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7" t="s">
        <v>549</v>
      </c>
      <c r="J40" s="105" t="s">
        <v>488</v>
      </c>
      <c r="K40" s="105" t="s">
        <v>493</v>
      </c>
      <c r="L40" s="105" t="s">
        <v>392</v>
      </c>
      <c r="M40" s="105" t="s">
        <v>393</v>
      </c>
      <c r="N40" s="62">
        <f>+Y40/80</f>
        <v>20</v>
      </c>
      <c r="O40" s="62"/>
      <c r="P40" s="62" t="s">
        <v>542</v>
      </c>
      <c r="Q40" s="63"/>
      <c r="R40" s="63"/>
      <c r="S40" s="63"/>
      <c r="T40" s="63"/>
      <c r="U40" s="63"/>
      <c r="V40" s="63">
        <f>8*80</f>
        <v>640</v>
      </c>
      <c r="W40" s="63">
        <f>7*80</f>
        <v>560</v>
      </c>
      <c r="X40" s="62">
        <f>5*80</f>
        <v>400</v>
      </c>
      <c r="Y40" s="63">
        <f>SUM(Q40:X40)</f>
        <v>1600</v>
      </c>
      <c r="Z40" s="65" t="s">
        <v>489</v>
      </c>
      <c r="AA40" s="62" t="s">
        <v>482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8</v>
      </c>
      <c r="W41" s="11">
        <f t="shared" si="18"/>
        <v>7</v>
      </c>
      <c r="X41" s="11">
        <f t="shared" si="18"/>
        <v>5</v>
      </c>
      <c r="Y41" s="11"/>
      <c r="Z41" s="170" t="s">
        <v>520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8</v>
      </c>
      <c r="W42" s="11">
        <f t="shared" si="19"/>
        <v>7</v>
      </c>
      <c r="X42" s="11">
        <f t="shared" si="19"/>
        <v>5</v>
      </c>
      <c r="Y42" s="11"/>
      <c r="Z42" s="170" t="s">
        <v>521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73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70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73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27" ht="15.6" x14ac:dyDescent="0.3">
      <c r="A46" s="64" t="s">
        <v>486</v>
      </c>
      <c r="B46" s="104" t="s">
        <v>485</v>
      </c>
      <c r="C46" s="105" t="s">
        <v>478</v>
      </c>
      <c r="D46" s="62" t="s">
        <v>508</v>
      </c>
      <c r="E46" s="62" t="s">
        <v>487</v>
      </c>
      <c r="F46" s="62">
        <v>1</v>
      </c>
      <c r="G46" s="62" t="s">
        <v>394</v>
      </c>
      <c r="H46" s="62" t="s">
        <v>391</v>
      </c>
      <c r="I46" s="62"/>
      <c r="J46" s="62" t="s">
        <v>488</v>
      </c>
      <c r="K46" s="62" t="s">
        <v>487</v>
      </c>
      <c r="L46" s="62" t="s">
        <v>481</v>
      </c>
      <c r="M46" s="62" t="s">
        <v>393</v>
      </c>
      <c r="N46" s="62">
        <f>+Y46/80</f>
        <v>50</v>
      </c>
      <c r="O46" s="62"/>
      <c r="P46" s="62" t="s">
        <v>550</v>
      </c>
      <c r="Q46" s="64"/>
      <c r="R46" s="64"/>
      <c r="S46" s="64"/>
      <c r="T46" s="63"/>
      <c r="U46" s="63">
        <f>10*80</f>
        <v>800</v>
      </c>
      <c r="V46" s="63">
        <f>20*80</f>
        <v>1600</v>
      </c>
      <c r="W46" s="63">
        <f>20*80</f>
        <v>1600</v>
      </c>
      <c r="X46" s="63"/>
      <c r="Y46" s="63">
        <f>SUM(Q46:X46)</f>
        <v>4000</v>
      </c>
      <c r="Z46" s="108" t="s">
        <v>489</v>
      </c>
      <c r="AA46" s="105" t="s">
        <v>482</v>
      </c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50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10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/>
      <c r="Z47" s="170" t="s">
        <v>558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70"/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73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v>0</v>
      </c>
      <c r="V49" s="57">
        <v>0</v>
      </c>
      <c r="W49" s="57"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1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>IF(($P49+$P51)&gt;$P47,IF((Q49+Q51)-Q47&gt;0,(Q49+Q51)-Q47,0),0)</f>
        <v>0</v>
      </c>
      <c r="R50" s="11">
        <f>IF(($P49+$P51)&gt;$P47,IF((R49+R51)-R47&gt;0,(R49+R51)-R47,0),0)</f>
        <v>0</v>
      </c>
      <c r="S50" s="11">
        <f>IF(($P49+$P51)&gt;$P47,IF((S49+S51)-S47&gt;0,(S49+S51)-S47,0),0)</f>
        <v>0</v>
      </c>
      <c r="T50" s="11">
        <f>IF(($P49+$P51)&gt;$P47,IF((T49+T51)-T47&gt;0,(T49+T51)-T47,0),0)</f>
        <v>0</v>
      </c>
      <c r="U50" s="11">
        <f>IF(U48&lt;0,-U48,IF((U49+U51)-U47&gt;0,(U49+U51)-U47,0))</f>
        <v>0</v>
      </c>
      <c r="V50" s="11">
        <f>IF(($P49+$P51)&gt;$P47,IF((V49+V51)-V47&gt;0,(V49+V51)-V47,0),0)</f>
        <v>0</v>
      </c>
      <c r="W50" s="11">
        <f>IF(($P49+$P51)&gt;$P47,IF((W49+W51)-W47&gt;0,(W49+W51)-W47,0),0)</f>
        <v>0</v>
      </c>
      <c r="X50" s="11">
        <f>IF(($P49+$P51)&gt;$P47,IF((X49+X51)-X47&gt;0,(X49+X51)-X47,0),0)</f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73">
        <f>SUM(Q51:X51)</f>
        <v>50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v>10</v>
      </c>
      <c r="V51" s="57">
        <v>20</v>
      </c>
      <c r="W51" s="57">
        <v>20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/>
      <c r="B52" s="104" t="s">
        <v>389</v>
      </c>
      <c r="C52" s="105" t="s">
        <v>396</v>
      </c>
      <c r="D52" s="62" t="s">
        <v>508</v>
      </c>
      <c r="E52" s="62" t="s">
        <v>487</v>
      </c>
      <c r="F52" s="62">
        <v>1</v>
      </c>
      <c r="G52" s="62" t="s">
        <v>390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30</v>
      </c>
      <c r="O52" s="62"/>
      <c r="P52" s="62" t="s">
        <v>534</v>
      </c>
      <c r="Q52" s="64"/>
      <c r="R52" s="64"/>
      <c r="S52" s="64"/>
      <c r="T52" s="63"/>
      <c r="U52" s="66"/>
      <c r="V52" s="63">
        <f>10*80</f>
        <v>800</v>
      </c>
      <c r="W52" s="63">
        <f>10*80</f>
        <v>800</v>
      </c>
      <c r="X52" s="63">
        <f>10*80</f>
        <v>800</v>
      </c>
      <c r="Y52" s="63">
        <f>SUM(Q52:X52)</f>
        <v>2400</v>
      </c>
      <c r="Z52" s="108" t="s">
        <v>490</v>
      </c>
      <c r="AA52" s="105" t="s">
        <v>406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30</v>
      </c>
      <c r="Q53" s="11">
        <f t="shared" ref="Q53:X53" si="23">IFERROR(Q52/80,0)</f>
        <v>0</v>
      </c>
      <c r="R53" s="11">
        <f t="shared" si="23"/>
        <v>0</v>
      </c>
      <c r="S53" s="11">
        <f t="shared" si="23"/>
        <v>0</v>
      </c>
      <c r="T53" s="11">
        <f t="shared" si="23"/>
        <v>0</v>
      </c>
      <c r="U53" s="11">
        <f t="shared" si="23"/>
        <v>0</v>
      </c>
      <c r="V53" s="11">
        <f t="shared" si="23"/>
        <v>10</v>
      </c>
      <c r="W53" s="11">
        <f t="shared" si="23"/>
        <v>10</v>
      </c>
      <c r="X53" s="11">
        <f t="shared" si="23"/>
        <v>10</v>
      </c>
      <c r="Y53" s="11"/>
      <c r="Z53" s="170" t="s">
        <v>522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4">IFERROR(Q53-(Q55+Q57),0)</f>
        <v>0</v>
      </c>
      <c r="R54" s="11">
        <f t="shared" si="24"/>
        <v>0</v>
      </c>
      <c r="S54" s="11">
        <f t="shared" si="24"/>
        <v>0</v>
      </c>
      <c r="T54" s="11">
        <f t="shared" si="24"/>
        <v>0</v>
      </c>
      <c r="U54" s="11">
        <f t="shared" si="24"/>
        <v>0</v>
      </c>
      <c r="V54" s="11">
        <f t="shared" si="24"/>
        <v>3</v>
      </c>
      <c r="W54" s="11">
        <f t="shared" si="24"/>
        <v>8</v>
      </c>
      <c r="X54" s="11">
        <f t="shared" si="24"/>
        <v>-11</v>
      </c>
      <c r="Y54" s="11"/>
      <c r="Z54" s="170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73">
        <f>SUM(Q55:X55)</f>
        <v>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7">
        <v>0</v>
      </c>
      <c r="W55" s="57">
        <v>0</v>
      </c>
      <c r="X55" s="57"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 t="shared" ref="Q56:X56" si="25">IF(($P55+$P57)&gt;$P53,IF((Q55+Q57)-Q53&gt;0,(Q55+Q57)-Q53,0),0)</f>
        <v>0</v>
      </c>
      <c r="R56" s="11">
        <f t="shared" si="25"/>
        <v>0</v>
      </c>
      <c r="S56" s="11">
        <f t="shared" si="25"/>
        <v>0</v>
      </c>
      <c r="T56" s="11">
        <f t="shared" si="25"/>
        <v>0</v>
      </c>
      <c r="U56" s="11">
        <f t="shared" si="25"/>
        <v>0</v>
      </c>
      <c r="V56" s="11">
        <f t="shared" si="25"/>
        <v>0</v>
      </c>
      <c r="W56" s="11">
        <f t="shared" si="25"/>
        <v>0</v>
      </c>
      <c r="X56" s="11">
        <f t="shared" si="25"/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73">
        <f>SUM(Q57:X57)</f>
        <v>30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7</v>
      </c>
      <c r="W57" s="57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2</v>
      </c>
      <c r="X57" s="57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21</v>
      </c>
      <c r="Y57" s="11"/>
      <c r="Z57" s="11"/>
      <c r="AA57" s="11">
        <v>80</v>
      </c>
    </row>
    <row r="58" spans="1:27" ht="15.6" x14ac:dyDescent="0.3">
      <c r="A58" s="64"/>
      <c r="B58" s="104" t="s">
        <v>485</v>
      </c>
      <c r="C58" s="105" t="s">
        <v>478</v>
      </c>
      <c r="D58" s="62" t="s">
        <v>508</v>
      </c>
      <c r="E58" s="62" t="s">
        <v>487</v>
      </c>
      <c r="F58" s="62">
        <v>1</v>
      </c>
      <c r="G58" s="62" t="s">
        <v>411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542</v>
      </c>
      <c r="Q58" s="64"/>
      <c r="R58" s="64"/>
      <c r="S58" s="64"/>
      <c r="T58" s="63"/>
      <c r="U58" s="63"/>
      <c r="V58" s="63">
        <f>20*80</f>
        <v>1600</v>
      </c>
      <c r="W58" s="63">
        <f>10*80</f>
        <v>800</v>
      </c>
      <c r="X58" s="63"/>
      <c r="Y58" s="63">
        <f>SUM(Q58:X58)</f>
        <v>2400</v>
      </c>
      <c r="Z58" s="108" t="s">
        <v>489</v>
      </c>
      <c r="AA58" s="105" t="s">
        <v>482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20</v>
      </c>
      <c r="W59" s="11">
        <f t="shared" si="26"/>
        <v>10</v>
      </c>
      <c r="X59" s="11">
        <f t="shared" si="26"/>
        <v>0</v>
      </c>
      <c r="Y59" s="11"/>
      <c r="Z59" s="170" t="s">
        <v>928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0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-2</v>
      </c>
      <c r="W60" s="11">
        <f t="shared" si="27"/>
        <v>2</v>
      </c>
      <c r="X60" s="11">
        <f t="shared" si="27"/>
        <v>0</v>
      </c>
      <c r="Y60" s="11"/>
      <c r="Z60" s="170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73">
        <f>SUM(Q61:X61)</f>
        <v>30</v>
      </c>
      <c r="Q61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22</v>
      </c>
      <c r="W61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8</v>
      </c>
      <c r="X61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73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 t="s">
        <v>486</v>
      </c>
      <c r="B64" s="104" t="s">
        <v>485</v>
      </c>
      <c r="C64" s="105" t="s">
        <v>478</v>
      </c>
      <c r="D64" s="62" t="s">
        <v>508</v>
      </c>
      <c r="E64" s="62" t="s">
        <v>487</v>
      </c>
      <c r="F64" s="62">
        <v>1</v>
      </c>
      <c r="G64" s="62" t="s">
        <v>394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50</v>
      </c>
      <c r="O64" s="62"/>
      <c r="P64" s="62" t="s">
        <v>550</v>
      </c>
      <c r="Q64" s="64"/>
      <c r="R64" s="64"/>
      <c r="S64" s="64"/>
      <c r="T64" s="63"/>
      <c r="U64" s="63">
        <f>10*80</f>
        <v>800</v>
      </c>
      <c r="V64" s="63">
        <f>20*80</f>
        <v>1600</v>
      </c>
      <c r="W64" s="63">
        <f>20*80</f>
        <v>1600</v>
      </c>
      <c r="X64" s="63"/>
      <c r="Y64" s="63">
        <f>SUM(Q64:X64)</f>
        <v>4000</v>
      </c>
      <c r="Z64" s="108" t="s">
        <v>489</v>
      </c>
      <c r="AA64" s="105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50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10</v>
      </c>
      <c r="V65" s="11">
        <f t="shared" si="29"/>
        <v>20</v>
      </c>
      <c r="W65" s="11">
        <f t="shared" si="29"/>
        <v>20</v>
      </c>
      <c r="X65" s="11">
        <f t="shared" si="29"/>
        <v>0</v>
      </c>
      <c r="Y65" s="11"/>
      <c r="Z65" s="170" t="s">
        <v>558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-11</v>
      </c>
      <c r="W66" s="11">
        <f t="shared" si="30"/>
        <v>11</v>
      </c>
      <c r="X66" s="11">
        <f t="shared" si="30"/>
        <v>0</v>
      </c>
      <c r="Y66" s="11"/>
      <c r="Z66" s="170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73">
        <f>SUM(Q67:X67)</f>
        <v>18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64),0)-U69-U49-U51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72),0)-V69-V49-V51</f>
        <v>11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88),0)-W69-W49-W51</f>
        <v>7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>IF(($P67+$P69)&gt;$P65,IF((Q67+Q69)-Q65&gt;0,(Q67+Q69)-Q65,0),0)</f>
        <v>0</v>
      </c>
      <c r="R68" s="11">
        <f>IF(($P67+$P69)&gt;$P65,IF((R67+R69)-R65&gt;0,(R67+R69)-R65,0),0)</f>
        <v>0</v>
      </c>
      <c r="S68" s="11">
        <f>IF(($P67+$P69)&gt;$P65,IF((S67+S69)-S65&gt;0,(S67+S69)-S65,0),0)</f>
        <v>0</v>
      </c>
      <c r="T68" s="11">
        <f>IF(($P67+$P69)&gt;$P65,IF((T67+T69)-T65&gt;0,(T67+T69)-T65,0),0)</f>
        <v>0</v>
      </c>
      <c r="U68" s="11">
        <f>IF(U66&lt;0,-U66,IF((U67+U69)-U65&gt;0,(U67+U69)-U65,0))</f>
        <v>0</v>
      </c>
      <c r="V68" s="11">
        <f>IF(($P67+$P69)&gt;$P65,IF((V67+V69)-V65&gt;0,(V67+V69)-V65,0),0)</f>
        <v>0</v>
      </c>
      <c r="W68" s="11">
        <f>IF(($P67+$P69)&gt;$P65,IF((W67+W69)-W65&gt;0,(W67+W69)-W65,0),0)</f>
        <v>0</v>
      </c>
      <c r="X68" s="11">
        <f>IF(($P67+$P69)&gt;$P65,IF((X67+X69)-X65&gt;0,(X67+X69)-X65,0),0)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73">
        <f>SUM(Q69:X69)</f>
        <v>32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IF(NOT(ISBLANK(Q64)),COUNTIFS(Data!$C:$C,$C64,Data!$P:$P,"VAL",Data!$E:$E,$E64,Data!$F:$F,$F64,Data!$I:$I,IF(ISBLANK($I64),"",$I64),Data!$J:$J,$J64,Data!$K:$K,$K64,Data!$R:$R,"",Data!$L:$L,IF(ISBLANK($P64),"",$P64),Data!$G:$G,"MAHEL",Data!$H:$H,"A15C",Data!$M:$M,36,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IF(NOT(ISBLANK(R64)),COUNTIFS(Data!$C:$C,$C64,Data!$P:$P,"VAL",Data!$E:$E,$E64,Data!$F:$F,$F64,Data!$I:$I,IF(ISBLANK($I64),"",$I64),Data!$J:$J,$J64,Data!$K:$K,$K64,Data!$R:$R,"",Data!$L:$L,IF(ISBLANK($P64),"",$P64),Data!$G:$G,"MAHEL",Data!$H:$H,"A15C",Data!$M:$M,40,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IF(NOT(ISBLANK(S64)),COUNTIFS(Data!$C:$C,$C64,Data!$P:$P,"VAL",Data!$E:$E,$E64,Data!$F:$F,$F64,Data!$I:$I,IF(ISBLANK($I64),"",$I64),Data!$J:$J,$J64,Data!$K:$K,$K64,Data!$R:$R,"",Data!$L:$L,IF(ISBLANK($P64),"",$P64),Data!$G:$G,"MAHEL",Data!$H:$H,"A15C",Data!$M:$M,48,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IF(NOT(ISBLANK(T64)),COUNTIFS(Data!$C:$C,$C64,Data!$P:$P,"VAL",Data!$E:$E,$E64,Data!$F:$F,$F64,Data!$I:$I,IF(ISBLANK($I64),"",$I64),Data!$J:$J,$J64,Data!$K:$K,$K64,Data!$R:$R,"",Data!$L:$L,IF(ISBLANK($P64),"",$P64),Data!$G:$G,"MAHEL",Data!$H:$H,"A15C",Data!$M:$M,56,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IF(NOT(ISBLANK(U64)),COUNTIFS(Data!$C:$C,$C64,Data!$P:$P,"VAL",Data!$E:$E,$E64,Data!$F:$F,$F64,Data!$I:$I,IF(ISBLANK($I64),"",$I64),Data!$J:$J,$J64,Data!$K:$K,$K64,Data!$R:$R,"",Data!$L:$L,IF(ISBLANK($P64),"",$P64),Data!$G:$G,"MAHEL",Data!$H:$H,"A15C",Data!$M:$M,64, Data!$Q:$Q,1),0)-U51</f>
        <v>10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IF(NOT(ISBLANK(V64)),COUNTIFS(Data!$C:$C,$C64,Data!$P:$P,"VAL",Data!$E:$E,$E64,Data!$F:$F,$F64,Data!$I:$I,IF(ISBLANK($I64),"",$I64),Data!$J:$J,$J64,Data!$K:$K,$K64,Data!$R:$R,"",Data!$L:$L,IF(ISBLANK($P64),"",$P64),Data!$G:$G,"MAHEL",Data!$H:$H,"A15C",Data!$M:$M,72, Data!$Q:$Q,1),0)-V51</f>
        <v>20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IF(NOT(ISBLANK(W64)),COUNTIFS(Data!$C:$C,$C64,Data!$P:$P,"VAL",Data!$E:$E,$E64,Data!$F:$F,$F64,Data!$I:$I,IF(ISBLANK($I64),"",$I64),Data!$J:$J,$J64,Data!$K:$K,$K64,Data!$R:$R,"",Data!$L:$L,IF(ISBLANK($P64),"",$P64),Data!$G:$G,"MAHEL",Data!$H:$H,"A15C",Data!$M:$M,88, Data!$Q:$Q,1),0)-W51</f>
        <v>2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IF(NOT(ISBLANK(X64)),COUNTIFS(Data!$C:$C,$C64,Data!$P:$P,"VAL",Data!$E:$E,$E64,Data!$F:$F,$F64,Data!$I:$I,IF(ISBLANK($I64),"",$I64),Data!$J:$J,$J64,Data!$K:$K,$K64,Data!$R:$R,"",Data!$L:$L,IF(ISBLANK($P64),"",$P64),Data!$G:$G,"MAHEL",Data!$H:$H,"A15C",Data!$M:$M,105,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/>
      <c r="B70" s="104" t="s">
        <v>389</v>
      </c>
      <c r="C70" s="105" t="s">
        <v>396</v>
      </c>
      <c r="D70" s="62" t="s">
        <v>508</v>
      </c>
      <c r="E70" s="62" t="s">
        <v>487</v>
      </c>
      <c r="F70" s="62">
        <v>1</v>
      </c>
      <c r="G70" s="62" t="s">
        <v>390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30</v>
      </c>
      <c r="O70" s="62"/>
      <c r="P70" s="62" t="s">
        <v>534</v>
      </c>
      <c r="Q70" s="64"/>
      <c r="R70" s="64"/>
      <c r="S70" s="64"/>
      <c r="T70" s="63"/>
      <c r="U70" s="66"/>
      <c r="V70" s="63">
        <f>10*80</f>
        <v>800</v>
      </c>
      <c r="W70" s="63">
        <f>10*80</f>
        <v>800</v>
      </c>
      <c r="X70" s="63">
        <f>10*80</f>
        <v>800</v>
      </c>
      <c r="Y70" s="63">
        <f>SUM(Q70:X70)</f>
        <v>2400</v>
      </c>
      <c r="Z70" s="108" t="s">
        <v>490</v>
      </c>
      <c r="AA70" s="105" t="s">
        <v>406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30</v>
      </c>
      <c r="Q71" s="11">
        <f t="shared" ref="Q71:X71" si="31">IFERROR(Q70/80,0)</f>
        <v>0</v>
      </c>
      <c r="R71" s="11">
        <f t="shared" si="31"/>
        <v>0</v>
      </c>
      <c r="S71" s="11">
        <f t="shared" si="31"/>
        <v>0</v>
      </c>
      <c r="T71" s="11">
        <f t="shared" si="31"/>
        <v>0</v>
      </c>
      <c r="U71" s="11">
        <f t="shared" si="31"/>
        <v>0</v>
      </c>
      <c r="V71" s="11">
        <f t="shared" si="31"/>
        <v>10</v>
      </c>
      <c r="W71" s="11">
        <f t="shared" si="31"/>
        <v>10</v>
      </c>
      <c r="X71" s="11">
        <f t="shared" si="31"/>
        <v>10</v>
      </c>
      <c r="Y71" s="11"/>
      <c r="Z71" s="170" t="s">
        <v>522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9</v>
      </c>
      <c r="Q72" s="11">
        <f t="shared" ref="Q72:X72" si="32">IFERROR(Q71-(Q73+Q75),0)</f>
        <v>0</v>
      </c>
      <c r="R72" s="11">
        <f t="shared" si="32"/>
        <v>0</v>
      </c>
      <c r="S72" s="11">
        <f t="shared" si="32"/>
        <v>0</v>
      </c>
      <c r="T72" s="11">
        <f t="shared" si="32"/>
        <v>0</v>
      </c>
      <c r="U72" s="11">
        <f t="shared" si="32"/>
        <v>0</v>
      </c>
      <c r="V72" s="11">
        <f t="shared" si="32"/>
        <v>1</v>
      </c>
      <c r="W72" s="11">
        <f t="shared" si="32"/>
        <v>7</v>
      </c>
      <c r="X72" s="11">
        <f t="shared" si="32"/>
        <v>1</v>
      </c>
      <c r="Y72" s="11"/>
      <c r="Z72" s="170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73">
        <f>SUM(Q73:X73)</f>
        <v>21</v>
      </c>
      <c r="Q73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IF(NOT(ISBLANK(V70)),COUNTIFS(Data!$C:$C,$C70,Data!$P:$P,"VAL",Data!$E:$E,$E70,Data!$F:$F,$F70,Data!$I:$I,IF(ISBLANK($I70),"",$I70),Data!$J:$J,$J70,Data!$K:$K,$K70,Data!$R:$R,"",Data!$L:$L,IF(ISBLANK($P70),"",$P70),Data!$G:$G,"ZF",Data!$H:$H,"A15C",Data!$M:$M,72),0)-V75-V55-V57</f>
        <v>9</v>
      </c>
      <c r="W73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IF(NOT(ISBLANK(W70)),COUNTIFS(Data!$C:$C,$C70,Data!$P:$P,"VAL",Data!$E:$E,$E70,Data!$F:$F,$F70,Data!$I:$I,IF(ISBLANK($I70),"",$I70),Data!$J:$J,$J70,Data!$K:$K,$K70,Data!$R:$R,"",Data!$L:$L,IF(ISBLANK($P70),"",$P70),Data!$G:$G,"ZF",Data!$H:$H,"A15C",Data!$M:$M,88),0)-W75-W55-W57</f>
        <v>3</v>
      </c>
      <c r="X73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IF(NOT(ISBLANK(X70)),COUNTIFS(Data!$C:$C,$C70,Data!$P:$P,"VAL",Data!$E:$E,$E70,Data!$F:$F,$F70,Data!$I:$I,IF(ISBLANK($I70),"",$I70),Data!$J:$J,$J70,Data!$K:$K,$K70,Data!$R:$R,"",Data!$L:$L,IF(ISBLANK($P70),"",$P70),Data!$G:$G,"ZF",Data!$H:$H,"A15C",Data!$M:$M,105),0)-X75-X55-X57</f>
        <v>9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 t="shared" ref="Q74:X74" si="33">IF(($P73+$P75)&gt;$P71,IF((Q73+Q75)-Q71&gt;0,(Q73+Q75)-Q71,0),0)</f>
        <v>0</v>
      </c>
      <c r="R74" s="11">
        <f t="shared" si="33"/>
        <v>0</v>
      </c>
      <c r="S74" s="11">
        <f t="shared" si="33"/>
        <v>0</v>
      </c>
      <c r="T74" s="11">
        <f t="shared" si="33"/>
        <v>0</v>
      </c>
      <c r="U74" s="11">
        <f t="shared" si="33"/>
        <v>0</v>
      </c>
      <c r="V74" s="11">
        <f t="shared" si="33"/>
        <v>0</v>
      </c>
      <c r="W74" s="11">
        <f t="shared" si="33"/>
        <v>0</v>
      </c>
      <c r="X74" s="11">
        <f t="shared" si="33"/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73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Data!$Q:$Q,1),0)-X57</f>
        <v>0</v>
      </c>
      <c r="Y75" s="11"/>
      <c r="Z75" s="11"/>
      <c r="AA75" s="11">
        <v>80</v>
      </c>
    </row>
    <row r="76" spans="1:27" ht="15.6" x14ac:dyDescent="0.3">
      <c r="A76" s="64"/>
      <c r="B76" s="104" t="s">
        <v>485</v>
      </c>
      <c r="C76" s="105" t="s">
        <v>478</v>
      </c>
      <c r="D76" s="62" t="s">
        <v>508</v>
      </c>
      <c r="E76" s="62" t="s">
        <v>487</v>
      </c>
      <c r="F76" s="62">
        <v>1</v>
      </c>
      <c r="G76" s="62" t="s">
        <v>411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542</v>
      </c>
      <c r="Q76" s="64"/>
      <c r="R76" s="64"/>
      <c r="S76" s="64"/>
      <c r="T76" s="63"/>
      <c r="U76" s="63"/>
      <c r="V76" s="63">
        <f>20*80</f>
        <v>1600</v>
      </c>
      <c r="W76" s="63">
        <f>10*80</f>
        <v>800</v>
      </c>
      <c r="X76" s="63"/>
      <c r="Y76" s="63">
        <f>SUM(Q76:X76)</f>
        <v>2400</v>
      </c>
      <c r="Z76" s="108" t="s">
        <v>489</v>
      </c>
      <c r="AA76" s="105" t="s">
        <v>482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20</v>
      </c>
      <c r="W77" s="11">
        <f t="shared" si="34"/>
        <v>10</v>
      </c>
      <c r="X77" s="11">
        <f t="shared" si="34"/>
        <v>0</v>
      </c>
      <c r="Y77" s="11"/>
      <c r="Z77" s="170" t="s">
        <v>928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20</v>
      </c>
      <c r="W78" s="11">
        <f t="shared" si="35"/>
        <v>10</v>
      </c>
      <c r="X78" s="11">
        <f t="shared" si="35"/>
        <v>0</v>
      </c>
      <c r="Y78" s="11"/>
      <c r="Z78" s="170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73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IF(NOT(ISBLANK(X76)),COUNTIFS(Data!$C:$C,$C76,Data!$P:$P,"VAL",Data!$E:$E,$E76,Data!$F:$F,$F76,Data!$I:$I,IF(ISBLANK($I76),"",$I76),Data!$J:$J,$J76,Data!$K:$K,$K76,Data!$R:$R,"",Data!$L:$L,IF(ISBLANK($P76),"",$P76),Data!$G:$G,"MALA",Data!$H:$H,"A15C",Data!$M:$M,105),0)-X81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73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IF(NOT(ISBLANK(Q76)),COUNTIFS(Data!$C:$C,$C76,Data!$P:$P,"VAL",Data!$E:$E,$E76,Data!$F:$F,$F76,Data!$I:$I,IF(ISBLANK($I76),"",$I76),Data!$J:$J,$J76,Data!$K:$K,$K76,Data!$R:$R,"",Data!$L:$L,IF(ISBLANK($P76),"",$P76),Data!$G:$G,"MALA",Data!$H:$H,"A15C",Data!$M:$M,36,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IF(NOT(ISBLANK(R76)),COUNTIFS(Data!$C:$C,$C76,Data!$P:$P,"VAL",Data!$E:$E,$E76,Data!$F:$F,$F76,Data!$I:$I,IF(ISBLANK($I76),"",$I76),Data!$J:$J,$J76,Data!$K:$K,$K76,Data!$R:$R,"",Data!$L:$L,IF(ISBLANK($P76),"",$P76),Data!$G:$G,"MALA",Data!$H:$H,"A15C",Data!$M:$M,40,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IF(NOT(ISBLANK(S76)),COUNTIFS(Data!$C:$C,$C76,Data!$P:$P,"VAL",Data!$E:$E,$E76,Data!$F:$F,$F76,Data!$I:$I,IF(ISBLANK($I76),"",$I76),Data!$J:$J,$J76,Data!$K:$K,$K76,Data!$R:$R,"",Data!$L:$L,IF(ISBLANK($P76),"",$P76),Data!$G:$G,"MALA",Data!$H:$H,"A15C",Data!$M:$M,48,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IF(NOT(ISBLANK(T76)),COUNTIFS(Data!$C:$C,$C76,Data!$P:$P,"VAL",Data!$E:$E,$E76,Data!$F:$F,$F76,Data!$I:$I,IF(ISBLANK($I76),"",$I76),Data!$J:$J,$J76,Data!$K:$K,$K76,Data!$R:$R,"",Data!$L:$L,IF(ISBLANK($P76),"",$P76),Data!$G:$G,"MALA",Data!$H:$H,"A15C",Data!$M:$M,56,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IF(NOT(ISBLANK(U76)),COUNTIFS(Data!$C:$C,$C76,Data!$P:$P,"VAL",Data!$E:$E,$E76,Data!$F:$F,$F76,Data!$I:$I,IF(ISBLANK($I76),"",$I76),Data!$J:$J,$J76,Data!$K:$K,$K76,Data!$R:$R,"",Data!$L:$L,IF(ISBLANK($P76),"",$P76),Data!$G:$G,"MALA",Data!$H:$H,"A15C",Data!$M:$M,64,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IF(NOT(ISBLANK(V76)),COUNTIFS(Data!$C:$C,$C76,Data!$P:$P,"VAL",Data!$E:$E,$E76,Data!$F:$F,$F76,Data!$I:$I,IF(ISBLANK($I76),"",$I76),Data!$J:$J,$J76,Data!$K:$K,$K76,Data!$R:$R,"",Data!$L:$L,IF(ISBLANK($P76),"",$P76),Data!$G:$G,"MALA",Data!$H:$H,"A15C",Data!$M:$M,72,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IF(NOT(ISBLANK(W76)),COUNTIFS(Data!$C:$C,$C76,Data!$P:$P,"VAL",Data!$E:$E,$E76,Data!$F:$F,$F76,Data!$I:$I,IF(ISBLANK($I76),"",$I76),Data!$J:$J,$J76,Data!$K:$K,$K76,Data!$R:$R,"",Data!$L:$L,IF(ISBLANK($P76),"",$P76),Data!$G:$G,"MALA",Data!$H:$H,"A15C",Data!$M:$M,88,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IF(NOT(ISBLANK(X76)),COUNTIFS(Data!$C:$C,$C76,Data!$P:$P,"VAL",Data!$E:$E,$E76,Data!$F:$F,$F76,Data!$I:$I,IF(ISBLANK($I76),"",$I76),Data!$J:$J,$J76,Data!$K:$K,$K76,Data!$R:$R,"",Data!$L:$L,IF(ISBLANK($P76),"",$P76),Data!$G:$G,"MALA",Data!$H:$H,"A15C",Data!$M:$M,105, Data!$Q:$Q,1),0)</f>
        <v>0</v>
      </c>
      <c r="Y81" s="11"/>
      <c r="Z81" s="11"/>
      <c r="AA81" s="11">
        <v>80</v>
      </c>
    </row>
    <row r="82" spans="1:27" ht="15.6" x14ac:dyDescent="0.3">
      <c r="A82" s="153"/>
      <c r="B82" s="153" t="s">
        <v>389</v>
      </c>
      <c r="C82" s="154" t="s">
        <v>396</v>
      </c>
      <c r="D82" s="154" t="s">
        <v>508</v>
      </c>
      <c r="E82" s="154" t="s">
        <v>487</v>
      </c>
      <c r="F82" s="154">
        <v>1</v>
      </c>
      <c r="G82" s="154" t="s">
        <v>390</v>
      </c>
      <c r="H82" s="154" t="s">
        <v>391</v>
      </c>
      <c r="I82" s="154"/>
      <c r="J82" s="154" t="s">
        <v>488</v>
      </c>
      <c r="K82" s="154" t="s">
        <v>487</v>
      </c>
      <c r="L82" s="154" t="s">
        <v>481</v>
      </c>
      <c r="M82" s="154" t="s">
        <v>393</v>
      </c>
      <c r="N82" s="154">
        <f>+Y82/80</f>
        <v>20</v>
      </c>
      <c r="O82" s="154"/>
      <c r="P82" s="154" t="s">
        <v>534</v>
      </c>
      <c r="Q82" s="153"/>
      <c r="R82" s="153"/>
      <c r="S82" s="153"/>
      <c r="T82" s="156"/>
      <c r="U82" s="171"/>
      <c r="V82" s="156">
        <f>7*80</f>
        <v>560</v>
      </c>
      <c r="W82" s="156">
        <f t="shared" ref="W82" si="37">7*80</f>
        <v>560</v>
      </c>
      <c r="X82" s="156">
        <f>6*80</f>
        <v>480</v>
      </c>
      <c r="Y82" s="156">
        <f>SUM(Q82:X82)</f>
        <v>1600</v>
      </c>
      <c r="Z82" s="157" t="s">
        <v>490</v>
      </c>
      <c r="AA82" s="154" t="s">
        <v>406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20</v>
      </c>
      <c r="Q83" s="11">
        <f t="shared" ref="Q83:X83" si="38">IFERROR(Q82/80,0)</f>
        <v>0</v>
      </c>
      <c r="R83" s="11">
        <f t="shared" si="38"/>
        <v>0</v>
      </c>
      <c r="S83" s="11">
        <f t="shared" si="38"/>
        <v>0</v>
      </c>
      <c r="T83" s="11">
        <f t="shared" si="38"/>
        <v>0</v>
      </c>
      <c r="U83" s="11">
        <f t="shared" si="38"/>
        <v>0</v>
      </c>
      <c r="V83" s="11">
        <f t="shared" si="38"/>
        <v>7</v>
      </c>
      <c r="W83" s="11">
        <f t="shared" si="38"/>
        <v>7</v>
      </c>
      <c r="X83" s="11">
        <f t="shared" si="38"/>
        <v>6</v>
      </c>
      <c r="Y83" s="11"/>
      <c r="Z83" s="170" t="s">
        <v>522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20</v>
      </c>
      <c r="Q84" s="11">
        <f t="shared" ref="Q84:X84" si="39">IFERROR(Q83-(Q85+Q87),0)</f>
        <v>0</v>
      </c>
      <c r="R84" s="11">
        <f t="shared" si="39"/>
        <v>0</v>
      </c>
      <c r="S84" s="11">
        <f t="shared" si="39"/>
        <v>0</v>
      </c>
      <c r="T84" s="11">
        <f t="shared" si="39"/>
        <v>0</v>
      </c>
      <c r="U84" s="11">
        <f t="shared" si="39"/>
        <v>0</v>
      </c>
      <c r="V84" s="11">
        <f t="shared" si="39"/>
        <v>7</v>
      </c>
      <c r="W84" s="11">
        <f t="shared" si="39"/>
        <v>7</v>
      </c>
      <c r="X84" s="11">
        <f t="shared" si="39"/>
        <v>6</v>
      </c>
      <c r="Y84" s="11"/>
      <c r="Z84" s="170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73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87-V55-V57-V73-V75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87-W55-W57-W73-W75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87-X55-X57-X73-X75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X86" si="40">IF(($P85+$P87)&gt;$P83,IF((Q85+Q87)-Q83&gt;0,(Q85+Q87)-Q83,0),0)</f>
        <v>0</v>
      </c>
      <c r="R86" s="11">
        <f t="shared" si="40"/>
        <v>0</v>
      </c>
      <c r="S86" s="11">
        <f t="shared" si="40"/>
        <v>0</v>
      </c>
      <c r="T86" s="11">
        <f t="shared" si="40"/>
        <v>0</v>
      </c>
      <c r="U86" s="11">
        <f t="shared" si="40"/>
        <v>0</v>
      </c>
      <c r="V86" s="11">
        <f t="shared" si="40"/>
        <v>0</v>
      </c>
      <c r="W86" s="11">
        <f t="shared" si="40"/>
        <v>0</v>
      </c>
      <c r="X86" s="11">
        <f t="shared" si="40"/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73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Data!$Q:$Q,1),0)-V57-V75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Data!$Q:$Q,1),0)-W57-W75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Data!$Q:$Q,1),0)-X57-X75</f>
        <v>0</v>
      </c>
      <c r="Y87" s="11"/>
      <c r="Z87" s="11"/>
      <c r="AA87" s="11">
        <v>80</v>
      </c>
    </row>
    <row r="88" spans="1:27" ht="15.6" x14ac:dyDescent="0.3">
      <c r="A88" s="153"/>
      <c r="B88" s="153" t="s">
        <v>485</v>
      </c>
      <c r="C88" s="154" t="s">
        <v>478</v>
      </c>
      <c r="D88" s="154" t="s">
        <v>508</v>
      </c>
      <c r="E88" s="154" t="s">
        <v>487</v>
      </c>
      <c r="F88" s="154">
        <v>1</v>
      </c>
      <c r="G88" s="154" t="s">
        <v>411</v>
      </c>
      <c r="H88" s="154" t="s">
        <v>391</v>
      </c>
      <c r="I88" s="154"/>
      <c r="J88" s="154" t="s">
        <v>488</v>
      </c>
      <c r="K88" s="154" t="s">
        <v>487</v>
      </c>
      <c r="L88" s="154" t="s">
        <v>481</v>
      </c>
      <c r="M88" s="154" t="s">
        <v>393</v>
      </c>
      <c r="N88" s="154">
        <f>+Y88/80</f>
        <v>40</v>
      </c>
      <c r="O88" s="154"/>
      <c r="P88" s="154" t="s">
        <v>542</v>
      </c>
      <c r="Q88" s="153"/>
      <c r="R88" s="153"/>
      <c r="S88" s="153"/>
      <c r="T88" s="156"/>
      <c r="U88" s="156"/>
      <c r="V88" s="156">
        <f>20*80</f>
        <v>1600</v>
      </c>
      <c r="W88" s="156">
        <f>20*80</f>
        <v>1600</v>
      </c>
      <c r="X88" s="156"/>
      <c r="Y88" s="156">
        <f>SUM(Q88:X88)</f>
        <v>3200</v>
      </c>
      <c r="Z88" s="157" t="s">
        <v>489</v>
      </c>
      <c r="AA88" s="154" t="s">
        <v>482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40</v>
      </c>
      <c r="Q89" s="11">
        <f t="shared" ref="Q89:X89" si="41">IFERROR(Q88/80,0)</f>
        <v>0</v>
      </c>
      <c r="R89" s="11">
        <f t="shared" si="41"/>
        <v>0</v>
      </c>
      <c r="S89" s="11">
        <f t="shared" si="41"/>
        <v>0</v>
      </c>
      <c r="T89" s="11">
        <f t="shared" si="41"/>
        <v>0</v>
      </c>
      <c r="U89" s="11">
        <f t="shared" si="41"/>
        <v>0</v>
      </c>
      <c r="V89" s="11">
        <f t="shared" si="41"/>
        <v>20</v>
      </c>
      <c r="W89" s="11">
        <f t="shared" si="41"/>
        <v>20</v>
      </c>
      <c r="X89" s="11">
        <f t="shared" si="41"/>
        <v>0</v>
      </c>
      <c r="Y89" s="11"/>
      <c r="Z89" s="170" t="s">
        <v>928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40</v>
      </c>
      <c r="Q90" s="11">
        <f t="shared" ref="Q90:X90" si="42">IFERROR(Q89-(Q91+Q93),0)</f>
        <v>0</v>
      </c>
      <c r="R90" s="11">
        <f t="shared" si="42"/>
        <v>0</v>
      </c>
      <c r="S90" s="11">
        <f t="shared" si="42"/>
        <v>0</v>
      </c>
      <c r="T90" s="11">
        <f t="shared" si="42"/>
        <v>0</v>
      </c>
      <c r="U90" s="11">
        <f t="shared" si="42"/>
        <v>0</v>
      </c>
      <c r="V90" s="11">
        <f t="shared" si="42"/>
        <v>20</v>
      </c>
      <c r="W90" s="11">
        <f t="shared" si="42"/>
        <v>20</v>
      </c>
      <c r="X90" s="11">
        <f t="shared" si="42"/>
        <v>0</v>
      </c>
      <c r="Y90" s="11"/>
      <c r="Z90" s="170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73">
        <f>SUM(Q91:X91)</f>
        <v>0</v>
      </c>
      <c r="Q91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IF(NOT(ISBLANK(S88)),COUNTIFS(Data!$C:$C,$C88,Data!$P:$P,"VAL",Data!$E:$E,$E88,Data!$F:$F,$F88,Data!$I:$I,IF(ISBLANK($I88),"",$I88),Data!$J:$J,$J88,Data!$K:$K,$K88,Data!$R:$R,"",Data!$L:$L,IF(ISBLANK($P88),"",$P88),Data!$G:$G,"MALA",Data!$H:$H,"A15C",Data!$M:$M,48),0)-S93</f>
        <v>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IF(NOT(ISBLANK(T88)),COUNTIFS(Data!$C:$C,$C88,Data!$P:$P,"VAL",Data!$E:$E,$E88,Data!$F:$F,$F88,Data!$I:$I,IF(ISBLANK($I88),"",$I88),Data!$J:$J,$J88,Data!$K:$K,$K88,Data!$R:$R,"",Data!$L:$L,IF(ISBLANK($P88),"",$P88),Data!$G:$G,"MALA",Data!$H:$H,"A15C",Data!$M:$M,56),0)-T93</f>
        <v>0</v>
      </c>
      <c r="U91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IF(NOT(ISBLANK(U88)),COUNTIFS(Data!$C:$C,$C88,Data!$P:$P,"VAL",Data!$E:$E,$E88,Data!$F:$F,$F88,Data!$I:$I,IF(ISBLANK($I88),"",$I88),Data!$J:$J,$J88,Data!$K:$K,$K88,Data!$R:$R,"",Data!$L:$L,IF(ISBLANK($P88),"",$P88),Data!$G:$G,"MALA",Data!$H:$H,"A15C",Data!$M:$M,64),0)-U93</f>
        <v>0</v>
      </c>
      <c r="V91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72),0)-V93-V61-V63-V79-V81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88),0)-W93-W61-W63-W79-W81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3">IF(($P91+$P93)&gt;$P89,IF((Q91+Q93)-Q89&gt;0,(Q91+Q93)-Q89,0),0)</f>
        <v>0</v>
      </c>
      <c r="R92" s="11">
        <f t="shared" si="43"/>
        <v>0</v>
      </c>
      <c r="S92" s="11">
        <f t="shared" si="43"/>
        <v>0</v>
      </c>
      <c r="T92" s="11">
        <f t="shared" si="43"/>
        <v>0</v>
      </c>
      <c r="U92" s="11">
        <f t="shared" si="43"/>
        <v>0</v>
      </c>
      <c r="V92" s="11">
        <f t="shared" si="43"/>
        <v>0</v>
      </c>
      <c r="W92" s="11">
        <f t="shared" si="43"/>
        <v>0</v>
      </c>
      <c r="X92" s="11">
        <f t="shared" si="43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73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IF(NOT(ISBLANK(Q88)),COUNTIFS(Data!$C:$C,$C88,Data!$P:$P,"VAL",Data!$E:$E,$E88,Data!$F:$F,$F88,Data!$I:$I,IF(ISBLANK($I88),"",$I88),Data!$J:$J,$J88,Data!$K:$K,$K88,Data!$R:$R,"",Data!$L:$L,IF(ISBLANK($P88),"",$P88),Data!$G:$G,"MALA",Data!$H:$H,"A15C",Data!$M:$M,36,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IF(NOT(ISBLANK(R88)),COUNTIFS(Data!$C:$C,$C88,Data!$P:$P,"VAL",Data!$E:$E,$E88,Data!$F:$F,$F88,Data!$I:$I,IF(ISBLANK($I88),"",$I88),Data!$J:$J,$J88,Data!$K:$K,$K88,Data!$R:$R,"",Data!$L:$L,IF(ISBLANK($P88),"",$P88),Data!$G:$G,"MALA",Data!$H:$H,"A15C",Data!$M:$M,40,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IF(NOT(ISBLANK(S88)),COUNTIFS(Data!$C:$C,$C88,Data!$P:$P,"VAL",Data!$E:$E,$E88,Data!$F:$F,$F88,Data!$I:$I,IF(ISBLANK($I88),"",$I88),Data!$J:$J,$J88,Data!$K:$K,$K88,Data!$R:$R,"",Data!$L:$L,IF(ISBLANK($P88),"",$P88),Data!$G:$G,"MALA",Data!$H:$H,"A15C",Data!$M:$M,48,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IF(NOT(ISBLANK(T88)),COUNTIFS(Data!$C:$C,$C88,Data!$P:$P,"VAL",Data!$E:$E,$E88,Data!$F:$F,$F88,Data!$I:$I,IF(ISBLANK($I88),"",$I88),Data!$J:$J,$J88,Data!$K:$K,$K88,Data!$R:$R,"",Data!$L:$L,IF(ISBLANK($P88),"",$P88),Data!$G:$G,"MALA",Data!$H:$H,"A15C",Data!$M:$M,56,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IF(NOT(ISBLANK(U88)),COUNTIFS(Data!$C:$C,$C88,Data!$P:$P,"VAL",Data!$E:$E,$E88,Data!$F:$F,$F88,Data!$I:$I,IF(ISBLANK($I88),"",$I88),Data!$J:$J,$J88,Data!$K:$K,$K88,Data!$R:$R,"",Data!$L:$L,IF(ISBLANK($P88),"",$P88),Data!$G:$G,"MALA",Data!$H:$H,"A15C",Data!$M:$M,64,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IF(NOT(ISBLANK(V88)),COUNTIFS(Data!$C:$C,$C88,Data!$P:$P,"VAL",Data!$E:$E,$E88,Data!$F:$F,$F88,Data!$I:$I,IF(ISBLANK($I88),"",$I88),Data!$J:$J,$J88,Data!$K:$K,$K88,Data!$R:$R,"",Data!$L:$L,IF(ISBLANK($P88),"",$P88),Data!$G:$G,"MALA",Data!$H:$H,"A15C",Data!$M:$M,72, Data!$Q:$Q,1),0)-V63-V81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IF(NOT(ISBLANK(W88)),COUNTIFS(Data!$C:$C,$C88,Data!$P:$P,"VAL",Data!$E:$E,$E88,Data!$F:$F,$F88,Data!$I:$I,IF(ISBLANK($I88),"",$I88),Data!$J:$J,$J88,Data!$K:$K,$K88,Data!$R:$R,"",Data!$L:$L,IF(ISBLANK($P88),"",$P88),Data!$G:$G,"MALA",Data!$H:$H,"A15C",Data!$M:$M,88, Data!$Q:$Q,1),0)-W63-W81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IF(NOT(ISBLANK(X88)),COUNTIFS(Data!$C:$C,$C88,Data!$P:$P,"VAL",Data!$E:$E,$E88,Data!$F:$F,$F88,Data!$I:$I,IF(ISBLANK($I88),"",$I88),Data!$J:$J,$J88,Data!$K:$K,$K88,Data!$R:$R,"",Data!$L:$L,IF(ISBLANK($P88),"",$P88),Data!$G:$G,"MALA",Data!$H:$H,"A15C",Data!$M:$M,105, Data!$Q:$Q,1),0)</f>
        <v>0</v>
      </c>
      <c r="Y93" s="11"/>
      <c r="Z93" s="11"/>
      <c r="AA93" s="11">
        <v>80</v>
      </c>
    </row>
    <row r="94" spans="1:27" ht="15.6" x14ac:dyDescent="0.3">
      <c r="A94" s="147" t="s">
        <v>395</v>
      </c>
      <c r="B94" s="147" t="s">
        <v>389</v>
      </c>
      <c r="C94" s="111" t="s">
        <v>396</v>
      </c>
      <c r="D94" s="111" t="s">
        <v>508</v>
      </c>
      <c r="E94" s="111" t="s">
        <v>397</v>
      </c>
      <c r="F94" s="111">
        <v>1</v>
      </c>
      <c r="G94" s="111" t="s">
        <v>390</v>
      </c>
      <c r="H94" s="111" t="s">
        <v>391</v>
      </c>
      <c r="I94" s="148" t="s">
        <v>533</v>
      </c>
      <c r="J94" s="111" t="s">
        <v>398</v>
      </c>
      <c r="K94" s="111" t="s">
        <v>397</v>
      </c>
      <c r="L94" s="111" t="s">
        <v>392</v>
      </c>
      <c r="M94" s="111" t="s">
        <v>399</v>
      </c>
      <c r="N94" s="111"/>
      <c r="O94" s="111">
        <f>+Y94/70</f>
        <v>74</v>
      </c>
      <c r="P94" s="111" t="s">
        <v>534</v>
      </c>
      <c r="Q94" s="150"/>
      <c r="R94" s="149"/>
      <c r="S94" s="149">
        <f>20*70</f>
        <v>1400</v>
      </c>
      <c r="T94" s="149">
        <f>27*70</f>
        <v>1890</v>
      </c>
      <c r="U94" s="149">
        <f>27*70</f>
        <v>1890</v>
      </c>
      <c r="V94" s="149"/>
      <c r="W94" s="149"/>
      <c r="X94" s="149"/>
      <c r="Y94" s="149">
        <f>SUM(Q94:X94)</f>
        <v>5180</v>
      </c>
      <c r="Z94" s="151" t="s">
        <v>552</v>
      </c>
      <c r="AA94" s="111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74</v>
      </c>
      <c r="Q95" s="11">
        <f t="shared" ref="Q95:X95" si="44">IFERROR(Q94/70,0)</f>
        <v>0</v>
      </c>
      <c r="R95" s="11">
        <f t="shared" si="44"/>
        <v>0</v>
      </c>
      <c r="S95" s="11">
        <f t="shared" si="44"/>
        <v>20</v>
      </c>
      <c r="T95" s="11">
        <f t="shared" si="44"/>
        <v>27</v>
      </c>
      <c r="U95" s="11">
        <f t="shared" si="44"/>
        <v>27</v>
      </c>
      <c r="V95" s="11">
        <f t="shared" si="44"/>
        <v>0</v>
      </c>
      <c r="W95" s="11">
        <f t="shared" si="44"/>
        <v>0</v>
      </c>
      <c r="X95" s="11">
        <f t="shared" si="44"/>
        <v>0</v>
      </c>
      <c r="Y95" s="11"/>
      <c r="Z95" s="170" t="s">
        <v>554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0</v>
      </c>
      <c r="Q96" s="11">
        <f t="shared" ref="Q96:X96" si="45">IFERROR(Q95-(Q97+Q99),0)</f>
        <v>0</v>
      </c>
      <c r="R96" s="11">
        <f t="shared" si="45"/>
        <v>0</v>
      </c>
      <c r="S96" s="11">
        <f t="shared" si="45"/>
        <v>6</v>
      </c>
      <c r="T96" s="11">
        <f t="shared" si="45"/>
        <v>-16</v>
      </c>
      <c r="U96" s="11">
        <f t="shared" si="45"/>
        <v>10</v>
      </c>
      <c r="V96" s="11">
        <f t="shared" si="45"/>
        <v>0</v>
      </c>
      <c r="W96" s="11">
        <f t="shared" si="45"/>
        <v>0</v>
      </c>
      <c r="X96" s="11">
        <f t="shared" si="45"/>
        <v>0</v>
      </c>
      <c r="Y96" s="11"/>
      <c r="Z96" s="170"/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73">
        <f>SUM(Q97:X97)</f>
        <v>35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4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16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15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11"/>
      <c r="Z97" s="11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6">IF(($P97+$P99)&gt;$P95,IF((Q97+Q99)-Q95&gt;0,(Q97+Q99)-Q95,0),0)</f>
        <v>0</v>
      </c>
      <c r="R98" s="11">
        <f t="shared" si="46"/>
        <v>0</v>
      </c>
      <c r="S98" s="11">
        <f t="shared" si="46"/>
        <v>0</v>
      </c>
      <c r="T98" s="11">
        <f t="shared" si="46"/>
        <v>0</v>
      </c>
      <c r="U98" s="11">
        <f t="shared" si="46"/>
        <v>0</v>
      </c>
      <c r="V98" s="11">
        <f t="shared" si="46"/>
        <v>0</v>
      </c>
      <c r="W98" s="11">
        <f t="shared" si="46"/>
        <v>0</v>
      </c>
      <c r="X98" s="11">
        <f t="shared" si="46"/>
        <v>0</v>
      </c>
      <c r="Y98" s="11"/>
      <c r="Z98" s="11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73">
        <f>SUM(Q99:X99)</f>
        <v>39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10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27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2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11"/>
      <c r="Z99" s="11"/>
      <c r="AA99" s="11">
        <v>70</v>
      </c>
    </row>
    <row r="100" spans="1:27" ht="15.6" x14ac:dyDescent="0.3">
      <c r="A100" s="66"/>
      <c r="B100" s="66"/>
      <c r="C100" s="105" t="s">
        <v>396</v>
      </c>
      <c r="D100" s="62" t="s">
        <v>508</v>
      </c>
      <c r="E100" s="62" t="s">
        <v>397</v>
      </c>
      <c r="F100" s="62">
        <v>1</v>
      </c>
      <c r="G100" s="62" t="s">
        <v>555</v>
      </c>
      <c r="H100" s="106" t="s">
        <v>419</v>
      </c>
      <c r="I100" s="106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+Y100/55</f>
        <v>15</v>
      </c>
      <c r="P100" s="62" t="s">
        <v>534</v>
      </c>
      <c r="Q100" s="63">
        <f>2*55</f>
        <v>110</v>
      </c>
      <c r="R100" s="63">
        <f>5*55</f>
        <v>275</v>
      </c>
      <c r="S100" s="63">
        <f>8*55</f>
        <v>440</v>
      </c>
      <c r="T100" s="63"/>
      <c r="U100" s="63"/>
      <c r="V100" s="63"/>
      <c r="W100" s="63"/>
      <c r="X100" s="63"/>
      <c r="Y100" s="63">
        <f>SUM(Q100:X100)</f>
        <v>825</v>
      </c>
      <c r="Z100" s="65" t="s">
        <v>490</v>
      </c>
      <c r="AA100" s="62" t="s">
        <v>406</v>
      </c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15</v>
      </c>
      <c r="Q101" s="11">
        <f t="shared" ref="Q101:X101" si="47">IFERROR(Q100/55,0)</f>
        <v>2</v>
      </c>
      <c r="R101" s="11">
        <f t="shared" si="47"/>
        <v>5</v>
      </c>
      <c r="S101" s="11">
        <f t="shared" si="47"/>
        <v>8</v>
      </c>
      <c r="T101" s="11">
        <f t="shared" si="47"/>
        <v>0</v>
      </c>
      <c r="U101" s="11">
        <f t="shared" si="47"/>
        <v>0</v>
      </c>
      <c r="V101" s="11">
        <f t="shared" si="47"/>
        <v>0</v>
      </c>
      <c r="W101" s="11">
        <f t="shared" si="47"/>
        <v>0</v>
      </c>
      <c r="X101" s="11">
        <f t="shared" si="47"/>
        <v>0</v>
      </c>
      <c r="Y101" s="11"/>
      <c r="Z101" s="170" t="s">
        <v>523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</v>
      </c>
      <c r="Q102" s="11">
        <f t="shared" ref="Q102:X102" si="48">IFERROR(Q101-(Q103+Q105),0)</f>
        <v>0</v>
      </c>
      <c r="R102" s="11">
        <f t="shared" si="48"/>
        <v>-3</v>
      </c>
      <c r="S102" s="11">
        <f t="shared" si="48"/>
        <v>6</v>
      </c>
      <c r="T102" s="11">
        <f t="shared" si="48"/>
        <v>0</v>
      </c>
      <c r="U102" s="11">
        <f t="shared" si="48"/>
        <v>0</v>
      </c>
      <c r="V102" s="11">
        <f t="shared" si="48"/>
        <v>0</v>
      </c>
      <c r="W102" s="11">
        <f t="shared" si="48"/>
        <v>0</v>
      </c>
      <c r="X102" s="11">
        <f t="shared" si="48"/>
        <v>0</v>
      </c>
      <c r="Y102" s="11"/>
      <c r="Z102" s="170" t="s">
        <v>519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73">
        <f>SUM(Q103:X103)</f>
        <v>7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45)+COUNTIFS(Data!$C:$C,$C100,Data!$P:$P,"VAL",Data!$E:$E,$E100,Data!$F:$F,$F100,Data!$I:$I,IF(ISBLANK($I100),"",$I100),Data!$J:$J,$J100,Data!$K:$K,$K100,Data!$R:$R,"",Data!$L:$L,IF(ISBLANK($P100),"",$P100),Data!$G:$G,"MAHEL",Data!$H:$H,"E15D",Data!$M:$M,45)+COUNTIFS(Data!$C:$C,$C100,Data!$P:$P,"VAL",Data!$E:$E,$E100,Data!$F:$F,$F100,Data!$I:$I,IF(ISBLANK($I100),"",$I100),Data!$J:$J,$J100,Data!$K:$K,$K100,Data!$R:$R,"",Data!$L:$L,IF(ISBLANK($P100),"",$P100),Data!$G:$G,"MALA",Data!$H:$H,"E15D",Data!$M:$M,45)+COUNTIFS(Data!$C:$C,$C100,Data!$P:$P,"VAL",Data!$E:$E,$E100,Data!$F:$F,$F100,Data!$I:$I,IF(ISBLANK($I100),"",$I100),Data!$J:$J,$J100,Data!$K:$K,$K100,Data!$R:$R,"",Data!$L:$L,IF(ISBLANK($P100),"",$P100),Data!$G:$G,"MAKUL",Data!$H:$H,"E15D",Data!$M:$M,45),0)-Q105</f>
        <v>1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50)+COUNTIFS(Data!$C:$C,$C100,Data!$P:$P,"VAL",Data!$E:$E,$E100,Data!$F:$F,$F100,Data!$I:$I,IF(ISBLANK($I100),"",$I100),Data!$J:$J,$J100,Data!$K:$K,$K100,Data!$R:$R,"",Data!$L:$L,IF(ISBLANK($P100),"",$P100),Data!$G:$G,"MAHEL",Data!$H:$H,"E15D",Data!$M:$M,50)+COUNTIFS(Data!$C:$C,$C100,Data!$P:$P,"VAL",Data!$E:$E,$E100,Data!$F:$F,$F100,Data!$I:$I,IF(ISBLANK($I100),"",$I100),Data!$J:$J,$J100,Data!$K:$K,$K100,Data!$R:$R,"",Data!$L:$L,IF(ISBLANK($P100),"",$P100),Data!$G:$G,"MALA",Data!$H:$H,"E15D",Data!$M:$M,50)+COUNTIFS(Data!$C:$C,$C100,Data!$P:$P,"VAL",Data!$E:$E,$E100,Data!$F:$F,$F100,Data!$I:$I,IF(ISBLANK($I100),"",$I100),Data!$J:$J,$J100,Data!$K:$K,$K100,Data!$R:$R,"",Data!$L:$L,IF(ISBLANK($P100),"",$P100),Data!$G:$G,"MAKUL",Data!$H:$H,"E15D",Data!$M:$M,50),0)-R105</f>
        <v>4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55)+COUNTIFS(Data!$C:$C,$C100,Data!$P:$P,"VAL",Data!$E:$E,$E100,Data!$F:$F,$F100,Data!$I:$I,IF(ISBLANK($I100),"",$I100),Data!$J:$J,$J100,Data!$K:$K,$K100,Data!$R:$R,"",Data!$L:$L,IF(ISBLANK($P100),"",$P100),Data!$G:$G,"MAHEL",Data!$H:$H,"E15D",Data!$M:$M,55)+COUNTIFS(Data!$C:$C,$C100,Data!$P:$P,"VAL",Data!$E:$E,$E100,Data!$F:$F,$F100,Data!$I:$I,IF(ISBLANK($I100),"",$I100),Data!$J:$J,$J100,Data!$K:$K,$K100,Data!$R:$R,"",Data!$L:$L,IF(ISBLANK($P100),"",$P100),Data!$G:$G,"MALA",Data!$H:$H,"E15D",Data!$M:$M,55)+COUNTIFS(Data!$C:$C,$C100,Data!$P:$P,"VAL",Data!$E:$E,$E100,Data!$F:$F,$F100,Data!$I:$I,IF(ISBLANK($I100),"",$I100),Data!$J:$J,$J100,Data!$K:$K,$K100,Data!$R:$R,"",Data!$L:$L,IF(ISBLANK($P100),"",$P100),Data!$G:$G,"MAKUL",Data!$H:$H,"E15D",Data!$M:$M,55),0)-S105</f>
        <v>2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60)+COUNTIFS(Data!$C:$C,$C100,Data!$P:$P,"VAL",Data!$E:$E,$E100,Data!$F:$F,$F100,Data!$I:$I,IF(ISBLANK($I100),"",$I100),Data!$J:$J,$J100,Data!$K:$K,$K100,Data!$R:$R,"",Data!$L:$L,IF(ISBLANK($P100),"",$P100),Data!$G:$G,"MAHEL",Data!$H:$H,"E15D",Data!$M:$M,60)+COUNTIFS(Data!$C:$C,$C100,Data!$P:$P,"VAL",Data!$E:$E,$E100,Data!$F:$F,$F100,Data!$I:$I,IF(ISBLANK($I100),"",$I100),Data!$J:$J,$J100,Data!$K:$K,$K100,Data!$R:$R,"",Data!$L:$L,IF(ISBLANK($P100),"",$P100),Data!$G:$G,"MALA",Data!$H:$H,"E15D",Data!$M:$M,60)+COUNTIFS(Data!$C:$C,$C100,Data!$P:$P,"VAL",Data!$E:$E,$E100,Data!$F:$F,$F100,Data!$I:$I,IF(ISBLANK($I100),"",$I100),Data!$J:$J,$J100,Data!$K:$K,$K100,Data!$R:$R,"",Data!$L:$L,IF(ISBLANK($P100),"",$P100),Data!$G:$G,"MAKUL",Data!$H:$H,"E15D",Data!$M:$M,60)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65)+COUNTIFS(Data!$C:$C,$C100,Data!$P:$P,"VAL",Data!$E:$E,$E100,Data!$F:$F,$F100,Data!$I:$I,IF(ISBLANK($I100),"",$I100),Data!$J:$J,$J100,Data!$K:$K,$K100,Data!$R:$R,"",Data!$L:$L,IF(ISBLANK($P100),"",$P100),Data!$G:$G,"MAHEL",Data!$H:$H,"E15D",Data!$M:$M,65)+COUNTIFS(Data!$C:$C,$C100,Data!$P:$P,"VAL",Data!$E:$E,$E100,Data!$F:$F,$F100,Data!$I:$I,IF(ISBLANK($I100),"",$I100),Data!$J:$J,$J100,Data!$K:$K,$K100,Data!$R:$R,"",Data!$L:$L,IF(ISBLANK($P100),"",$P100),Data!$G:$G,"MALA",Data!$H:$H,"E15D",Data!$M:$M,65)+COUNTIFS(Data!$C:$C,$C100,Data!$P:$P,"VAL",Data!$E:$E,$E100,Data!$F:$F,$F100,Data!$I:$I,IF(ISBLANK($I100),"",$I100),Data!$J:$J,$J100,Data!$K:$K,$K100,Data!$R:$R,"",Data!$L:$L,IF(ISBLANK($P100),"",$P100),Data!$G:$G,"MAKUL",Data!$H:$H,"E15D",Data!$M:$M,65)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72)+COUNTIFS(Data!$C:$C,$C100,Data!$P:$P,"VAL",Data!$E:$E,$E100,Data!$F:$F,$F100,Data!$I:$I,IF(ISBLANK($I100),"",$I100),Data!$J:$J,$J100,Data!$K:$K,$K100,Data!$R:$R,"",Data!$L:$L,IF(ISBLANK($P100),"",$P100),Data!$G:$G,"MAHEL",Data!$H:$H,"E15D",Data!$M:$M,72)+COUNTIFS(Data!$C:$C,$C100,Data!$P:$P,"VAL",Data!$E:$E,$E100,Data!$F:$F,$F100,Data!$I:$I,IF(ISBLANK($I100),"",$I100),Data!$J:$J,$J100,Data!$K:$K,$K100,Data!$R:$R,"",Data!$L:$L,IF(ISBLANK($P100),"",$P100),Data!$G:$G,"MALA",Data!$H:$H,"E15D",Data!$M:$M,72)+COUNTIFS(Data!$C:$C,$C100,Data!$P:$P,"VAL",Data!$E:$E,$E100,Data!$F:$F,$F100,Data!$I:$I,IF(ISBLANK($I100),"",$I100),Data!$J:$J,$J100,Data!$K:$K,$K100,Data!$R:$R,"",Data!$L:$L,IF(ISBLANK($P100),"",$P100),Data!$G:$G,"MAKUL",Data!$H:$H,"E15D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90)+COUNTIFS(Data!$C:$C,$C100,Data!$P:$P,"VAL",Data!$E:$E,$E100,Data!$F:$F,$F100,Data!$I:$I,IF(ISBLANK($I100),"",$I100),Data!$J:$J,$J100,Data!$K:$K,$K100,Data!$R:$R,"",Data!$L:$L,IF(ISBLANK($P100),"",$P100),Data!$G:$G,"MAHEL",Data!$H:$H,"E15D",Data!$M:$M,90)+COUNTIFS(Data!$C:$C,$C100,Data!$P:$P,"VAL",Data!$E:$E,$E100,Data!$F:$F,$F100,Data!$I:$I,IF(ISBLANK($I100),"",$I100),Data!$J:$J,$J100,Data!$K:$K,$K100,Data!$R:$R,"",Data!$L:$L,IF(ISBLANK($P100),"",$P100),Data!$G:$G,"MALA",Data!$H:$H,"E15D",Data!$M:$M,90)+COUNTIFS(Data!$C:$C,$C100,Data!$P:$P,"VAL",Data!$E:$E,$E100,Data!$F:$F,$F100,Data!$I:$I,IF(ISBLANK($I100),"",$I100),Data!$J:$J,$J100,Data!$K:$K,$K100,Data!$R:$R,"",Data!$L:$L,IF(ISBLANK($P100),"",$P100),Data!$G:$G,"MAKUL",Data!$H:$H,"E15D",Data!$M:$M,90)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96)+COUNTIFS(Data!$C:$C,$C100,Data!$P:$P,"VAL",Data!$E:$E,$E100,Data!$F:$F,$F100,Data!$I:$I,IF(ISBLANK($I100),"",$I100),Data!$J:$J,$J100,Data!$K:$K,$K100,Data!$R:$R,"",Data!$L:$L,IF(ISBLANK($P100),"",$P100),Data!$G:$G,"MAHEL",Data!$H:$H,"E15D",Data!$M:$M,96)+COUNTIFS(Data!$C:$C,$C100,Data!$P:$P,"VAL",Data!$E:$E,$E100,Data!$F:$F,$F100,Data!$I:$I,IF(ISBLANK($I100),"",$I100),Data!$J:$J,$J100,Data!$K:$K,$K100,Data!$R:$R,"",Data!$L:$L,IF(ISBLANK($P100),"",$P100),Data!$G:$G,"MALA",Data!$H:$H,"E15D",Data!$M:$M,96)+COUNTIFS(Data!$C:$C,$C100,Data!$P:$P,"VAL",Data!$E:$E,$E100,Data!$F:$F,$F100,Data!$I:$I,IF(ISBLANK($I100),"",$I100),Data!$J:$J,$J100,Data!$K:$K,$K100,Data!$R:$R,"",Data!$L:$L,IF(ISBLANK($P100),"",$P100),Data!$G:$G,"MAKUL",Data!$H:$H,"E15D",Data!$M:$M,96),0)-X105</f>
        <v>0</v>
      </c>
      <c r="Y103" s="11"/>
      <c r="Z103" s="11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9">IF(($P103+$P105)&gt;$P101,IF((Q103+Q105)-Q101&gt;0,(Q103+Q105)-Q101,0),0)</f>
        <v>0</v>
      </c>
      <c r="R104" s="11">
        <f t="shared" si="49"/>
        <v>0</v>
      </c>
      <c r="S104" s="11">
        <f t="shared" si="49"/>
        <v>0</v>
      </c>
      <c r="T104" s="11">
        <f t="shared" si="49"/>
        <v>0</v>
      </c>
      <c r="U104" s="11">
        <f t="shared" si="49"/>
        <v>0</v>
      </c>
      <c r="V104" s="11">
        <f t="shared" si="49"/>
        <v>0</v>
      </c>
      <c r="W104" s="11">
        <f t="shared" si="49"/>
        <v>0</v>
      </c>
      <c r="X104" s="11">
        <f t="shared" si="49"/>
        <v>0</v>
      </c>
      <c r="Y104" s="11"/>
      <c r="Z104" s="11"/>
      <c r="AA104" s="11"/>
    </row>
    <row r="105" spans="1:27" ht="15" thickBot="1" x14ac:dyDescent="0.35">
      <c r="A105" s="8"/>
      <c r="B105" s="8"/>
      <c r="C105" s="9"/>
      <c r="D105" s="9"/>
      <c r="E105" s="9"/>
      <c r="F105" s="9"/>
      <c r="G105" s="9"/>
      <c r="H105" s="9"/>
      <c r="I105" s="9"/>
      <c r="J105" s="9"/>
      <c r="K105" s="9"/>
      <c r="L105" s="10" t="s">
        <v>417</v>
      </c>
      <c r="M105" s="10"/>
      <c r="N105" s="10"/>
      <c r="O105" s="10"/>
      <c r="P105" s="173">
        <f>SUM(Q105:X105)</f>
        <v>5</v>
      </c>
      <c r="Q105" s="57">
        <f>IF(NOT(ISBLANK(Q100)),COUNTIFS(Data!$C:$C,$C100,Data!$P:$P,"VAL",Data!$E:$E,$E100,Data!$F:$F,$F100,Data!$I:$I,IF(ISBLANK($I100),"",$I100),Data!$J:$J,$J100,Data!$K:$K,$K100,Data!$R:$R,"",Data!$L:$L,IF(ISBLANK($P100),"",$P100),Data!$G:$G,"ZF",Data!$H:$H,"E15D",Data!$M:$M,45, Data!$Q:$Q,1)+COUNTIFS(Data!$C:$C,$C100,Data!$P:$P,"VAL",Data!$E:$E,$E100,Data!$F:$F,$F100,Data!$I:$I,IF(ISBLANK($I100),"",$I100),Data!$J:$J,$J100,Data!$K:$K,$K100,Data!$R:$R,"",Data!$L:$L,IF(ISBLANK($P100),"",$P100),Data!$G:$G,"MAHEL",Data!$H:$H,"E15D",Data!$M:$M,45, Data!$Q:$Q,1)+COUNTIFS(Data!$C:$C,$C100,Data!$P:$P,"VAL",Data!$E:$E,$E100,Data!$F:$F,$F100,Data!$I:$I,IF(ISBLANK($I100),"",$I100),Data!$J:$J,$J100,Data!$K:$K,$K100,Data!$R:$R,"",Data!$L:$L,IF(ISBLANK($P100),"",$P100),Data!$G:$G,"MALA",Data!$H:$H,"E15D",Data!$M:$M,45, Data!$Q:$Q,1)+COUNTIFS(Data!$C:$C,$C100,Data!$P:$P,"VAL",Data!$E:$E,$E100,Data!$F:$F,$F100,Data!$I:$I,IF(ISBLANK($I100),"",$I100),Data!$J:$J,$J100,Data!$K:$K,$K100,Data!$R:$R,"",Data!$L:$L,IF(ISBLANK($P100),"",$P100),Data!$G:$G,"MAKUL",Data!$H:$H,"E15D",Data!$M:$M,45, Data!$Q:$Q,1),0)</f>
        <v>1</v>
      </c>
      <c r="R105" s="57">
        <f>IF(NOT(ISBLANK(R100)),COUNTIFS(Data!$C:$C,$C100,Data!$P:$P,"VAL",Data!$E:$E,$E100,Data!$F:$F,$F100,Data!$I:$I,IF(ISBLANK($I100),"",$I100),Data!$J:$J,$J100,Data!$K:$K,$K100,Data!$R:$R,"",Data!$L:$L,IF(ISBLANK($P100),"",$P100),Data!$G:$G,"ZF",Data!$H:$H,"E15D",Data!$M:$M,50, Data!$Q:$Q,1)+COUNTIFS(Data!$C:$C,$C100,Data!$P:$P,"VAL",Data!$E:$E,$E100,Data!$F:$F,$F100,Data!$I:$I,IF(ISBLANK($I100),"",$I100),Data!$J:$J,$J100,Data!$K:$K,$K100,Data!$R:$R,"",Data!$L:$L,IF(ISBLANK($P100),"",$P100),Data!$G:$G,"MAHEL",Data!$H:$H,"E15D",Data!$M:$M,50, Data!$Q:$Q,1)+COUNTIFS(Data!$C:$C,$C100,Data!$P:$P,"VAL",Data!$E:$E,$E100,Data!$F:$F,$F100,Data!$I:$I,IF(ISBLANK($I100),"",$I100),Data!$J:$J,$J100,Data!$K:$K,$K100,Data!$R:$R,"",Data!$L:$L,IF(ISBLANK($P100),"",$P100),Data!$G:$G,"MALA",Data!$H:$H,"E15D",Data!$M:$M,50, Data!$Q:$Q,1)+COUNTIFS(Data!$C:$C,$C100,Data!$P:$P,"VAL",Data!$E:$E,$E100,Data!$F:$F,$F100,Data!$I:$I,IF(ISBLANK($I100),"",$I100),Data!$J:$J,$J100,Data!$K:$K,$K100,Data!$R:$R,"",Data!$L:$L,IF(ISBLANK($P100),"",$P100),Data!$G:$G,"MAKUL",Data!$H:$H,"E15D",Data!$M:$M,50, Data!$Q:$Q,1),0)</f>
        <v>4</v>
      </c>
      <c r="S105" s="57">
        <f>IF(NOT(ISBLANK(S100)),COUNTIFS(Data!$C:$C,$C100,Data!$P:$P,"VAL",Data!$E:$E,$E100,Data!$F:$F,$F100,Data!$I:$I,IF(ISBLANK($I100),"",$I100),Data!$J:$J,$J100,Data!$K:$K,$K100,Data!$R:$R,"",Data!$L:$L,IF(ISBLANK($P100),"",$P100),Data!$G:$G,"ZF",Data!$H:$H,"E15D",Data!$M:$M,55, Data!$Q:$Q,1)+COUNTIFS(Data!$C:$C,$C100,Data!$P:$P,"VAL",Data!$E:$E,$E100,Data!$F:$F,$F100,Data!$I:$I,IF(ISBLANK($I100),"",$I100),Data!$J:$J,$J100,Data!$K:$K,$K100,Data!$R:$R,"",Data!$L:$L,IF(ISBLANK($P100),"",$P100),Data!$G:$G,"MAHEL",Data!$H:$H,"E15D",Data!$M:$M,55, Data!$Q:$Q,1)+COUNTIFS(Data!$C:$C,$C100,Data!$P:$P,"VAL",Data!$E:$E,$E100,Data!$F:$F,$F100,Data!$I:$I,IF(ISBLANK($I100),"",$I100),Data!$J:$J,$J100,Data!$K:$K,$K100,Data!$R:$R,"",Data!$L:$L,IF(ISBLANK($P100),"",$P100),Data!$G:$G,"MALA",Data!$H:$H,"E15D",Data!$M:$M,55, Data!$Q:$Q,1)+COUNTIFS(Data!$C:$C,$C100,Data!$P:$P,"VAL",Data!$E:$E,$E100,Data!$F:$F,$F100,Data!$I:$I,IF(ISBLANK($I100),"",$I100),Data!$J:$J,$J100,Data!$K:$K,$K100,Data!$R:$R,"",Data!$L:$L,IF(ISBLANK($P100),"",$P100),Data!$G:$G,"MAKUL",Data!$H:$H,"E15D",Data!$M:$M,55, Data!$Q:$Q,1),0)</f>
        <v>0</v>
      </c>
      <c r="T105" s="57">
        <f>IF(NOT(ISBLANK(T100)),COUNTIFS(Data!$C:$C,$C100,Data!$P:$P,"VAL",Data!$E:$E,$E100,Data!$F:$F,$F100,Data!$I:$I,IF(ISBLANK($I100),"",$I100),Data!$J:$J,$J100,Data!$K:$K,$K100,Data!$R:$R,"",Data!$L:$L,IF(ISBLANK($P100),"",$P100),Data!$G:$G,"ZF",Data!$H:$H,"E15D",Data!$M:$M,60, Data!$Q:$Q,1)+COUNTIFS(Data!$C:$C,$C100,Data!$P:$P,"VAL",Data!$E:$E,$E100,Data!$F:$F,$F100,Data!$I:$I,IF(ISBLANK($I100),"",$I100),Data!$J:$J,$J100,Data!$K:$K,$K100,Data!$R:$R,"",Data!$L:$L,IF(ISBLANK($P100),"",$P100),Data!$G:$G,"MAHEL",Data!$H:$H,"E15D",Data!$M:$M,60, Data!$Q:$Q,1)+COUNTIFS(Data!$C:$C,$C100,Data!$P:$P,"VAL",Data!$E:$E,$E100,Data!$F:$F,$F100,Data!$I:$I,IF(ISBLANK($I100),"",$I100),Data!$J:$J,$J100,Data!$K:$K,$K100,Data!$R:$R,"",Data!$L:$L,IF(ISBLANK($P100),"",$P100),Data!$G:$G,"MALA",Data!$H:$H,"E15D",Data!$M:$M,60, Data!$Q:$Q,1)+COUNTIFS(Data!$C:$C,$C100,Data!$P:$P,"VAL",Data!$E:$E,$E100,Data!$F:$F,$F100,Data!$I:$I,IF(ISBLANK($I100),"",$I100),Data!$J:$J,$J100,Data!$K:$K,$K100,Data!$R:$R,"",Data!$L:$L,IF(ISBLANK($P100),"",$P100),Data!$G:$G,"MAKUL",Data!$H:$H,"E15D",Data!$M:$M,60, Data!$Q:$Q,1),0)</f>
        <v>0</v>
      </c>
      <c r="U105" s="57">
        <f>IF(NOT(ISBLANK(U100)),COUNTIFS(Data!$C:$C,$C100,Data!$P:$P,"VAL",Data!$E:$E,$E100,Data!$F:$F,$F100,Data!$I:$I,IF(ISBLANK($I100),"",$I100),Data!$J:$J,$J100,Data!$K:$K,$K100,Data!$R:$R,"",Data!$L:$L,IF(ISBLANK($P100),"",$P100),Data!$G:$G,"ZF",Data!$H:$H,"E15D",Data!$M:$M,65, Data!$Q:$Q,1)+COUNTIFS(Data!$C:$C,$C100,Data!$P:$P,"VAL",Data!$E:$E,$E100,Data!$F:$F,$F100,Data!$I:$I,IF(ISBLANK($I100),"",$I100),Data!$J:$J,$J100,Data!$K:$K,$K100,Data!$R:$R,"",Data!$L:$L,IF(ISBLANK($P100),"",$P100),Data!$G:$G,"MAHEL",Data!$H:$H,"E15D",Data!$M:$M,65, Data!$Q:$Q,1)+COUNTIFS(Data!$C:$C,$C100,Data!$P:$P,"VAL",Data!$E:$E,$E100,Data!$F:$F,$F100,Data!$I:$I,IF(ISBLANK($I100),"",$I100),Data!$J:$J,$J100,Data!$K:$K,$K100,Data!$R:$R,"",Data!$L:$L,IF(ISBLANK($P100),"",$P100),Data!$G:$G,"MALA",Data!$H:$H,"E15D",Data!$M:$M,65, Data!$Q:$Q,1)+COUNTIFS(Data!$C:$C,$C100,Data!$P:$P,"VAL",Data!$E:$E,$E100,Data!$F:$F,$F100,Data!$I:$I,IF(ISBLANK($I100),"",$I100),Data!$J:$J,$J100,Data!$K:$K,$K100,Data!$R:$R,"",Data!$L:$L,IF(ISBLANK($P100),"",$P100),Data!$G:$G,"MAKUL",Data!$H:$H,"E15D",Data!$M:$M,65, Data!$Q:$Q,1),0)</f>
        <v>0</v>
      </c>
      <c r="V105" s="57">
        <f>IF(NOT(ISBLANK(V100)),COUNTIFS(Data!$C:$C,$C100,Data!$P:$P,"VAL",Data!$E:$E,$E100,Data!$F:$F,$F100,Data!$I:$I,IF(ISBLANK($I100),"",$I100),Data!$J:$J,$J100,Data!$K:$K,$K100,Data!$R:$R,"",Data!$L:$L,IF(ISBLANK($P100),"",$P100),Data!$G:$G,"ZF",Data!$H:$H,"E15D",Data!$M:$M,72, Data!$Q:$Q,1)+COUNTIFS(Data!$C:$C,$C100,Data!$P:$P,"VAL",Data!$E:$E,$E100,Data!$F:$F,$F100,Data!$I:$I,IF(ISBLANK($I100),"",$I100),Data!$J:$J,$J100,Data!$K:$K,$K100,Data!$R:$R,"",Data!$L:$L,IF(ISBLANK($P100),"",$P100),Data!$G:$G,"MAHEL",Data!$H:$H,"E15D",Data!$M:$M,72, Data!$Q:$Q,1)+COUNTIFS(Data!$C:$C,$C100,Data!$P:$P,"VAL",Data!$E:$E,$E100,Data!$F:$F,$F100,Data!$I:$I,IF(ISBLANK($I100),"",$I100),Data!$J:$J,$J100,Data!$K:$K,$K100,Data!$R:$R,"",Data!$L:$L,IF(ISBLANK($P100),"",$P100),Data!$G:$G,"MALA",Data!$H:$H,"E15D",Data!$M:$M,72, Data!$Q:$Q,1)+COUNTIFS(Data!$C:$C,$C100,Data!$P:$P,"VAL",Data!$E:$E,$E100,Data!$F:$F,$F100,Data!$I:$I,IF(ISBLANK($I100),"",$I100),Data!$J:$J,$J100,Data!$K:$K,$K100,Data!$R:$R,"",Data!$L:$L,IF(ISBLANK($P100),"",$P100),Data!$G:$G,"MAKUL",Data!$H:$H,"E15D",Data!$M:$M,72, Data!$Q:$Q,1),0)</f>
        <v>0</v>
      </c>
      <c r="W105" s="57">
        <f>IF(NOT(ISBLANK(W100)),COUNTIFS(Data!$C:$C,$C100,Data!$P:$P,"VAL",Data!$E:$E,$E100,Data!$F:$F,$F100,Data!$I:$I,IF(ISBLANK($I100),"",$I100),Data!$J:$J,$J100,Data!$K:$K,$K100,Data!$R:$R,"",Data!$L:$L,IF(ISBLANK($P100),"",$P100),Data!$G:$G,"ZF",Data!$H:$H,"E15D",Data!$M:$M,90, Data!$Q:$Q,1)+COUNTIFS(Data!$C:$C,$C100,Data!$P:$P,"VAL",Data!$E:$E,$E100,Data!$F:$F,$F100,Data!$I:$I,IF(ISBLANK($I100),"",$I100),Data!$J:$J,$J100,Data!$K:$K,$K100,Data!$R:$R,"",Data!$L:$L,IF(ISBLANK($P100),"",$P100),Data!$G:$G,"MAHEL",Data!$H:$H,"E15D",Data!$M:$M,90, Data!$Q:$Q,1)+COUNTIFS(Data!$C:$C,$C100,Data!$P:$P,"VAL",Data!$E:$E,$E100,Data!$F:$F,$F100,Data!$I:$I,IF(ISBLANK($I100),"",$I100),Data!$J:$J,$J100,Data!$K:$K,$K100,Data!$R:$R,"",Data!$L:$L,IF(ISBLANK($P100),"",$P100),Data!$G:$G,"MALA",Data!$H:$H,"E15D",Data!$M:$M,90, Data!$Q:$Q,1)+COUNTIFS(Data!$C:$C,$C100,Data!$P:$P,"VAL",Data!$E:$E,$E100,Data!$F:$F,$F100,Data!$I:$I,IF(ISBLANK($I100),"",$I100),Data!$J:$J,$J100,Data!$K:$K,$K100,Data!$R:$R,"",Data!$L:$L,IF(ISBLANK($P100),"",$P100),Data!$G:$G,"MAKUL",Data!$H:$H,"E15D",Data!$M:$M,90, Data!$Q:$Q,1),0)</f>
        <v>0</v>
      </c>
      <c r="X105" s="57">
        <f>IF(NOT(ISBLANK(X100)),COUNTIFS(Data!$C:$C,$C100,Data!$P:$P,"VAL",Data!$E:$E,$E100,Data!$F:$F,$F100,Data!$I:$I,IF(ISBLANK($I100),"",$I100),Data!$J:$J,$J100,Data!$K:$K,$K100,Data!$R:$R,"",Data!$L:$L,IF(ISBLANK($P100),"",$P100),Data!$G:$G,"ZF",Data!$H:$H,"E15D",Data!$M:$M,96, Data!$Q:$Q,1)+COUNTIFS(Data!$C:$C,$C100,Data!$P:$P,"VAL",Data!$E:$E,$E100,Data!$F:$F,$F100,Data!$I:$I,IF(ISBLANK($I100),"",$I100),Data!$J:$J,$J100,Data!$K:$K,$K100,Data!$R:$R,"",Data!$L:$L,IF(ISBLANK($P100),"",$P100),Data!$G:$G,"MAHEL",Data!$H:$H,"E15D",Data!$M:$M,96, Data!$Q:$Q,1)+COUNTIFS(Data!$C:$C,$C100,Data!$P:$P,"VAL",Data!$E:$E,$E100,Data!$F:$F,$F100,Data!$I:$I,IF(ISBLANK($I100),"",$I100),Data!$J:$J,$J100,Data!$K:$K,$K100,Data!$R:$R,"",Data!$L:$L,IF(ISBLANK($P100),"",$P100),Data!$G:$G,"MALA",Data!$H:$H,"E15D",Data!$M:$M,96, Data!$Q:$Q,1)+COUNTIFS(Data!$C:$C,$C100,Data!$P:$P,"VAL",Data!$E:$E,$E100,Data!$F:$F,$F100,Data!$I:$I,IF(ISBLANK($I100),"",$I100),Data!$J:$J,$J100,Data!$K:$K,$K100,Data!$R:$R,"",Data!$L:$L,IF(ISBLANK($P100),"",$P100),Data!$G:$G,"MAKUL",Data!$H:$H,"E15D",Data!$M:$M,96, Data!$Q:$Q,1),0)</f>
        <v>0</v>
      </c>
      <c r="Y105" s="11"/>
      <c r="Z105" s="11"/>
      <c r="AA105" s="11">
        <v>55</v>
      </c>
    </row>
    <row r="106" spans="1:27" ht="15.6" x14ac:dyDescent="0.3">
      <c r="A106" s="64"/>
      <c r="B106" s="104"/>
      <c r="C106" s="62" t="s">
        <v>396</v>
      </c>
      <c r="D106" s="62" t="s">
        <v>508</v>
      </c>
      <c r="E106" s="62" t="s">
        <v>397</v>
      </c>
      <c r="F106" s="62">
        <v>1</v>
      </c>
      <c r="G106" s="62" t="s">
        <v>390</v>
      </c>
      <c r="H106" s="62" t="s">
        <v>391</v>
      </c>
      <c r="I106" s="106" t="s">
        <v>430</v>
      </c>
      <c r="J106" s="62" t="s">
        <v>398</v>
      </c>
      <c r="K106" s="62" t="s">
        <v>397</v>
      </c>
      <c r="L106" s="62" t="s">
        <v>392</v>
      </c>
      <c r="M106" s="62" t="s">
        <v>399</v>
      </c>
      <c r="N106" s="62"/>
      <c r="O106" s="62">
        <f>+Y106/70</f>
        <v>15</v>
      </c>
      <c r="P106" s="62" t="s">
        <v>534</v>
      </c>
      <c r="Q106" s="66"/>
      <c r="R106" s="63"/>
      <c r="S106" s="63"/>
      <c r="T106" s="63">
        <f>8*70</f>
        <v>560</v>
      </c>
      <c r="U106" s="63">
        <f>7*70</f>
        <v>490</v>
      </c>
      <c r="V106" s="63"/>
      <c r="W106" s="63"/>
      <c r="X106" s="63"/>
      <c r="Y106" s="63">
        <f>SUM(Q106:X106)</f>
        <v>1050</v>
      </c>
      <c r="Z106" s="65" t="s">
        <v>490</v>
      </c>
      <c r="AA106" s="62"/>
    </row>
    <row r="107" spans="1:27" x14ac:dyDescent="0.3">
      <c r="A107" s="8"/>
      <c r="B107" s="8"/>
      <c r="C107" s="9"/>
      <c r="D107" s="9"/>
      <c r="E107" s="9"/>
      <c r="F107" s="9"/>
      <c r="G107" s="9"/>
      <c r="H107" s="9"/>
      <c r="I107" s="9"/>
      <c r="J107" s="9"/>
      <c r="K107" s="9"/>
      <c r="L107" s="10" t="s">
        <v>413</v>
      </c>
      <c r="M107" s="10"/>
      <c r="N107" s="10"/>
      <c r="O107" s="10"/>
      <c r="P107" s="9">
        <f>SUM(Q107:X107)</f>
        <v>15</v>
      </c>
      <c r="Q107" s="11">
        <f t="shared" ref="Q107:X107" si="50">IFERROR(Q106/70,0)</f>
        <v>0</v>
      </c>
      <c r="R107" s="11">
        <f t="shared" si="50"/>
        <v>0</v>
      </c>
      <c r="S107" s="11">
        <f t="shared" si="50"/>
        <v>0</v>
      </c>
      <c r="T107" s="11">
        <f t="shared" si="50"/>
        <v>8</v>
      </c>
      <c r="U107" s="11">
        <f t="shared" si="50"/>
        <v>7</v>
      </c>
      <c r="V107" s="11">
        <f t="shared" si="50"/>
        <v>0</v>
      </c>
      <c r="W107" s="11">
        <f t="shared" si="50"/>
        <v>0</v>
      </c>
      <c r="X107" s="11">
        <f t="shared" si="50"/>
        <v>0</v>
      </c>
      <c r="Y107" s="11"/>
      <c r="Z107" s="170" t="s">
        <v>523</v>
      </c>
      <c r="AA107" s="11"/>
    </row>
    <row r="108" spans="1:27" x14ac:dyDescent="0.3">
      <c r="A108" s="8"/>
      <c r="B108" s="8"/>
      <c r="C108" s="9"/>
      <c r="D108" s="9"/>
      <c r="E108" s="9"/>
      <c r="F108" s="9"/>
      <c r="G108" s="9"/>
      <c r="H108" s="9"/>
      <c r="I108" s="9"/>
      <c r="J108" s="9"/>
      <c r="K108" s="9"/>
      <c r="L108" s="10" t="s">
        <v>414</v>
      </c>
      <c r="M108" s="10"/>
      <c r="N108" s="10"/>
      <c r="O108" s="10"/>
      <c r="P108" s="9">
        <f>SUM(Q108:X108)</f>
        <v>2</v>
      </c>
      <c r="Q108" s="11">
        <f t="shared" ref="Q108:X108" si="51">IFERROR(Q107-(Q109+Q111),0)</f>
        <v>0</v>
      </c>
      <c r="R108" s="11">
        <f t="shared" si="51"/>
        <v>0</v>
      </c>
      <c r="S108" s="11">
        <f t="shared" si="51"/>
        <v>0</v>
      </c>
      <c r="T108" s="11">
        <f t="shared" si="51"/>
        <v>2</v>
      </c>
      <c r="U108" s="11">
        <f t="shared" si="51"/>
        <v>0</v>
      </c>
      <c r="V108" s="11">
        <f t="shared" si="51"/>
        <v>0</v>
      </c>
      <c r="W108" s="11">
        <f t="shared" si="51"/>
        <v>0</v>
      </c>
      <c r="X108" s="11">
        <f t="shared" si="51"/>
        <v>0</v>
      </c>
      <c r="Y108" s="11"/>
      <c r="Z108" s="170" t="s">
        <v>519</v>
      </c>
      <c r="AA108" s="11"/>
    </row>
    <row r="109" spans="1:27" x14ac:dyDescent="0.3">
      <c r="A109" s="8"/>
      <c r="B109" s="8"/>
      <c r="C109" s="9"/>
      <c r="D109" s="9"/>
      <c r="E109" s="9"/>
      <c r="F109" s="9"/>
      <c r="G109" s="9"/>
      <c r="H109" s="9"/>
      <c r="I109" s="9"/>
      <c r="J109" s="9"/>
      <c r="K109" s="9"/>
      <c r="L109" s="10" t="s">
        <v>415</v>
      </c>
      <c r="M109" s="10"/>
      <c r="N109" s="10"/>
      <c r="O109" s="10"/>
      <c r="P109" s="173">
        <f>SUM(Q109:X109)</f>
        <v>13</v>
      </c>
      <c r="Q109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36),0)-Q111</f>
        <v>0</v>
      </c>
      <c r="R109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40),0)-R111</f>
        <v>0</v>
      </c>
      <c r="S109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48),0)-S111</f>
        <v>0</v>
      </c>
      <c r="T109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56),0)-T111</f>
        <v>6</v>
      </c>
      <c r="U109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64),0)-U111</f>
        <v>7</v>
      </c>
      <c r="V109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72),0)-V111</f>
        <v>0</v>
      </c>
      <c r="W109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88),0)-W111</f>
        <v>0</v>
      </c>
      <c r="X109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105),0)-X111</f>
        <v>0</v>
      </c>
      <c r="Y109" s="11"/>
      <c r="Z109" s="11"/>
      <c r="AA109" s="11"/>
    </row>
    <row r="110" spans="1:27" x14ac:dyDescent="0.3">
      <c r="A110" s="8"/>
      <c r="B110" s="8"/>
      <c r="C110" s="9"/>
      <c r="D110" s="9"/>
      <c r="E110" s="9"/>
      <c r="F110" s="9"/>
      <c r="G110" s="9"/>
      <c r="H110" s="9"/>
      <c r="I110" s="9"/>
      <c r="J110" s="9"/>
      <c r="K110" s="9"/>
      <c r="L110" s="10" t="s">
        <v>416</v>
      </c>
      <c r="M110" s="10"/>
      <c r="N110" s="10"/>
      <c r="O110" s="10"/>
      <c r="P110" s="9">
        <f>IF(COUNTIF(Z106:Z111,"*AS ORDERED*")&gt;0,SUM(Q110:X110),IF(P108&gt;0,0,(-1)*P108))</f>
        <v>0</v>
      </c>
      <c r="Q110" s="11">
        <f t="shared" ref="Q110:X110" si="52">IF(($P109+$P111)&gt;$P107,IF((Q109+Q111)-Q107&gt;0,(Q109+Q111)-Q107,0),0)</f>
        <v>0</v>
      </c>
      <c r="R110" s="11">
        <f t="shared" si="52"/>
        <v>0</v>
      </c>
      <c r="S110" s="11">
        <f t="shared" si="52"/>
        <v>0</v>
      </c>
      <c r="T110" s="11">
        <f t="shared" si="52"/>
        <v>0</v>
      </c>
      <c r="U110" s="11">
        <f t="shared" si="52"/>
        <v>0</v>
      </c>
      <c r="V110" s="11">
        <f t="shared" si="52"/>
        <v>0</v>
      </c>
      <c r="W110" s="11">
        <f t="shared" si="52"/>
        <v>0</v>
      </c>
      <c r="X110" s="11">
        <f t="shared" si="52"/>
        <v>0</v>
      </c>
      <c r="Y110" s="11"/>
      <c r="Z110" s="11"/>
      <c r="AA110" s="11"/>
    </row>
    <row r="111" spans="1:27" ht="15" thickBot="1" x14ac:dyDescent="0.35">
      <c r="A111" s="8"/>
      <c r="B111" s="8"/>
      <c r="C111" s="9"/>
      <c r="D111" s="9"/>
      <c r="E111" s="9"/>
      <c r="F111" s="9"/>
      <c r="G111" s="9"/>
      <c r="H111" s="9"/>
      <c r="I111" s="9"/>
      <c r="J111" s="9"/>
      <c r="K111" s="9"/>
      <c r="L111" s="10" t="s">
        <v>417</v>
      </c>
      <c r="M111" s="10"/>
      <c r="N111" s="10"/>
      <c r="O111" s="10"/>
      <c r="P111" s="173">
        <f>SUM(Q111:X111)</f>
        <v>0</v>
      </c>
      <c r="Q111" s="57">
        <f>IF(NOT(ISBLANK(Q106)),COUNTIFS(Data!$C:$C,$C106,Data!$P:$P,"VAL",Data!$E:$E,$E106,Data!$F:$F,$F106,Data!$I:$I,IF(ISBLANK($I106),"",$I106),Data!$J:$J,$J106,Data!$K:$K,$K106,Data!$R:$R,"",Data!$L:$L,IF(ISBLANK($P106),"",$P106),Data!$G:$G,"ZF",Data!$H:$H,"A15C",Data!$M:$M,36, Data!$Q:$Q,1),0)</f>
        <v>0</v>
      </c>
      <c r="R111" s="57">
        <f>IF(NOT(ISBLANK(R106)),COUNTIFS(Data!$C:$C,$C106,Data!$P:$P,"VAL",Data!$E:$E,$E106,Data!$F:$F,$F106,Data!$I:$I,IF(ISBLANK($I106),"",$I106),Data!$J:$J,$J106,Data!$K:$K,$K106,Data!$R:$R,"",Data!$L:$L,IF(ISBLANK($P106),"",$P106),Data!$G:$G,"ZF",Data!$H:$H,"A15C",Data!$M:$M,40, Data!$Q:$Q,1),0)</f>
        <v>0</v>
      </c>
      <c r="S111" s="57">
        <f>IF(NOT(ISBLANK(S106)),COUNTIFS(Data!$C:$C,$C106,Data!$P:$P,"VAL",Data!$E:$E,$E106,Data!$F:$F,$F106,Data!$I:$I,IF(ISBLANK($I106),"",$I106),Data!$J:$J,$J106,Data!$K:$K,$K106,Data!$R:$R,"",Data!$L:$L,IF(ISBLANK($P106),"",$P106),Data!$G:$G,"ZF",Data!$H:$H,"A15C",Data!$M:$M,48, Data!$Q:$Q,1),0)</f>
        <v>0</v>
      </c>
      <c r="T111" s="57">
        <f>IF(NOT(ISBLANK(T106)),COUNTIFS(Data!$C:$C,$C106,Data!$P:$P,"VAL",Data!$E:$E,$E106,Data!$F:$F,$F106,Data!$I:$I,IF(ISBLANK($I106),"",$I106),Data!$J:$J,$J106,Data!$K:$K,$K106,Data!$R:$R,"",Data!$L:$L,IF(ISBLANK($P106),"",$P106),Data!$G:$G,"ZF",Data!$H:$H,"A15C",Data!$M:$M,56, Data!$Q:$Q,1),0)</f>
        <v>0</v>
      </c>
      <c r="U111" s="57">
        <f>IF(NOT(ISBLANK(U106)),COUNTIFS(Data!$C:$C,$C106,Data!$P:$P,"VAL",Data!$E:$E,$E106,Data!$F:$F,$F106,Data!$I:$I,IF(ISBLANK($I106),"",$I106),Data!$J:$J,$J106,Data!$K:$K,$K106,Data!$R:$R,"",Data!$L:$L,IF(ISBLANK($P106),"",$P106),Data!$G:$G,"ZF",Data!$H:$H,"A15C",Data!$M:$M,64, Data!$Q:$Q,1),0)</f>
        <v>0</v>
      </c>
      <c r="V111" s="57">
        <f>IF(NOT(ISBLANK(V106)),COUNTIFS(Data!$C:$C,$C106,Data!$P:$P,"VAL",Data!$E:$E,$E106,Data!$F:$F,$F106,Data!$I:$I,IF(ISBLANK($I106),"",$I106),Data!$J:$J,$J106,Data!$K:$K,$K106,Data!$R:$R,"",Data!$L:$L,IF(ISBLANK($P106),"",$P106),Data!$G:$G,"ZF",Data!$H:$H,"A15C",Data!$M:$M,72, Data!$Q:$Q,1),0)</f>
        <v>0</v>
      </c>
      <c r="W111" s="57">
        <f>IF(NOT(ISBLANK(W106)),COUNTIFS(Data!$C:$C,$C106,Data!$P:$P,"VAL",Data!$E:$E,$E106,Data!$F:$F,$F106,Data!$I:$I,IF(ISBLANK($I106),"",$I106),Data!$J:$J,$J106,Data!$K:$K,$K106,Data!$R:$R,"",Data!$L:$L,IF(ISBLANK($P106),"",$P106),Data!$G:$G,"ZF",Data!$H:$H,"A15C",Data!$M:$M,88, Data!$Q:$Q,1),0)</f>
        <v>0</v>
      </c>
      <c r="X111" s="57">
        <f>IF(NOT(ISBLANK(X106)),COUNTIFS(Data!$C:$C,$C106,Data!$P:$P,"VAL",Data!$E:$E,$E106,Data!$F:$F,$F106,Data!$I:$I,IF(ISBLANK($I106),"",$I106),Data!$J:$J,$J106,Data!$K:$K,$K106,Data!$R:$R,"",Data!$L:$L,IF(ISBLANK($P106),"",$P106),Data!$G:$G,"ZF",Data!$H:$H,"A15C",Data!$M:$M,105, Data!$Q:$Q,1),0)</f>
        <v>0</v>
      </c>
      <c r="Y111" s="11"/>
      <c r="Z111" s="11"/>
      <c r="AA111" s="11">
        <v>70</v>
      </c>
    </row>
    <row r="112" spans="1:27" ht="15.6" x14ac:dyDescent="0.3">
      <c r="A112" s="171"/>
      <c r="B112" s="171"/>
      <c r="C112" s="154" t="s">
        <v>396</v>
      </c>
      <c r="D112" s="154" t="s">
        <v>508</v>
      </c>
      <c r="E112" s="154" t="s">
        <v>397</v>
      </c>
      <c r="F112" s="154">
        <v>1</v>
      </c>
      <c r="G112" s="154" t="s">
        <v>555</v>
      </c>
      <c r="H112" s="155" t="s">
        <v>419</v>
      </c>
      <c r="I112" s="155" t="s">
        <v>926</v>
      </c>
      <c r="J112" s="154" t="s">
        <v>398</v>
      </c>
      <c r="K112" s="154" t="s">
        <v>397</v>
      </c>
      <c r="L112" s="154" t="s">
        <v>392</v>
      </c>
      <c r="M112" s="154" t="s">
        <v>399</v>
      </c>
      <c r="N112" s="154"/>
      <c r="O112" s="154">
        <f>+Y112/55</f>
        <v>25</v>
      </c>
      <c r="P112" s="154" t="s">
        <v>534</v>
      </c>
      <c r="Q112" s="156">
        <f>8*55</f>
        <v>440</v>
      </c>
      <c r="R112" s="156">
        <f t="shared" ref="R112" si="53">8*55</f>
        <v>440</v>
      </c>
      <c r="S112" s="156">
        <f>9*55</f>
        <v>495</v>
      </c>
      <c r="T112" s="156"/>
      <c r="U112" s="156"/>
      <c r="V112" s="156"/>
      <c r="W112" s="156"/>
      <c r="X112" s="156"/>
      <c r="Y112" s="156">
        <f>SUM(Q112:X112)</f>
        <v>1375</v>
      </c>
      <c r="Z112" s="157"/>
      <c r="AA112" s="154" t="s">
        <v>406</v>
      </c>
    </row>
    <row r="113" spans="1:27" x14ac:dyDescent="0.3">
      <c r="A113" s="8"/>
      <c r="B113" s="8"/>
      <c r="C113" s="9"/>
      <c r="D113" s="9"/>
      <c r="E113" s="9"/>
      <c r="F113" s="9"/>
      <c r="G113" s="9"/>
      <c r="H113" s="9"/>
      <c r="I113" s="9"/>
      <c r="J113" s="9"/>
      <c r="K113" s="9"/>
      <c r="L113" s="10" t="s">
        <v>413</v>
      </c>
      <c r="M113" s="10"/>
      <c r="N113" s="10"/>
      <c r="O113" s="10"/>
      <c r="P113" s="9">
        <f>SUM(Q113:X113)</f>
        <v>25</v>
      </c>
      <c r="Q113" s="11">
        <f t="shared" ref="Q113:X113" si="54">IFERROR(Q112/55,0)</f>
        <v>8</v>
      </c>
      <c r="R113" s="11">
        <f t="shared" si="54"/>
        <v>8</v>
      </c>
      <c r="S113" s="11">
        <f t="shared" si="54"/>
        <v>9</v>
      </c>
      <c r="T113" s="11">
        <f t="shared" si="54"/>
        <v>0</v>
      </c>
      <c r="U113" s="11">
        <f t="shared" si="54"/>
        <v>0</v>
      </c>
      <c r="V113" s="11">
        <f t="shared" si="54"/>
        <v>0</v>
      </c>
      <c r="W113" s="11">
        <f t="shared" si="54"/>
        <v>0</v>
      </c>
      <c r="X113" s="11">
        <f t="shared" si="54"/>
        <v>0</v>
      </c>
      <c r="Y113" s="11"/>
      <c r="Z113" s="170"/>
      <c r="AA113" s="11"/>
    </row>
    <row r="114" spans="1:27" x14ac:dyDescent="0.3">
      <c r="A114" s="8"/>
      <c r="B114" s="8"/>
      <c r="C114" s="9"/>
      <c r="D114" s="9"/>
      <c r="E114" s="9"/>
      <c r="F114" s="9"/>
      <c r="G114" s="9"/>
      <c r="H114" s="9"/>
      <c r="I114" s="9"/>
      <c r="J114" s="9"/>
      <c r="K114" s="9"/>
      <c r="L114" s="10" t="s">
        <v>414</v>
      </c>
      <c r="M114" s="10"/>
      <c r="N114" s="10"/>
      <c r="O114" s="10"/>
      <c r="P114" s="9">
        <f>SUM(Q114:X114)</f>
        <v>25</v>
      </c>
      <c r="Q114" s="11">
        <f t="shared" ref="Q114:X114" si="55">IFERROR(Q113-(Q115+Q117),0)</f>
        <v>8</v>
      </c>
      <c r="R114" s="11">
        <f t="shared" si="55"/>
        <v>8</v>
      </c>
      <c r="S114" s="11">
        <f t="shared" si="55"/>
        <v>9</v>
      </c>
      <c r="T114" s="11">
        <f t="shared" si="55"/>
        <v>0</v>
      </c>
      <c r="U114" s="11">
        <f t="shared" si="55"/>
        <v>0</v>
      </c>
      <c r="V114" s="11">
        <f t="shared" si="55"/>
        <v>0</v>
      </c>
      <c r="W114" s="11">
        <f t="shared" si="55"/>
        <v>0</v>
      </c>
      <c r="X114" s="11">
        <f t="shared" si="55"/>
        <v>0</v>
      </c>
      <c r="Y114" s="11"/>
      <c r="Z114" s="170"/>
      <c r="AA114" s="11"/>
    </row>
    <row r="115" spans="1:27" x14ac:dyDescent="0.3">
      <c r="A115" s="8"/>
      <c r="B115" s="8"/>
      <c r="C115" s="9"/>
      <c r="D115" s="9"/>
      <c r="E115" s="9"/>
      <c r="F115" s="9"/>
      <c r="G115" s="9"/>
      <c r="H115" s="9"/>
      <c r="I115" s="9"/>
      <c r="J115" s="9"/>
      <c r="K115" s="9"/>
      <c r="L115" s="10" t="s">
        <v>415</v>
      </c>
      <c r="M115" s="10"/>
      <c r="N115" s="10"/>
      <c r="O115" s="10"/>
      <c r="P115" s="173">
        <f>SUM(Q115:X115)</f>
        <v>0</v>
      </c>
      <c r="Q115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45)+COUNTIFS(Data!$C:$C,$C112,Data!$P:$P,"VAL",Data!$E:$E,$E112,Data!$F:$F,$F112,Data!$I:$I,IF(ISBLANK($I112),"",$I112),Data!$J:$J,$J112,Data!$K:$K,$K112,Data!$R:$R,"",Data!$L:$L,IF(ISBLANK($P112),"",$P112),Data!$G:$G,"MAHEL",Data!$H:$H,"E15D",Data!$M:$M,45)+COUNTIFS(Data!$C:$C,$C112,Data!$P:$P,"VAL",Data!$E:$E,$E112,Data!$F:$F,$F112,Data!$I:$I,IF(ISBLANK($I112),"",$I112),Data!$J:$J,$J112,Data!$K:$K,$K112,Data!$R:$R,"",Data!$L:$L,IF(ISBLANK($P112),"",$P112),Data!$G:$G,"MALA",Data!$H:$H,"E15D",Data!$M:$M,45)+COUNTIFS(Data!$C:$C,$C112,Data!$P:$P,"VAL",Data!$E:$E,$E112,Data!$F:$F,$F112,Data!$I:$I,IF(ISBLANK($I112),"",$I112),Data!$J:$J,$J112,Data!$K:$K,$K112,Data!$R:$R,"",Data!$L:$L,IF(ISBLANK($P112),"",$P112),Data!$G:$G,"MAKUL",Data!$H:$H,"E15D",Data!$M:$M,45),0)-Q117</f>
        <v>0</v>
      </c>
      <c r="R115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50)+COUNTIFS(Data!$C:$C,$C112,Data!$P:$P,"VAL",Data!$E:$E,$E112,Data!$F:$F,$F112,Data!$I:$I,IF(ISBLANK($I112),"",$I112),Data!$J:$J,$J112,Data!$K:$K,$K112,Data!$R:$R,"",Data!$L:$L,IF(ISBLANK($P112),"",$P112),Data!$G:$G,"MAHEL",Data!$H:$H,"E15D",Data!$M:$M,50)+COUNTIFS(Data!$C:$C,$C112,Data!$P:$P,"VAL",Data!$E:$E,$E112,Data!$F:$F,$F112,Data!$I:$I,IF(ISBLANK($I112),"",$I112),Data!$J:$J,$J112,Data!$K:$K,$K112,Data!$R:$R,"",Data!$L:$L,IF(ISBLANK($P112),"",$P112),Data!$G:$G,"MALA",Data!$H:$H,"E15D",Data!$M:$M,50)+COUNTIFS(Data!$C:$C,$C112,Data!$P:$P,"VAL",Data!$E:$E,$E112,Data!$F:$F,$F112,Data!$I:$I,IF(ISBLANK($I112),"",$I112),Data!$J:$J,$J112,Data!$K:$K,$K112,Data!$R:$R,"",Data!$L:$L,IF(ISBLANK($P112),"",$P112),Data!$G:$G,"MAKUL",Data!$H:$H,"E15D",Data!$M:$M,50),0)-R117</f>
        <v>0</v>
      </c>
      <c r="S115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55)+COUNTIFS(Data!$C:$C,$C112,Data!$P:$P,"VAL",Data!$E:$E,$E112,Data!$F:$F,$F112,Data!$I:$I,IF(ISBLANK($I112),"",$I112),Data!$J:$J,$J112,Data!$K:$K,$K112,Data!$R:$R,"",Data!$L:$L,IF(ISBLANK($P112),"",$P112),Data!$G:$G,"MAHEL",Data!$H:$H,"E15D",Data!$M:$M,55)+COUNTIFS(Data!$C:$C,$C112,Data!$P:$P,"VAL",Data!$E:$E,$E112,Data!$F:$F,$F112,Data!$I:$I,IF(ISBLANK($I112),"",$I112),Data!$J:$J,$J112,Data!$K:$K,$K112,Data!$R:$R,"",Data!$L:$L,IF(ISBLANK($P112),"",$P112),Data!$G:$G,"MALA",Data!$H:$H,"E15D",Data!$M:$M,55)+COUNTIFS(Data!$C:$C,$C112,Data!$P:$P,"VAL",Data!$E:$E,$E112,Data!$F:$F,$F112,Data!$I:$I,IF(ISBLANK($I112),"",$I112),Data!$J:$J,$J112,Data!$K:$K,$K112,Data!$R:$R,"",Data!$L:$L,IF(ISBLANK($P112),"",$P112),Data!$G:$G,"MAKUL",Data!$H:$H,"E15D",Data!$M:$M,55),0)-S117</f>
        <v>0</v>
      </c>
      <c r="T115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60)+COUNTIFS(Data!$C:$C,$C112,Data!$P:$P,"VAL",Data!$E:$E,$E112,Data!$F:$F,$F112,Data!$I:$I,IF(ISBLANK($I112),"",$I112),Data!$J:$J,$J112,Data!$K:$K,$K112,Data!$R:$R,"",Data!$L:$L,IF(ISBLANK($P112),"",$P112),Data!$G:$G,"MAHEL",Data!$H:$H,"E15D",Data!$M:$M,60)+COUNTIFS(Data!$C:$C,$C112,Data!$P:$P,"VAL",Data!$E:$E,$E112,Data!$F:$F,$F112,Data!$I:$I,IF(ISBLANK($I112),"",$I112),Data!$J:$J,$J112,Data!$K:$K,$K112,Data!$R:$R,"",Data!$L:$L,IF(ISBLANK($P112),"",$P112),Data!$G:$G,"MALA",Data!$H:$H,"E15D",Data!$M:$M,60)+COUNTIFS(Data!$C:$C,$C112,Data!$P:$P,"VAL",Data!$E:$E,$E112,Data!$F:$F,$F112,Data!$I:$I,IF(ISBLANK($I112),"",$I112),Data!$J:$J,$J112,Data!$K:$K,$K112,Data!$R:$R,"",Data!$L:$L,IF(ISBLANK($P112),"",$P112),Data!$G:$G,"MAKUL",Data!$H:$H,"E15D",Data!$M:$M,60),0)-T117</f>
        <v>0</v>
      </c>
      <c r="U115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65)+COUNTIFS(Data!$C:$C,$C112,Data!$P:$P,"VAL",Data!$E:$E,$E112,Data!$F:$F,$F112,Data!$I:$I,IF(ISBLANK($I112),"",$I112),Data!$J:$J,$J112,Data!$K:$K,$K112,Data!$R:$R,"",Data!$L:$L,IF(ISBLANK($P112),"",$P112),Data!$G:$G,"MAHEL",Data!$H:$H,"E15D",Data!$M:$M,65)+COUNTIFS(Data!$C:$C,$C112,Data!$P:$P,"VAL",Data!$E:$E,$E112,Data!$F:$F,$F112,Data!$I:$I,IF(ISBLANK($I112),"",$I112),Data!$J:$J,$J112,Data!$K:$K,$K112,Data!$R:$R,"",Data!$L:$L,IF(ISBLANK($P112),"",$P112),Data!$G:$G,"MALA",Data!$H:$H,"E15D",Data!$M:$M,65)+COUNTIFS(Data!$C:$C,$C112,Data!$P:$P,"VAL",Data!$E:$E,$E112,Data!$F:$F,$F112,Data!$I:$I,IF(ISBLANK($I112),"",$I112),Data!$J:$J,$J112,Data!$K:$K,$K112,Data!$R:$R,"",Data!$L:$L,IF(ISBLANK($P112),"",$P112),Data!$G:$G,"MAKUL",Data!$H:$H,"E15D",Data!$M:$M,65),0)-U117</f>
        <v>0</v>
      </c>
      <c r="V115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72)+COUNTIFS(Data!$C:$C,$C112,Data!$P:$P,"VAL",Data!$E:$E,$E112,Data!$F:$F,$F112,Data!$I:$I,IF(ISBLANK($I112),"",$I112),Data!$J:$J,$J112,Data!$K:$K,$K112,Data!$R:$R,"",Data!$L:$L,IF(ISBLANK($P112),"",$P112),Data!$G:$G,"MAHEL",Data!$H:$H,"E15D",Data!$M:$M,72)+COUNTIFS(Data!$C:$C,$C112,Data!$P:$P,"VAL",Data!$E:$E,$E112,Data!$F:$F,$F112,Data!$I:$I,IF(ISBLANK($I112),"",$I112),Data!$J:$J,$J112,Data!$K:$K,$K112,Data!$R:$R,"",Data!$L:$L,IF(ISBLANK($P112),"",$P112),Data!$G:$G,"MALA",Data!$H:$H,"E15D",Data!$M:$M,72)+COUNTIFS(Data!$C:$C,$C112,Data!$P:$P,"VAL",Data!$E:$E,$E112,Data!$F:$F,$F112,Data!$I:$I,IF(ISBLANK($I112),"",$I112),Data!$J:$J,$J112,Data!$K:$K,$K112,Data!$R:$R,"",Data!$L:$L,IF(ISBLANK($P112),"",$P112),Data!$G:$G,"MAKUL",Data!$H:$H,"E15D",Data!$M:$M,72),0)-V117</f>
        <v>0</v>
      </c>
      <c r="W115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90)+COUNTIFS(Data!$C:$C,$C112,Data!$P:$P,"VAL",Data!$E:$E,$E112,Data!$F:$F,$F112,Data!$I:$I,IF(ISBLANK($I112),"",$I112),Data!$J:$J,$J112,Data!$K:$K,$K112,Data!$R:$R,"",Data!$L:$L,IF(ISBLANK($P112),"",$P112),Data!$G:$G,"MAHEL",Data!$H:$H,"E15D",Data!$M:$M,90)+COUNTIFS(Data!$C:$C,$C112,Data!$P:$P,"VAL",Data!$E:$E,$E112,Data!$F:$F,$F112,Data!$I:$I,IF(ISBLANK($I112),"",$I112),Data!$J:$J,$J112,Data!$K:$K,$K112,Data!$R:$R,"",Data!$L:$L,IF(ISBLANK($P112),"",$P112),Data!$G:$G,"MALA",Data!$H:$H,"E15D",Data!$M:$M,90)+COUNTIFS(Data!$C:$C,$C112,Data!$P:$P,"VAL",Data!$E:$E,$E112,Data!$F:$F,$F112,Data!$I:$I,IF(ISBLANK($I112),"",$I112),Data!$J:$J,$J112,Data!$K:$K,$K112,Data!$R:$R,"",Data!$L:$L,IF(ISBLANK($P112),"",$P112),Data!$G:$G,"MAKUL",Data!$H:$H,"E15D",Data!$M:$M,90),0)-W117</f>
        <v>0</v>
      </c>
      <c r="X115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96)+COUNTIFS(Data!$C:$C,$C112,Data!$P:$P,"VAL",Data!$E:$E,$E112,Data!$F:$F,$F112,Data!$I:$I,IF(ISBLANK($I112),"",$I112),Data!$J:$J,$J112,Data!$K:$K,$K112,Data!$R:$R,"",Data!$L:$L,IF(ISBLANK($P112),"",$P112),Data!$G:$G,"MAHEL",Data!$H:$H,"E15D",Data!$M:$M,96)+COUNTIFS(Data!$C:$C,$C112,Data!$P:$P,"VAL",Data!$E:$E,$E112,Data!$F:$F,$F112,Data!$I:$I,IF(ISBLANK($I112),"",$I112),Data!$J:$J,$J112,Data!$K:$K,$K112,Data!$R:$R,"",Data!$L:$L,IF(ISBLANK($P112),"",$P112),Data!$G:$G,"MALA",Data!$H:$H,"E15D",Data!$M:$M,96)+COUNTIFS(Data!$C:$C,$C112,Data!$P:$P,"VAL",Data!$E:$E,$E112,Data!$F:$F,$F112,Data!$I:$I,IF(ISBLANK($I112),"",$I112),Data!$J:$J,$J112,Data!$K:$K,$K112,Data!$R:$R,"",Data!$L:$L,IF(ISBLANK($P112),"",$P112),Data!$G:$G,"MAKUL",Data!$H:$H,"E15D",Data!$M:$M,96),0)-X117</f>
        <v>0</v>
      </c>
      <c r="Y115" s="11"/>
      <c r="Z115" s="170"/>
      <c r="AA115" s="11"/>
    </row>
    <row r="116" spans="1:27" x14ac:dyDescent="0.3">
      <c r="A116" s="8"/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10" t="s">
        <v>416</v>
      </c>
      <c r="M116" s="10"/>
      <c r="N116" s="10"/>
      <c r="O116" s="10"/>
      <c r="P116" s="9">
        <f>IF(COUNTIF(Z112:Z117,"*AS ORDERED*")&gt;0,SUM(Q116:X116),IF(P114&gt;0,0,(-1)*P114))</f>
        <v>0</v>
      </c>
      <c r="Q116" s="11">
        <f t="shared" ref="Q116:X116" si="56">IF(($P115+$P117)&gt;$P113,IF((Q115+Q117)-Q113&gt;0,(Q115+Q117)-Q113,0),0)</f>
        <v>0</v>
      </c>
      <c r="R116" s="11">
        <f t="shared" si="56"/>
        <v>0</v>
      </c>
      <c r="S116" s="11">
        <f t="shared" si="56"/>
        <v>0</v>
      </c>
      <c r="T116" s="11">
        <f t="shared" si="56"/>
        <v>0</v>
      </c>
      <c r="U116" s="11">
        <f t="shared" si="56"/>
        <v>0</v>
      </c>
      <c r="V116" s="11">
        <f t="shared" si="56"/>
        <v>0</v>
      </c>
      <c r="W116" s="11">
        <f t="shared" si="56"/>
        <v>0</v>
      </c>
      <c r="X116" s="11">
        <f t="shared" si="56"/>
        <v>0</v>
      </c>
      <c r="Y116" s="11"/>
      <c r="Z116" s="11"/>
      <c r="AA116" s="11"/>
    </row>
    <row r="117" spans="1:27" ht="15" thickBot="1" x14ac:dyDescent="0.35">
      <c r="A117" s="8"/>
      <c r="B117" s="8"/>
      <c r="C117" s="9"/>
      <c r="D117" s="9"/>
      <c r="E117" s="9"/>
      <c r="F117" s="9"/>
      <c r="G117" s="9"/>
      <c r="H117" s="9"/>
      <c r="I117" s="9"/>
      <c r="J117" s="9"/>
      <c r="K117" s="9"/>
      <c r="L117" s="10" t="s">
        <v>417</v>
      </c>
      <c r="M117" s="10"/>
      <c r="N117" s="10"/>
      <c r="O117" s="10"/>
      <c r="P117" s="173">
        <f>SUM(Q117:X117)</f>
        <v>0</v>
      </c>
      <c r="Q117" s="57">
        <f>IF(NOT(ISBLANK(Q112)),COUNTIFS(Data!$C:$C,$C112,Data!$P:$P,"VAL",Data!$E:$E,$E112,Data!$F:$F,$F112,Data!$I:$I,IF(ISBLANK($I112),"",$I112),Data!$J:$J,$J112,Data!$K:$K,$K112,Data!$R:$R,"",Data!$L:$L,IF(ISBLANK($P112),"",$P112),Data!$G:$G,"ZF",Data!$H:$H,"E15D",Data!$M:$M,45, Data!$Q:$Q,1)+COUNTIFS(Data!$C:$C,$C112,Data!$P:$P,"VAL",Data!$E:$E,$E112,Data!$F:$F,$F112,Data!$I:$I,IF(ISBLANK($I112),"",$I112),Data!$J:$J,$J112,Data!$K:$K,$K112,Data!$R:$R,"",Data!$L:$L,IF(ISBLANK($P112),"",$P112),Data!$G:$G,"MAHEL",Data!$H:$H,"E15D",Data!$M:$M,45, Data!$Q:$Q,1)+COUNTIFS(Data!$C:$C,$C112,Data!$P:$P,"VAL",Data!$E:$E,$E112,Data!$F:$F,$F112,Data!$I:$I,IF(ISBLANK($I112),"",$I112),Data!$J:$J,$J112,Data!$K:$K,$K112,Data!$R:$R,"",Data!$L:$L,IF(ISBLANK($P112),"",$P112),Data!$G:$G,"MALA",Data!$H:$H,"E15D",Data!$M:$M,45, Data!$Q:$Q,1)+COUNTIFS(Data!$C:$C,$C112,Data!$P:$P,"VAL",Data!$E:$E,$E112,Data!$F:$F,$F112,Data!$I:$I,IF(ISBLANK($I112),"",$I112),Data!$J:$J,$J112,Data!$K:$K,$K112,Data!$R:$R,"",Data!$L:$L,IF(ISBLANK($P112),"",$P112),Data!$G:$G,"MAKUL",Data!$H:$H,"E15D",Data!$M:$M,45, Data!$Q:$Q,1),0)</f>
        <v>0</v>
      </c>
      <c r="R117" s="57">
        <f>IF(NOT(ISBLANK(R112)),COUNTIFS(Data!$C:$C,$C112,Data!$P:$P,"VAL",Data!$E:$E,$E112,Data!$F:$F,$F112,Data!$I:$I,IF(ISBLANK($I112),"",$I112),Data!$J:$J,$J112,Data!$K:$K,$K112,Data!$R:$R,"",Data!$L:$L,IF(ISBLANK($P112),"",$P112),Data!$G:$G,"ZF",Data!$H:$H,"E15D",Data!$M:$M,50, Data!$Q:$Q,1)+COUNTIFS(Data!$C:$C,$C112,Data!$P:$P,"VAL",Data!$E:$E,$E112,Data!$F:$F,$F112,Data!$I:$I,IF(ISBLANK($I112),"",$I112),Data!$J:$J,$J112,Data!$K:$K,$K112,Data!$R:$R,"",Data!$L:$L,IF(ISBLANK($P112),"",$P112),Data!$G:$G,"MAHEL",Data!$H:$H,"E15D",Data!$M:$M,50, Data!$Q:$Q,1)+COUNTIFS(Data!$C:$C,$C112,Data!$P:$P,"VAL",Data!$E:$E,$E112,Data!$F:$F,$F112,Data!$I:$I,IF(ISBLANK($I112),"",$I112),Data!$J:$J,$J112,Data!$K:$K,$K112,Data!$R:$R,"",Data!$L:$L,IF(ISBLANK($P112),"",$P112),Data!$G:$G,"MALA",Data!$H:$H,"E15D",Data!$M:$M,50, Data!$Q:$Q,1)+COUNTIFS(Data!$C:$C,$C112,Data!$P:$P,"VAL",Data!$E:$E,$E112,Data!$F:$F,$F112,Data!$I:$I,IF(ISBLANK($I112),"",$I112),Data!$J:$J,$J112,Data!$K:$K,$K112,Data!$R:$R,"",Data!$L:$L,IF(ISBLANK($P112),"",$P112),Data!$G:$G,"MAKUL",Data!$H:$H,"E15D",Data!$M:$M,50, Data!$Q:$Q,1),0)</f>
        <v>0</v>
      </c>
      <c r="S117" s="57">
        <f>IF(NOT(ISBLANK(S112)),COUNTIFS(Data!$C:$C,$C112,Data!$P:$P,"VAL",Data!$E:$E,$E112,Data!$F:$F,$F112,Data!$I:$I,IF(ISBLANK($I112),"",$I112),Data!$J:$J,$J112,Data!$K:$K,$K112,Data!$R:$R,"",Data!$L:$L,IF(ISBLANK($P112),"",$P112),Data!$G:$G,"ZF",Data!$H:$H,"E15D",Data!$M:$M,55, Data!$Q:$Q,1)+COUNTIFS(Data!$C:$C,$C112,Data!$P:$P,"VAL",Data!$E:$E,$E112,Data!$F:$F,$F112,Data!$I:$I,IF(ISBLANK($I112),"",$I112),Data!$J:$J,$J112,Data!$K:$K,$K112,Data!$R:$R,"",Data!$L:$L,IF(ISBLANK($P112),"",$P112),Data!$G:$G,"MAHEL",Data!$H:$H,"E15D",Data!$M:$M,55, Data!$Q:$Q,1)+COUNTIFS(Data!$C:$C,$C112,Data!$P:$P,"VAL",Data!$E:$E,$E112,Data!$F:$F,$F112,Data!$I:$I,IF(ISBLANK($I112),"",$I112),Data!$J:$J,$J112,Data!$K:$K,$K112,Data!$R:$R,"",Data!$L:$L,IF(ISBLANK($P112),"",$P112),Data!$G:$G,"MALA",Data!$H:$H,"E15D",Data!$M:$M,55, Data!$Q:$Q,1)+COUNTIFS(Data!$C:$C,$C112,Data!$P:$P,"VAL",Data!$E:$E,$E112,Data!$F:$F,$F112,Data!$I:$I,IF(ISBLANK($I112),"",$I112),Data!$J:$J,$J112,Data!$K:$K,$K112,Data!$R:$R,"",Data!$L:$L,IF(ISBLANK($P112),"",$P112),Data!$G:$G,"MAKUL",Data!$H:$H,"E15D",Data!$M:$M,55, Data!$Q:$Q,1),0)</f>
        <v>0</v>
      </c>
      <c r="T117" s="57">
        <f>IF(NOT(ISBLANK(T112)),COUNTIFS(Data!$C:$C,$C112,Data!$P:$P,"VAL",Data!$E:$E,$E112,Data!$F:$F,$F112,Data!$I:$I,IF(ISBLANK($I112),"",$I112),Data!$J:$J,$J112,Data!$K:$K,$K112,Data!$R:$R,"",Data!$L:$L,IF(ISBLANK($P112),"",$P112),Data!$G:$G,"ZF",Data!$H:$H,"E15D",Data!$M:$M,60, Data!$Q:$Q,1)+COUNTIFS(Data!$C:$C,$C112,Data!$P:$P,"VAL",Data!$E:$E,$E112,Data!$F:$F,$F112,Data!$I:$I,IF(ISBLANK($I112),"",$I112),Data!$J:$J,$J112,Data!$K:$K,$K112,Data!$R:$R,"",Data!$L:$L,IF(ISBLANK($P112),"",$P112),Data!$G:$G,"MAHEL",Data!$H:$H,"E15D",Data!$M:$M,60, Data!$Q:$Q,1)+COUNTIFS(Data!$C:$C,$C112,Data!$P:$P,"VAL",Data!$E:$E,$E112,Data!$F:$F,$F112,Data!$I:$I,IF(ISBLANK($I112),"",$I112),Data!$J:$J,$J112,Data!$K:$K,$K112,Data!$R:$R,"",Data!$L:$L,IF(ISBLANK($P112),"",$P112),Data!$G:$G,"MALA",Data!$H:$H,"E15D",Data!$M:$M,60, Data!$Q:$Q,1)+COUNTIFS(Data!$C:$C,$C112,Data!$P:$P,"VAL",Data!$E:$E,$E112,Data!$F:$F,$F112,Data!$I:$I,IF(ISBLANK($I112),"",$I112),Data!$J:$J,$J112,Data!$K:$K,$K112,Data!$R:$R,"",Data!$L:$L,IF(ISBLANK($P112),"",$P112),Data!$G:$G,"MAKUL",Data!$H:$H,"E15D",Data!$M:$M,60, Data!$Q:$Q,1),0)</f>
        <v>0</v>
      </c>
      <c r="U117" s="57">
        <f>IF(NOT(ISBLANK(U112)),COUNTIFS(Data!$C:$C,$C112,Data!$P:$P,"VAL",Data!$E:$E,$E112,Data!$F:$F,$F112,Data!$I:$I,IF(ISBLANK($I112),"",$I112),Data!$J:$J,$J112,Data!$K:$K,$K112,Data!$R:$R,"",Data!$L:$L,IF(ISBLANK($P112),"",$P112),Data!$G:$G,"ZF",Data!$H:$H,"E15D",Data!$M:$M,65, Data!$Q:$Q,1)+COUNTIFS(Data!$C:$C,$C112,Data!$P:$P,"VAL",Data!$E:$E,$E112,Data!$F:$F,$F112,Data!$I:$I,IF(ISBLANK($I112),"",$I112),Data!$J:$J,$J112,Data!$K:$K,$K112,Data!$R:$R,"",Data!$L:$L,IF(ISBLANK($P112),"",$P112),Data!$G:$G,"MAHEL",Data!$H:$H,"E15D",Data!$M:$M,65, Data!$Q:$Q,1)+COUNTIFS(Data!$C:$C,$C112,Data!$P:$P,"VAL",Data!$E:$E,$E112,Data!$F:$F,$F112,Data!$I:$I,IF(ISBLANK($I112),"",$I112),Data!$J:$J,$J112,Data!$K:$K,$K112,Data!$R:$R,"",Data!$L:$L,IF(ISBLANK($P112),"",$P112),Data!$G:$G,"MALA",Data!$H:$H,"E15D",Data!$M:$M,65, Data!$Q:$Q,1)+COUNTIFS(Data!$C:$C,$C112,Data!$P:$P,"VAL",Data!$E:$E,$E112,Data!$F:$F,$F112,Data!$I:$I,IF(ISBLANK($I112),"",$I112),Data!$J:$J,$J112,Data!$K:$K,$K112,Data!$R:$R,"",Data!$L:$L,IF(ISBLANK($P112),"",$P112),Data!$G:$G,"MAKUL",Data!$H:$H,"E15D",Data!$M:$M,65, Data!$Q:$Q,1),0)</f>
        <v>0</v>
      </c>
      <c r="V117" s="57">
        <f>IF(NOT(ISBLANK(V112)),COUNTIFS(Data!$C:$C,$C112,Data!$P:$P,"VAL",Data!$E:$E,$E112,Data!$F:$F,$F112,Data!$I:$I,IF(ISBLANK($I112),"",$I112),Data!$J:$J,$J112,Data!$K:$K,$K112,Data!$R:$R,"",Data!$L:$L,IF(ISBLANK($P112),"",$P112),Data!$G:$G,"ZF",Data!$H:$H,"E15D",Data!$M:$M,72, Data!$Q:$Q,1)+COUNTIFS(Data!$C:$C,$C112,Data!$P:$P,"VAL",Data!$E:$E,$E112,Data!$F:$F,$F112,Data!$I:$I,IF(ISBLANK($I112),"",$I112),Data!$J:$J,$J112,Data!$K:$K,$K112,Data!$R:$R,"",Data!$L:$L,IF(ISBLANK($P112),"",$P112),Data!$G:$G,"MAHEL",Data!$H:$H,"E15D",Data!$M:$M,72, Data!$Q:$Q,1)+COUNTIFS(Data!$C:$C,$C112,Data!$P:$P,"VAL",Data!$E:$E,$E112,Data!$F:$F,$F112,Data!$I:$I,IF(ISBLANK($I112),"",$I112),Data!$J:$J,$J112,Data!$K:$K,$K112,Data!$R:$R,"",Data!$L:$L,IF(ISBLANK($P112),"",$P112),Data!$G:$G,"MALA",Data!$H:$H,"E15D",Data!$M:$M,72, Data!$Q:$Q,1)+COUNTIFS(Data!$C:$C,$C112,Data!$P:$P,"VAL",Data!$E:$E,$E112,Data!$F:$F,$F112,Data!$I:$I,IF(ISBLANK($I112),"",$I112),Data!$J:$J,$J112,Data!$K:$K,$K112,Data!$R:$R,"",Data!$L:$L,IF(ISBLANK($P112),"",$P112),Data!$G:$G,"MAKUL",Data!$H:$H,"E15D",Data!$M:$M,72, Data!$Q:$Q,1),0)</f>
        <v>0</v>
      </c>
      <c r="W117" s="57">
        <f>IF(NOT(ISBLANK(W112)),COUNTIFS(Data!$C:$C,$C112,Data!$P:$P,"VAL",Data!$E:$E,$E112,Data!$F:$F,$F112,Data!$I:$I,IF(ISBLANK($I112),"",$I112),Data!$J:$J,$J112,Data!$K:$K,$K112,Data!$R:$R,"",Data!$L:$L,IF(ISBLANK($P112),"",$P112),Data!$G:$G,"ZF",Data!$H:$H,"E15D",Data!$M:$M,90, Data!$Q:$Q,1)+COUNTIFS(Data!$C:$C,$C112,Data!$P:$P,"VAL",Data!$E:$E,$E112,Data!$F:$F,$F112,Data!$I:$I,IF(ISBLANK($I112),"",$I112),Data!$J:$J,$J112,Data!$K:$K,$K112,Data!$R:$R,"",Data!$L:$L,IF(ISBLANK($P112),"",$P112),Data!$G:$G,"MAHEL",Data!$H:$H,"E15D",Data!$M:$M,90, Data!$Q:$Q,1)+COUNTIFS(Data!$C:$C,$C112,Data!$P:$P,"VAL",Data!$E:$E,$E112,Data!$F:$F,$F112,Data!$I:$I,IF(ISBLANK($I112),"",$I112),Data!$J:$J,$J112,Data!$K:$K,$K112,Data!$R:$R,"",Data!$L:$L,IF(ISBLANK($P112),"",$P112),Data!$G:$G,"MALA",Data!$H:$H,"E15D",Data!$M:$M,90, Data!$Q:$Q,1)+COUNTIFS(Data!$C:$C,$C112,Data!$P:$P,"VAL",Data!$E:$E,$E112,Data!$F:$F,$F112,Data!$I:$I,IF(ISBLANK($I112),"",$I112),Data!$J:$J,$J112,Data!$K:$K,$K112,Data!$R:$R,"",Data!$L:$L,IF(ISBLANK($P112),"",$P112),Data!$G:$G,"MAKUL",Data!$H:$H,"E15D",Data!$M:$M,90, Data!$Q:$Q,1),0)</f>
        <v>0</v>
      </c>
      <c r="X117" s="57">
        <f>IF(NOT(ISBLANK(X112)),COUNTIFS(Data!$C:$C,$C112,Data!$P:$P,"VAL",Data!$E:$E,$E112,Data!$F:$F,$F112,Data!$I:$I,IF(ISBLANK($I112),"",$I112),Data!$J:$J,$J112,Data!$K:$K,$K112,Data!$R:$R,"",Data!$L:$L,IF(ISBLANK($P112),"",$P112),Data!$G:$G,"ZF",Data!$H:$H,"E15D",Data!$M:$M,96, Data!$Q:$Q,1)+COUNTIFS(Data!$C:$C,$C112,Data!$P:$P,"VAL",Data!$E:$E,$E112,Data!$F:$F,$F112,Data!$I:$I,IF(ISBLANK($I112),"",$I112),Data!$J:$J,$J112,Data!$K:$K,$K112,Data!$R:$R,"",Data!$L:$L,IF(ISBLANK($P112),"",$P112),Data!$G:$G,"MAHEL",Data!$H:$H,"E15D",Data!$M:$M,96, Data!$Q:$Q,1)+COUNTIFS(Data!$C:$C,$C112,Data!$P:$P,"VAL",Data!$E:$E,$E112,Data!$F:$F,$F112,Data!$I:$I,IF(ISBLANK($I112),"",$I112),Data!$J:$J,$J112,Data!$K:$K,$K112,Data!$R:$R,"",Data!$L:$L,IF(ISBLANK($P112),"",$P112),Data!$G:$G,"MALA",Data!$H:$H,"E15D",Data!$M:$M,96, Data!$Q:$Q,1)+COUNTIFS(Data!$C:$C,$C112,Data!$P:$P,"VAL",Data!$E:$E,$E112,Data!$F:$F,$F112,Data!$I:$I,IF(ISBLANK($I112),"",$I112),Data!$J:$J,$J112,Data!$K:$K,$K112,Data!$R:$R,"",Data!$L:$L,IF(ISBLANK($P112),"",$P112),Data!$G:$G,"MAKUL",Data!$H:$H,"E15D",Data!$M:$M,96, Data!$Q:$Q,1),0)</f>
        <v>0</v>
      </c>
      <c r="Y117" s="11"/>
      <c r="Z117" s="11"/>
      <c r="AA117" s="11">
        <v>55</v>
      </c>
    </row>
    <row r="118" spans="1:27" ht="15.6" x14ac:dyDescent="0.3">
      <c r="A118" s="153"/>
      <c r="B118" s="153"/>
      <c r="C118" s="154" t="s">
        <v>396</v>
      </c>
      <c r="D118" s="154" t="s">
        <v>508</v>
      </c>
      <c r="E118" s="154" t="s">
        <v>397</v>
      </c>
      <c r="F118" s="154">
        <v>1</v>
      </c>
      <c r="G118" s="154" t="s">
        <v>390</v>
      </c>
      <c r="H118" s="154" t="s">
        <v>391</v>
      </c>
      <c r="I118" s="155" t="s">
        <v>926</v>
      </c>
      <c r="J118" s="154" t="s">
        <v>398</v>
      </c>
      <c r="K118" s="154" t="s">
        <v>397</v>
      </c>
      <c r="L118" s="154" t="s">
        <v>392</v>
      </c>
      <c r="M118" s="154" t="s">
        <v>399</v>
      </c>
      <c r="N118" s="154"/>
      <c r="O118" s="154">
        <f>+Y118/70</f>
        <v>25</v>
      </c>
      <c r="P118" s="154" t="s">
        <v>534</v>
      </c>
      <c r="Q118" s="171"/>
      <c r="R118" s="156"/>
      <c r="S118" s="156"/>
      <c r="T118" s="156">
        <f>13*70</f>
        <v>910</v>
      </c>
      <c r="U118" s="156">
        <f>12*70</f>
        <v>840</v>
      </c>
      <c r="V118" s="156"/>
      <c r="W118" s="156"/>
      <c r="X118" s="156"/>
      <c r="Y118" s="156">
        <f>SUM(Q118:X118)</f>
        <v>1750</v>
      </c>
      <c r="Z118" s="157"/>
      <c r="AA118" s="154"/>
    </row>
    <row r="119" spans="1:27" x14ac:dyDescent="0.3">
      <c r="A119" s="8"/>
      <c r="B119" s="8"/>
      <c r="C119" s="9"/>
      <c r="D119" s="9"/>
      <c r="E119" s="9"/>
      <c r="F119" s="9"/>
      <c r="G119" s="9"/>
      <c r="H119" s="9"/>
      <c r="I119" s="9"/>
      <c r="J119" s="9"/>
      <c r="K119" s="9"/>
      <c r="L119" s="10" t="s">
        <v>413</v>
      </c>
      <c r="M119" s="10"/>
      <c r="N119" s="10"/>
      <c r="O119" s="10"/>
      <c r="P119" s="9">
        <f>SUM(Q119:X119)</f>
        <v>25</v>
      </c>
      <c r="Q119" s="11">
        <f t="shared" ref="Q119:X119" si="57">IFERROR(Q118/70,0)</f>
        <v>0</v>
      </c>
      <c r="R119" s="11">
        <f t="shared" si="57"/>
        <v>0</v>
      </c>
      <c r="S119" s="11">
        <f t="shared" si="57"/>
        <v>0</v>
      </c>
      <c r="T119" s="11">
        <f t="shared" si="57"/>
        <v>13</v>
      </c>
      <c r="U119" s="11">
        <f t="shared" si="57"/>
        <v>12</v>
      </c>
      <c r="V119" s="11">
        <f t="shared" si="57"/>
        <v>0</v>
      </c>
      <c r="W119" s="11">
        <f t="shared" si="57"/>
        <v>0</v>
      </c>
      <c r="X119" s="11">
        <f t="shared" si="57"/>
        <v>0</v>
      </c>
      <c r="Y119" s="11"/>
      <c r="Z119" s="170"/>
      <c r="AA119" s="11"/>
    </row>
    <row r="120" spans="1:27" x14ac:dyDescent="0.3">
      <c r="A120" s="8"/>
      <c r="B120" s="8"/>
      <c r="C120" s="9"/>
      <c r="D120" s="9"/>
      <c r="E120" s="9"/>
      <c r="F120" s="9"/>
      <c r="G120" s="9"/>
      <c r="H120" s="9"/>
      <c r="I120" s="9"/>
      <c r="J120" s="9"/>
      <c r="K120" s="9"/>
      <c r="L120" s="10" t="s">
        <v>414</v>
      </c>
      <c r="M120" s="10"/>
      <c r="N120" s="10"/>
      <c r="O120" s="10"/>
      <c r="P120" s="9">
        <f>SUM(Q120:X120)</f>
        <v>25</v>
      </c>
      <c r="Q120" s="11">
        <f t="shared" ref="Q120:X120" si="58">IFERROR(Q119-(Q121+Q123),0)</f>
        <v>0</v>
      </c>
      <c r="R120" s="11">
        <f t="shared" si="58"/>
        <v>0</v>
      </c>
      <c r="S120" s="11">
        <f t="shared" si="58"/>
        <v>0</v>
      </c>
      <c r="T120" s="11">
        <f t="shared" si="58"/>
        <v>13</v>
      </c>
      <c r="U120" s="11">
        <f t="shared" si="58"/>
        <v>12</v>
      </c>
      <c r="V120" s="11">
        <f t="shared" si="58"/>
        <v>0</v>
      </c>
      <c r="W120" s="11">
        <f t="shared" si="58"/>
        <v>0</v>
      </c>
      <c r="X120" s="11">
        <f t="shared" si="58"/>
        <v>0</v>
      </c>
      <c r="Y120" s="11"/>
      <c r="Z120" s="170"/>
      <c r="AA120" s="11"/>
    </row>
    <row r="121" spans="1:27" x14ac:dyDescent="0.3">
      <c r="A121" s="8"/>
      <c r="B121" s="8"/>
      <c r="C121" s="9"/>
      <c r="D121" s="9"/>
      <c r="E121" s="9"/>
      <c r="F121" s="9"/>
      <c r="G121" s="9"/>
      <c r="H121" s="9"/>
      <c r="I121" s="9"/>
      <c r="J121" s="9"/>
      <c r="K121" s="9"/>
      <c r="L121" s="10" t="s">
        <v>415</v>
      </c>
      <c r="M121" s="10"/>
      <c r="N121" s="10"/>
      <c r="O121" s="10"/>
      <c r="P121" s="173">
        <f>SUM(Q121:X121)</f>
        <v>0</v>
      </c>
      <c r="Q121" s="57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36),0)-Q123</f>
        <v>0</v>
      </c>
      <c r="R121" s="57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40),0)-R123</f>
        <v>0</v>
      </c>
      <c r="S121" s="57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48),0)-S123</f>
        <v>0</v>
      </c>
      <c r="T121" s="57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56),0)-T123</f>
        <v>0</v>
      </c>
      <c r="U121" s="57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64),0)-U123</f>
        <v>0</v>
      </c>
      <c r="V121" s="57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72),0)-V123</f>
        <v>0</v>
      </c>
      <c r="W121" s="57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88),0)-W123</f>
        <v>0</v>
      </c>
      <c r="X121" s="57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105),0)-X123</f>
        <v>0</v>
      </c>
      <c r="Y121" s="11"/>
      <c r="Z121" s="170"/>
      <c r="AA121" s="11"/>
    </row>
    <row r="122" spans="1:27" x14ac:dyDescent="0.3">
      <c r="A122" s="8"/>
      <c r="B122" s="8"/>
      <c r="C122" s="9"/>
      <c r="D122" s="9"/>
      <c r="E122" s="9"/>
      <c r="F122" s="9"/>
      <c r="G122" s="9"/>
      <c r="H122" s="9"/>
      <c r="I122" s="9"/>
      <c r="J122" s="9"/>
      <c r="K122" s="9"/>
      <c r="L122" s="10" t="s">
        <v>416</v>
      </c>
      <c r="M122" s="10"/>
      <c r="N122" s="10"/>
      <c r="O122" s="10"/>
      <c r="P122" s="9">
        <f>IF(COUNTIF(Z118:Z123,"*AS ORDERED*")&gt;0,SUM(Q122:X122),IF(P120&gt;0,0,(-1)*P120))</f>
        <v>0</v>
      </c>
      <c r="Q122" s="11">
        <f t="shared" ref="Q122:X122" si="59">IF(($P121+$P123)&gt;$P119,IF((Q121+Q123)-Q119&gt;0,(Q121+Q123)-Q119,0),0)</f>
        <v>0</v>
      </c>
      <c r="R122" s="11">
        <f t="shared" si="59"/>
        <v>0</v>
      </c>
      <c r="S122" s="11">
        <f t="shared" si="59"/>
        <v>0</v>
      </c>
      <c r="T122" s="11">
        <f t="shared" si="59"/>
        <v>0</v>
      </c>
      <c r="U122" s="11">
        <f t="shared" si="59"/>
        <v>0</v>
      </c>
      <c r="V122" s="11">
        <f t="shared" si="59"/>
        <v>0</v>
      </c>
      <c r="W122" s="11">
        <f t="shared" si="59"/>
        <v>0</v>
      </c>
      <c r="X122" s="11">
        <f t="shared" si="59"/>
        <v>0</v>
      </c>
      <c r="Y122" s="11"/>
      <c r="Z122" s="11"/>
      <c r="AA122" s="11"/>
    </row>
    <row r="123" spans="1:27" ht="15" thickBot="1" x14ac:dyDescent="0.35">
      <c r="A123" s="26"/>
      <c r="B123" s="26"/>
      <c r="C123" s="27"/>
      <c r="D123" s="27"/>
      <c r="E123" s="27"/>
      <c r="F123" s="27"/>
      <c r="G123" s="27"/>
      <c r="H123" s="27"/>
      <c r="I123" s="27"/>
      <c r="J123" s="27"/>
      <c r="K123" s="27"/>
      <c r="L123" s="28" t="s">
        <v>417</v>
      </c>
      <c r="M123" s="28"/>
      <c r="N123" s="28"/>
      <c r="O123" s="28"/>
      <c r="P123" s="174">
        <f>SUM(Q123:X123)</f>
        <v>0</v>
      </c>
      <c r="Q123" s="58">
        <f>IF(NOT(ISBLANK(Q118)),COUNTIFS(Data!$C:$C,$C118,Data!$P:$P,"VAL",Data!$E:$E,$E118,Data!$F:$F,$F118,Data!$I:$I,IF(ISBLANK($I118),"",$I118),Data!$J:$J,$J118,Data!$K:$K,$K118,Data!$R:$R,"",Data!$L:$L,IF(ISBLANK($P118),"",$P118),Data!$G:$G,"ZF",Data!$H:$H,"A15C",Data!$M:$M,36, Data!$Q:$Q,1),0)</f>
        <v>0</v>
      </c>
      <c r="R123" s="58">
        <f>IF(NOT(ISBLANK(R118)),COUNTIFS(Data!$C:$C,$C118,Data!$P:$P,"VAL",Data!$E:$E,$E118,Data!$F:$F,$F118,Data!$I:$I,IF(ISBLANK($I118),"",$I118),Data!$J:$J,$J118,Data!$K:$K,$K118,Data!$R:$R,"",Data!$L:$L,IF(ISBLANK($P118),"",$P118),Data!$G:$G,"ZF",Data!$H:$H,"A15C",Data!$M:$M,40, Data!$Q:$Q,1),0)</f>
        <v>0</v>
      </c>
      <c r="S123" s="58">
        <f>IF(NOT(ISBLANK(S118)),COUNTIFS(Data!$C:$C,$C118,Data!$P:$P,"VAL",Data!$E:$E,$E118,Data!$F:$F,$F118,Data!$I:$I,IF(ISBLANK($I118),"",$I118),Data!$J:$J,$J118,Data!$K:$K,$K118,Data!$R:$R,"",Data!$L:$L,IF(ISBLANK($P118),"",$P118),Data!$G:$G,"ZF",Data!$H:$H,"A15C",Data!$M:$M,48, Data!$Q:$Q,1),0)</f>
        <v>0</v>
      </c>
      <c r="T123" s="58">
        <f>IF(NOT(ISBLANK(T118)),COUNTIFS(Data!$C:$C,$C118,Data!$P:$P,"VAL",Data!$E:$E,$E118,Data!$F:$F,$F118,Data!$I:$I,IF(ISBLANK($I118),"",$I118),Data!$J:$J,$J118,Data!$K:$K,$K118,Data!$R:$R,"",Data!$L:$L,IF(ISBLANK($P118),"",$P118),Data!$G:$G,"ZF",Data!$H:$H,"A15C",Data!$M:$M,56, Data!$Q:$Q,1),0)</f>
        <v>0</v>
      </c>
      <c r="U123" s="58">
        <f>IF(NOT(ISBLANK(U118)),COUNTIFS(Data!$C:$C,$C118,Data!$P:$P,"VAL",Data!$E:$E,$E118,Data!$F:$F,$F118,Data!$I:$I,IF(ISBLANK($I118),"",$I118),Data!$J:$J,$J118,Data!$K:$K,$K118,Data!$R:$R,"",Data!$L:$L,IF(ISBLANK($P118),"",$P118),Data!$G:$G,"ZF",Data!$H:$H,"A15C",Data!$M:$M,64, Data!$Q:$Q,1),0)</f>
        <v>0</v>
      </c>
      <c r="V123" s="58">
        <f>IF(NOT(ISBLANK(V118)),COUNTIFS(Data!$C:$C,$C118,Data!$P:$P,"VAL",Data!$E:$E,$E118,Data!$F:$F,$F118,Data!$I:$I,IF(ISBLANK($I118),"",$I118),Data!$J:$J,$J118,Data!$K:$K,$K118,Data!$R:$R,"",Data!$L:$L,IF(ISBLANK($P118),"",$P118),Data!$G:$G,"ZF",Data!$H:$H,"A15C",Data!$M:$M,72, Data!$Q:$Q,1),0)</f>
        <v>0</v>
      </c>
      <c r="W123" s="58">
        <f>IF(NOT(ISBLANK(W118)),COUNTIFS(Data!$C:$C,$C118,Data!$P:$P,"VAL",Data!$E:$E,$E118,Data!$F:$F,$F118,Data!$I:$I,IF(ISBLANK($I118),"",$I118),Data!$J:$J,$J118,Data!$K:$K,$K118,Data!$R:$R,"",Data!$L:$L,IF(ISBLANK($P118),"",$P118),Data!$G:$G,"ZF",Data!$H:$H,"A15C",Data!$M:$M,88, Data!$Q:$Q,1),0)</f>
        <v>0</v>
      </c>
      <c r="X123" s="58">
        <f>IF(NOT(ISBLANK(X118)),COUNTIFS(Data!$C:$C,$C118,Data!$P:$P,"VAL",Data!$E:$E,$E118,Data!$F:$F,$F118,Data!$I:$I,IF(ISBLANK($I118),"",$I118),Data!$J:$J,$J118,Data!$K:$K,$K118,Data!$R:$R,"",Data!$L:$L,IF(ISBLANK($P118),"",$P118),Data!$G:$G,"ZF",Data!$H:$H,"A15C",Data!$M:$M,105, Data!$Q:$Q,1),0)</f>
        <v>0</v>
      </c>
      <c r="Y123" s="29"/>
      <c r="Z123" s="29"/>
      <c r="AA123" s="29">
        <v>70</v>
      </c>
    </row>
    <row r="124" spans="1:27" x14ac:dyDescent="0.3">
      <c r="A124" s="20" t="s">
        <v>407</v>
      </c>
      <c r="B124" s="20"/>
      <c r="C124" s="21"/>
      <c r="D124" s="21"/>
      <c r="E124" s="21"/>
      <c r="F124" s="21"/>
      <c r="G124" s="21"/>
      <c r="H124" s="21"/>
      <c r="I124" s="21"/>
      <c r="J124" s="21"/>
      <c r="K124" s="21"/>
      <c r="L124" s="22"/>
      <c r="M124" s="22"/>
      <c r="N124" s="22">
        <f>SUMIFS(N$1:N$123,$Y$1:$Y$123,"&gt;0")</f>
        <v>375</v>
      </c>
      <c r="O124" s="22">
        <f>SUMIFS(O$1:O$123,$Y$1:$Y$123,"&gt;0")</f>
        <v>154</v>
      </c>
      <c r="P124" s="21"/>
      <c r="Q124" s="23">
        <f t="shared" ref="Q124:Y124" si="60">SUMIFS(Q$1:Q$123,$Y$1:$Y$123,"&gt;0")</f>
        <v>550</v>
      </c>
      <c r="R124" s="23">
        <f t="shared" si="60"/>
        <v>715</v>
      </c>
      <c r="S124" s="23">
        <f t="shared" si="60"/>
        <v>2335</v>
      </c>
      <c r="T124" s="23">
        <f t="shared" si="60"/>
        <v>3360</v>
      </c>
      <c r="U124" s="23">
        <f t="shared" si="60"/>
        <v>5460</v>
      </c>
      <c r="V124" s="23">
        <f t="shared" si="60"/>
        <v>13520</v>
      </c>
      <c r="W124" s="23">
        <f t="shared" si="60"/>
        <v>10800</v>
      </c>
      <c r="X124" s="23">
        <f t="shared" si="60"/>
        <v>3440</v>
      </c>
      <c r="Y124" s="23">
        <f t="shared" si="60"/>
        <v>40180</v>
      </c>
      <c r="Z124" s="23"/>
      <c r="AA124" s="23"/>
    </row>
    <row r="125" spans="1:27" x14ac:dyDescent="0.3">
      <c r="A125" s="16"/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8" t="s">
        <v>413</v>
      </c>
      <c r="M125" s="18"/>
      <c r="N125" s="18"/>
      <c r="O125" s="18"/>
      <c r="P125" s="17">
        <f>SUM(Q125:X125)</f>
        <v>529</v>
      </c>
      <c r="Q125" s="19">
        <f t="shared" ref="Q125:X129" si="61">SUMIFS(Q$1:Q$123,$L$1:$L$123,$L125)</f>
        <v>10</v>
      </c>
      <c r="R125" s="19">
        <f t="shared" si="61"/>
        <v>13</v>
      </c>
      <c r="S125" s="19">
        <f t="shared" si="61"/>
        <v>37</v>
      </c>
      <c r="T125" s="19">
        <f t="shared" si="61"/>
        <v>48</v>
      </c>
      <c r="U125" s="19">
        <f t="shared" si="61"/>
        <v>74</v>
      </c>
      <c r="V125" s="19">
        <f t="shared" si="61"/>
        <v>169</v>
      </c>
      <c r="W125" s="19">
        <f t="shared" si="61"/>
        <v>135</v>
      </c>
      <c r="X125" s="19">
        <f t="shared" si="61"/>
        <v>43</v>
      </c>
      <c r="Y125" s="19"/>
      <c r="Z125" s="19"/>
      <c r="AA125" s="19"/>
    </row>
    <row r="126" spans="1:27" x14ac:dyDescent="0.3">
      <c r="A126" s="12"/>
      <c r="B126" s="12"/>
      <c r="C126" s="13"/>
      <c r="D126" s="13"/>
      <c r="E126" s="13"/>
      <c r="F126" s="13"/>
      <c r="G126" s="13"/>
      <c r="H126" s="13"/>
      <c r="I126" s="13"/>
      <c r="J126" s="13"/>
      <c r="K126" s="13"/>
      <c r="L126" s="14" t="s">
        <v>414</v>
      </c>
      <c r="M126" s="14"/>
      <c r="N126" s="14"/>
      <c r="O126" s="14"/>
      <c r="P126" s="13">
        <f>SUM(Q126:X126)</f>
        <v>195</v>
      </c>
      <c r="Q126" s="15">
        <f t="shared" si="61"/>
        <v>8</v>
      </c>
      <c r="R126" s="15">
        <f t="shared" si="61"/>
        <v>5</v>
      </c>
      <c r="S126" s="15">
        <f t="shared" si="61"/>
        <v>21</v>
      </c>
      <c r="T126" s="15">
        <f t="shared" si="61"/>
        <v>-1</v>
      </c>
      <c r="U126" s="15">
        <f t="shared" si="61"/>
        <v>22</v>
      </c>
      <c r="V126" s="15">
        <f t="shared" si="61"/>
        <v>48</v>
      </c>
      <c r="W126" s="15">
        <f t="shared" si="61"/>
        <v>82</v>
      </c>
      <c r="X126" s="15">
        <f t="shared" si="61"/>
        <v>10</v>
      </c>
      <c r="Y126" s="15"/>
      <c r="Z126" s="15"/>
      <c r="AA126" s="15"/>
    </row>
    <row r="127" spans="1:27" x14ac:dyDescent="0.3">
      <c r="A127" s="12"/>
      <c r="B127" s="12"/>
      <c r="C127" s="13"/>
      <c r="D127" s="13"/>
      <c r="E127" s="13"/>
      <c r="F127" s="13"/>
      <c r="G127" s="13"/>
      <c r="H127" s="13"/>
      <c r="I127" s="13"/>
      <c r="J127" s="13"/>
      <c r="K127" s="13"/>
      <c r="L127" s="14" t="s">
        <v>415</v>
      </c>
      <c r="M127" s="14"/>
      <c r="N127" s="14"/>
      <c r="O127" s="14"/>
      <c r="P127" s="172">
        <f>SUM(Q127:X127)</f>
        <v>156</v>
      </c>
      <c r="Q127" s="56">
        <f t="shared" si="61"/>
        <v>1</v>
      </c>
      <c r="R127" s="56">
        <f t="shared" si="61"/>
        <v>4</v>
      </c>
      <c r="S127" s="56">
        <f t="shared" si="61"/>
        <v>6</v>
      </c>
      <c r="T127" s="56">
        <f t="shared" si="61"/>
        <v>22</v>
      </c>
      <c r="U127" s="56">
        <f t="shared" si="61"/>
        <v>27</v>
      </c>
      <c r="V127" s="56">
        <f t="shared" si="61"/>
        <v>62</v>
      </c>
      <c r="W127" s="56">
        <f t="shared" si="61"/>
        <v>24</v>
      </c>
      <c r="X127" s="56">
        <f t="shared" si="61"/>
        <v>10</v>
      </c>
      <c r="Y127" s="15"/>
      <c r="Z127" s="15"/>
      <c r="AA127" s="15"/>
    </row>
    <row r="128" spans="1:27" x14ac:dyDescent="0.3">
      <c r="A128" s="12"/>
      <c r="B128" s="12"/>
      <c r="C128" s="13"/>
      <c r="D128" s="13"/>
      <c r="E128" s="13"/>
      <c r="F128" s="13"/>
      <c r="G128" s="13"/>
      <c r="H128" s="13"/>
      <c r="I128" s="13"/>
      <c r="J128" s="13"/>
      <c r="K128" s="13"/>
      <c r="L128" s="14" t="s">
        <v>416</v>
      </c>
      <c r="M128" s="14"/>
      <c r="N128" s="14"/>
      <c r="O128" s="14"/>
      <c r="P128" s="13">
        <f>SUMIFS(P$1:P$123,$L$1:$L$123,$L128,$P$1:$P$123,"&gt;0")</f>
        <v>0</v>
      </c>
      <c r="Q128" s="15">
        <f t="shared" si="61"/>
        <v>0</v>
      </c>
      <c r="R128" s="15">
        <f t="shared" si="61"/>
        <v>0</v>
      </c>
      <c r="S128" s="15">
        <f t="shared" si="61"/>
        <v>0</v>
      </c>
      <c r="T128" s="15">
        <f t="shared" si="61"/>
        <v>0</v>
      </c>
      <c r="U128" s="15">
        <f t="shared" si="61"/>
        <v>0</v>
      </c>
      <c r="V128" s="15">
        <f t="shared" si="61"/>
        <v>0</v>
      </c>
      <c r="W128" s="15">
        <f t="shared" si="61"/>
        <v>0</v>
      </c>
      <c r="X128" s="15">
        <f t="shared" si="61"/>
        <v>0</v>
      </c>
      <c r="Y128" s="15"/>
      <c r="Z128" s="15"/>
      <c r="AA128" s="15"/>
    </row>
    <row r="129" spans="1:27" x14ac:dyDescent="0.3">
      <c r="A129" s="12"/>
      <c r="B129" s="12"/>
      <c r="C129" s="13"/>
      <c r="D129" s="13"/>
      <c r="E129" s="13"/>
      <c r="F129" s="13"/>
      <c r="G129" s="13"/>
      <c r="H129" s="13"/>
      <c r="I129" s="13"/>
      <c r="J129" s="13"/>
      <c r="K129" s="13"/>
      <c r="L129" s="14" t="s">
        <v>417</v>
      </c>
      <c r="M129" s="14"/>
      <c r="N129" s="14"/>
      <c r="O129" s="14"/>
      <c r="P129" s="172">
        <f>SUM(Q129:X129)</f>
        <v>178</v>
      </c>
      <c r="Q129" s="56">
        <f t="shared" si="61"/>
        <v>1</v>
      </c>
      <c r="R129" s="56">
        <f t="shared" si="61"/>
        <v>4</v>
      </c>
      <c r="S129" s="56">
        <f t="shared" si="61"/>
        <v>10</v>
      </c>
      <c r="T129" s="56">
        <f t="shared" si="61"/>
        <v>27</v>
      </c>
      <c r="U129" s="56">
        <f t="shared" si="61"/>
        <v>25</v>
      </c>
      <c r="V129" s="56">
        <f t="shared" si="61"/>
        <v>59</v>
      </c>
      <c r="W129" s="56">
        <f t="shared" si="61"/>
        <v>29</v>
      </c>
      <c r="X129" s="56">
        <f t="shared" si="61"/>
        <v>23</v>
      </c>
      <c r="Y129" s="15"/>
      <c r="Z129" s="15"/>
      <c r="AA129" s="15"/>
    </row>
  </sheetData>
  <conditionalFormatting sqref="P6">
    <cfRule type="cellIs" dxfId="119" priority="1" stopIfTrue="1" operator="equal">
      <formula>0</formula>
    </cfRule>
    <cfRule type="cellIs" dxfId="118" priority="2" stopIfTrue="1" operator="lessThan">
      <formula>0</formula>
    </cfRule>
    <cfRule type="cellIs" dxfId="117" priority="3" stopIfTrue="1" operator="greaterThan">
      <formula>0</formula>
    </cfRule>
  </conditionalFormatting>
  <conditionalFormatting sqref="P8">
    <cfRule type="cellIs" dxfId="116" priority="4" stopIfTrue="1" operator="equal">
      <formula>0</formula>
    </cfRule>
    <cfRule type="cellIs" dxfId="115" priority="5" stopIfTrue="1" operator="lessThan">
      <formula>0</formula>
    </cfRule>
    <cfRule type="cellIs" dxfId="114" priority="6" stopIfTrue="1" operator="greaterThan">
      <formula>0</formula>
    </cfRule>
  </conditionalFormatting>
  <conditionalFormatting sqref="P12">
    <cfRule type="cellIs" dxfId="113" priority="7" stopIfTrue="1" operator="equal">
      <formula>0</formula>
    </cfRule>
    <cfRule type="cellIs" dxfId="112" priority="8" stopIfTrue="1" operator="lessThan">
      <formula>0</formula>
    </cfRule>
    <cfRule type="cellIs" dxfId="111" priority="9" stopIfTrue="1" operator="greaterThan">
      <formula>0</formula>
    </cfRule>
  </conditionalFormatting>
  <conditionalFormatting sqref="P14">
    <cfRule type="cellIs" dxfId="110" priority="10" stopIfTrue="1" operator="equal">
      <formula>0</formula>
    </cfRule>
    <cfRule type="cellIs" dxfId="109" priority="11" stopIfTrue="1" operator="lessThan">
      <formula>0</formula>
    </cfRule>
    <cfRule type="cellIs" dxfId="108" priority="12" stopIfTrue="1" operator="greaterThan">
      <formula>0</formula>
    </cfRule>
  </conditionalFormatting>
  <conditionalFormatting sqref="P18">
    <cfRule type="cellIs" dxfId="107" priority="13" stopIfTrue="1" operator="equal">
      <formula>0</formula>
    </cfRule>
    <cfRule type="cellIs" dxfId="106" priority="14" stopIfTrue="1" operator="lessThan">
      <formula>0</formula>
    </cfRule>
    <cfRule type="cellIs" dxfId="105" priority="15" stopIfTrue="1" operator="greaterThan">
      <formula>0</formula>
    </cfRule>
  </conditionalFormatting>
  <conditionalFormatting sqref="P20">
    <cfRule type="cellIs" dxfId="104" priority="16" stopIfTrue="1" operator="equal">
      <formula>0</formula>
    </cfRule>
    <cfRule type="cellIs" dxfId="103" priority="17" stopIfTrue="1" operator="lessThan">
      <formula>0</formula>
    </cfRule>
    <cfRule type="cellIs" dxfId="102" priority="18" stopIfTrue="1" operator="greaterThan">
      <formula>0</formula>
    </cfRule>
  </conditionalFormatting>
  <conditionalFormatting sqref="P24">
    <cfRule type="cellIs" dxfId="101" priority="19" stopIfTrue="1" operator="equal">
      <formula>0</formula>
    </cfRule>
    <cfRule type="cellIs" dxfId="100" priority="20" stopIfTrue="1" operator="lessThan">
      <formula>0</formula>
    </cfRule>
    <cfRule type="cellIs" dxfId="99" priority="21" stopIfTrue="1" operator="greaterThan">
      <formula>0</formula>
    </cfRule>
  </conditionalFormatting>
  <conditionalFormatting sqref="P26">
    <cfRule type="cellIs" dxfId="98" priority="22" stopIfTrue="1" operator="equal">
      <formula>0</formula>
    </cfRule>
    <cfRule type="cellIs" dxfId="97" priority="23" stopIfTrue="1" operator="lessThan">
      <formula>0</formula>
    </cfRule>
    <cfRule type="cellIs" dxfId="96" priority="24" stopIfTrue="1" operator="greaterThan">
      <formula>0</formula>
    </cfRule>
  </conditionalFormatting>
  <conditionalFormatting sqref="P30">
    <cfRule type="cellIs" dxfId="95" priority="25" stopIfTrue="1" operator="equal">
      <formula>0</formula>
    </cfRule>
    <cfRule type="cellIs" dxfId="94" priority="26" stopIfTrue="1" operator="lessThan">
      <formula>0</formula>
    </cfRule>
    <cfRule type="cellIs" dxfId="93" priority="27" stopIfTrue="1" operator="greaterThan">
      <formula>0</formula>
    </cfRule>
  </conditionalFormatting>
  <conditionalFormatting sqref="P32">
    <cfRule type="cellIs" dxfId="92" priority="28" stopIfTrue="1" operator="equal">
      <formula>0</formula>
    </cfRule>
    <cfRule type="cellIs" dxfId="91" priority="29" stopIfTrue="1" operator="lessThan">
      <formula>0</formula>
    </cfRule>
    <cfRule type="cellIs" dxfId="90" priority="30" stopIfTrue="1" operator="greaterThan">
      <formula>0</formula>
    </cfRule>
  </conditionalFormatting>
  <conditionalFormatting sqref="P36">
    <cfRule type="cellIs" dxfId="89" priority="31" stopIfTrue="1" operator="equal">
      <formula>0</formula>
    </cfRule>
    <cfRule type="cellIs" dxfId="88" priority="32" stopIfTrue="1" operator="lessThan">
      <formula>0</formula>
    </cfRule>
    <cfRule type="cellIs" dxfId="87" priority="33" stopIfTrue="1" operator="greaterThan">
      <formula>0</formula>
    </cfRule>
  </conditionalFormatting>
  <conditionalFormatting sqref="P38">
    <cfRule type="cellIs" dxfId="86" priority="34" stopIfTrue="1" operator="equal">
      <formula>0</formula>
    </cfRule>
    <cfRule type="cellIs" dxfId="85" priority="35" stopIfTrue="1" operator="lessThan">
      <formula>0</formula>
    </cfRule>
    <cfRule type="cellIs" dxfId="84" priority="36" stopIfTrue="1" operator="greaterThan">
      <formula>0</formula>
    </cfRule>
  </conditionalFormatting>
  <conditionalFormatting sqref="P42">
    <cfRule type="cellIs" dxfId="83" priority="37" stopIfTrue="1" operator="equal">
      <formula>0</formula>
    </cfRule>
    <cfRule type="cellIs" dxfId="82" priority="38" stopIfTrue="1" operator="lessThan">
      <formula>0</formula>
    </cfRule>
    <cfRule type="cellIs" dxfId="81" priority="39" stopIfTrue="1" operator="greaterThan">
      <formula>0</formula>
    </cfRule>
  </conditionalFormatting>
  <conditionalFormatting sqref="P44">
    <cfRule type="cellIs" dxfId="80" priority="40" stopIfTrue="1" operator="equal">
      <formula>0</formula>
    </cfRule>
    <cfRule type="cellIs" dxfId="79" priority="41" stopIfTrue="1" operator="lessThan">
      <formula>0</formula>
    </cfRule>
    <cfRule type="cellIs" dxfId="78" priority="42" stopIfTrue="1" operator="greaterThan">
      <formula>0</formula>
    </cfRule>
  </conditionalFormatting>
  <conditionalFormatting sqref="P48">
    <cfRule type="cellIs" dxfId="77" priority="43" stopIfTrue="1" operator="equal">
      <formula>0</formula>
    </cfRule>
    <cfRule type="cellIs" dxfId="76" priority="44" stopIfTrue="1" operator="lessThan">
      <formula>0</formula>
    </cfRule>
    <cfRule type="cellIs" dxfId="75" priority="45" stopIfTrue="1" operator="greaterThan">
      <formula>0</formula>
    </cfRule>
  </conditionalFormatting>
  <conditionalFormatting sqref="P50">
    <cfRule type="cellIs" dxfId="74" priority="46" stopIfTrue="1" operator="equal">
      <formula>0</formula>
    </cfRule>
    <cfRule type="cellIs" dxfId="73" priority="47" stopIfTrue="1" operator="lessThan">
      <formula>0</formula>
    </cfRule>
    <cfRule type="cellIs" dxfId="72" priority="48" stopIfTrue="1" operator="greaterThan">
      <formula>0</formula>
    </cfRule>
  </conditionalFormatting>
  <conditionalFormatting sqref="P54">
    <cfRule type="cellIs" dxfId="71" priority="49" stopIfTrue="1" operator="equal">
      <formula>0</formula>
    </cfRule>
    <cfRule type="cellIs" dxfId="70" priority="50" stopIfTrue="1" operator="lessThan">
      <formula>0</formula>
    </cfRule>
    <cfRule type="cellIs" dxfId="69" priority="51" stopIfTrue="1" operator="greaterThan">
      <formula>0</formula>
    </cfRule>
  </conditionalFormatting>
  <conditionalFormatting sqref="P56">
    <cfRule type="cellIs" dxfId="68" priority="52" stopIfTrue="1" operator="equal">
      <formula>0</formula>
    </cfRule>
    <cfRule type="cellIs" dxfId="67" priority="53" stopIfTrue="1" operator="lessThan">
      <formula>0</formula>
    </cfRule>
    <cfRule type="cellIs" dxfId="66" priority="54" stopIfTrue="1" operator="greaterThan">
      <formula>0</formula>
    </cfRule>
  </conditionalFormatting>
  <conditionalFormatting sqref="P60">
    <cfRule type="cellIs" dxfId="65" priority="55" stopIfTrue="1" operator="equal">
      <formula>0</formula>
    </cfRule>
    <cfRule type="cellIs" dxfId="64" priority="56" stopIfTrue="1" operator="lessThan">
      <formula>0</formula>
    </cfRule>
    <cfRule type="cellIs" dxfId="63" priority="57" stopIfTrue="1" operator="greaterThan">
      <formula>0</formula>
    </cfRule>
  </conditionalFormatting>
  <conditionalFormatting sqref="P62">
    <cfRule type="cellIs" dxfId="62" priority="58" stopIfTrue="1" operator="equal">
      <formula>0</formula>
    </cfRule>
    <cfRule type="cellIs" dxfId="61" priority="59" stopIfTrue="1" operator="lessThan">
      <formula>0</formula>
    </cfRule>
    <cfRule type="cellIs" dxfId="60" priority="60" stopIfTrue="1" operator="greaterThan">
      <formula>0</formula>
    </cfRule>
  </conditionalFormatting>
  <conditionalFormatting sqref="P66">
    <cfRule type="cellIs" dxfId="59" priority="61" stopIfTrue="1" operator="equal">
      <formula>0</formula>
    </cfRule>
  </conditionalFormatting>
  <conditionalFormatting sqref="P66">
    <cfRule type="cellIs" dxfId="58" priority="62" stopIfTrue="1" operator="lessThan">
      <formula>0</formula>
    </cfRule>
  </conditionalFormatting>
  <conditionalFormatting sqref="P66">
    <cfRule type="cellIs" dxfId="57" priority="63" stopIfTrue="1" operator="greaterThan">
      <formula>0</formula>
    </cfRule>
  </conditionalFormatting>
  <conditionalFormatting sqref="P68">
    <cfRule type="cellIs" dxfId="56" priority="64" stopIfTrue="1" operator="equal">
      <formula>0</formula>
    </cfRule>
  </conditionalFormatting>
  <conditionalFormatting sqref="P68">
    <cfRule type="cellIs" dxfId="55" priority="65" stopIfTrue="1" operator="lessThan">
      <formula>0</formula>
    </cfRule>
  </conditionalFormatting>
  <conditionalFormatting sqref="P68">
    <cfRule type="cellIs" dxfId="54" priority="66" stopIfTrue="1" operator="greaterThan">
      <formula>0</formula>
    </cfRule>
  </conditionalFormatting>
  <conditionalFormatting sqref="P72">
    <cfRule type="cellIs" dxfId="53" priority="67" stopIfTrue="1" operator="equal">
      <formula>0</formula>
    </cfRule>
  </conditionalFormatting>
  <conditionalFormatting sqref="P72">
    <cfRule type="cellIs" dxfId="52" priority="68" stopIfTrue="1" operator="lessThan">
      <formula>0</formula>
    </cfRule>
  </conditionalFormatting>
  <conditionalFormatting sqref="P72">
    <cfRule type="cellIs" dxfId="51" priority="69" stopIfTrue="1" operator="greaterThan">
      <formula>0</formula>
    </cfRule>
  </conditionalFormatting>
  <conditionalFormatting sqref="P74">
    <cfRule type="cellIs" dxfId="50" priority="70" stopIfTrue="1" operator="equal">
      <formula>0</formula>
    </cfRule>
  </conditionalFormatting>
  <conditionalFormatting sqref="P74">
    <cfRule type="cellIs" dxfId="49" priority="71" stopIfTrue="1" operator="lessThan">
      <formula>0</formula>
    </cfRule>
  </conditionalFormatting>
  <conditionalFormatting sqref="P74">
    <cfRule type="cellIs" dxfId="48" priority="72" stopIfTrue="1" operator="greaterThan">
      <formula>0</formula>
    </cfRule>
  </conditionalFormatting>
  <conditionalFormatting sqref="P78">
    <cfRule type="cellIs" dxfId="47" priority="73" stopIfTrue="1" operator="equal">
      <formula>0</formula>
    </cfRule>
  </conditionalFormatting>
  <conditionalFormatting sqref="P78">
    <cfRule type="cellIs" dxfId="46" priority="74" stopIfTrue="1" operator="lessThan">
      <formula>0</formula>
    </cfRule>
  </conditionalFormatting>
  <conditionalFormatting sqref="P78">
    <cfRule type="cellIs" dxfId="45" priority="75" stopIfTrue="1" operator="greaterThan">
      <formula>0</formula>
    </cfRule>
  </conditionalFormatting>
  <conditionalFormatting sqref="P80">
    <cfRule type="cellIs" dxfId="44" priority="76" stopIfTrue="1" operator="equal">
      <formula>0</formula>
    </cfRule>
  </conditionalFormatting>
  <conditionalFormatting sqref="P80">
    <cfRule type="cellIs" dxfId="43" priority="77" stopIfTrue="1" operator="lessThan">
      <formula>0</formula>
    </cfRule>
  </conditionalFormatting>
  <conditionalFormatting sqref="P80">
    <cfRule type="cellIs" dxfId="42" priority="78" stopIfTrue="1" operator="greaterThan">
      <formula>0</formula>
    </cfRule>
  </conditionalFormatting>
  <conditionalFormatting sqref="P84">
    <cfRule type="cellIs" dxfId="41" priority="79" stopIfTrue="1" operator="equal">
      <formula>0</formula>
    </cfRule>
  </conditionalFormatting>
  <conditionalFormatting sqref="P84">
    <cfRule type="cellIs" dxfId="40" priority="80" stopIfTrue="1" operator="lessThan">
      <formula>0</formula>
    </cfRule>
  </conditionalFormatting>
  <conditionalFormatting sqref="P84">
    <cfRule type="cellIs" dxfId="39" priority="81" stopIfTrue="1" operator="greaterThan">
      <formula>0</formula>
    </cfRule>
  </conditionalFormatting>
  <conditionalFormatting sqref="P86">
    <cfRule type="cellIs" dxfId="38" priority="82" stopIfTrue="1" operator="equal">
      <formula>0</formula>
    </cfRule>
  </conditionalFormatting>
  <conditionalFormatting sqref="P86">
    <cfRule type="cellIs" dxfId="37" priority="83" stopIfTrue="1" operator="lessThan">
      <formula>0</formula>
    </cfRule>
  </conditionalFormatting>
  <conditionalFormatting sqref="P86">
    <cfRule type="cellIs" dxfId="36" priority="84" stopIfTrue="1" operator="greaterThan">
      <formula>0</formula>
    </cfRule>
  </conditionalFormatting>
  <conditionalFormatting sqref="P90">
    <cfRule type="cellIs" dxfId="35" priority="85" stopIfTrue="1" operator="equal">
      <formula>0</formula>
    </cfRule>
  </conditionalFormatting>
  <conditionalFormatting sqref="P90">
    <cfRule type="cellIs" dxfId="34" priority="86" stopIfTrue="1" operator="lessThan">
      <formula>0</formula>
    </cfRule>
  </conditionalFormatting>
  <conditionalFormatting sqref="P90">
    <cfRule type="cellIs" dxfId="33" priority="87" stopIfTrue="1" operator="greaterThan">
      <formula>0</formula>
    </cfRule>
  </conditionalFormatting>
  <conditionalFormatting sqref="P92">
    <cfRule type="cellIs" dxfId="32" priority="88" stopIfTrue="1" operator="equal">
      <formula>0</formula>
    </cfRule>
  </conditionalFormatting>
  <conditionalFormatting sqref="P92">
    <cfRule type="cellIs" dxfId="31" priority="89" stopIfTrue="1" operator="lessThan">
      <formula>0</formula>
    </cfRule>
  </conditionalFormatting>
  <conditionalFormatting sqref="P92">
    <cfRule type="cellIs" dxfId="30" priority="90" stopIfTrue="1" operator="greaterThan">
      <formula>0</formula>
    </cfRule>
  </conditionalFormatting>
  <conditionalFormatting sqref="P96">
    <cfRule type="cellIs" dxfId="29" priority="91" stopIfTrue="1" operator="equal">
      <formula>0</formula>
    </cfRule>
  </conditionalFormatting>
  <conditionalFormatting sqref="P96">
    <cfRule type="cellIs" dxfId="28" priority="92" stopIfTrue="1" operator="lessThan">
      <formula>0</formula>
    </cfRule>
  </conditionalFormatting>
  <conditionalFormatting sqref="P96">
    <cfRule type="cellIs" dxfId="27" priority="93" stopIfTrue="1" operator="greaterThan">
      <formula>0</formula>
    </cfRule>
  </conditionalFormatting>
  <conditionalFormatting sqref="P98">
    <cfRule type="cellIs" dxfId="26" priority="94" stopIfTrue="1" operator="equal">
      <formula>0</formula>
    </cfRule>
  </conditionalFormatting>
  <conditionalFormatting sqref="P98">
    <cfRule type="cellIs" dxfId="25" priority="95" stopIfTrue="1" operator="lessThan">
      <formula>0</formula>
    </cfRule>
  </conditionalFormatting>
  <conditionalFormatting sqref="P98">
    <cfRule type="cellIs" dxfId="24" priority="96" stopIfTrue="1" operator="greaterThan">
      <formula>0</formula>
    </cfRule>
  </conditionalFormatting>
  <conditionalFormatting sqref="P102">
    <cfRule type="cellIs" dxfId="23" priority="97" stopIfTrue="1" operator="equal">
      <formula>0</formula>
    </cfRule>
  </conditionalFormatting>
  <conditionalFormatting sqref="P102">
    <cfRule type="cellIs" dxfId="22" priority="98" stopIfTrue="1" operator="lessThan">
      <formula>0</formula>
    </cfRule>
  </conditionalFormatting>
  <conditionalFormatting sqref="P102">
    <cfRule type="cellIs" dxfId="21" priority="99" stopIfTrue="1" operator="greaterThan">
      <formula>0</formula>
    </cfRule>
  </conditionalFormatting>
  <conditionalFormatting sqref="P104">
    <cfRule type="cellIs" dxfId="20" priority="100" stopIfTrue="1" operator="equal">
      <formula>0</formula>
    </cfRule>
  </conditionalFormatting>
  <conditionalFormatting sqref="P104">
    <cfRule type="cellIs" dxfId="19" priority="101" stopIfTrue="1" operator="lessThan">
      <formula>0</formula>
    </cfRule>
  </conditionalFormatting>
  <conditionalFormatting sqref="P104">
    <cfRule type="cellIs" dxfId="18" priority="102" stopIfTrue="1" operator="greaterThan">
      <formula>0</formula>
    </cfRule>
  </conditionalFormatting>
  <conditionalFormatting sqref="P108">
    <cfRule type="cellIs" dxfId="17" priority="103" stopIfTrue="1" operator="equal">
      <formula>0</formula>
    </cfRule>
  </conditionalFormatting>
  <conditionalFormatting sqref="P108">
    <cfRule type="cellIs" dxfId="16" priority="104" stopIfTrue="1" operator="lessThan">
      <formula>0</formula>
    </cfRule>
  </conditionalFormatting>
  <conditionalFormatting sqref="P108">
    <cfRule type="cellIs" dxfId="15" priority="105" stopIfTrue="1" operator="greaterThan">
      <formula>0</formula>
    </cfRule>
  </conditionalFormatting>
  <conditionalFormatting sqref="P110">
    <cfRule type="cellIs" dxfId="14" priority="106" stopIfTrue="1" operator="equal">
      <formula>0</formula>
    </cfRule>
  </conditionalFormatting>
  <conditionalFormatting sqref="P110">
    <cfRule type="cellIs" dxfId="13" priority="107" stopIfTrue="1" operator="lessThan">
      <formula>0</formula>
    </cfRule>
  </conditionalFormatting>
  <conditionalFormatting sqref="P110">
    <cfRule type="cellIs" dxfId="12" priority="108" stopIfTrue="1" operator="greaterThan">
      <formula>0</formula>
    </cfRule>
  </conditionalFormatting>
  <conditionalFormatting sqref="P114">
    <cfRule type="cellIs" dxfId="11" priority="109" stopIfTrue="1" operator="equal">
      <formula>0</formula>
    </cfRule>
  </conditionalFormatting>
  <conditionalFormatting sqref="P114">
    <cfRule type="cellIs" dxfId="10" priority="110" stopIfTrue="1" operator="lessThan">
      <formula>0</formula>
    </cfRule>
  </conditionalFormatting>
  <conditionalFormatting sqref="P114">
    <cfRule type="cellIs" dxfId="9" priority="111" stopIfTrue="1" operator="greaterThan">
      <formula>0</formula>
    </cfRule>
  </conditionalFormatting>
  <conditionalFormatting sqref="P116">
    <cfRule type="cellIs" dxfId="8" priority="112" stopIfTrue="1" operator="equal">
      <formula>0</formula>
    </cfRule>
  </conditionalFormatting>
  <conditionalFormatting sqref="P116">
    <cfRule type="cellIs" dxfId="7" priority="113" stopIfTrue="1" operator="lessThan">
      <formula>0</formula>
    </cfRule>
  </conditionalFormatting>
  <conditionalFormatting sqref="P116">
    <cfRule type="cellIs" dxfId="6" priority="114" stopIfTrue="1" operator="greaterThan">
      <formula>0</formula>
    </cfRule>
  </conditionalFormatting>
  <conditionalFormatting sqref="P120">
    <cfRule type="cellIs" dxfId="5" priority="115" stopIfTrue="1" operator="equal">
      <formula>0</formula>
    </cfRule>
  </conditionalFormatting>
  <conditionalFormatting sqref="P120">
    <cfRule type="cellIs" dxfId="4" priority="116" stopIfTrue="1" operator="lessThan">
      <formula>0</formula>
    </cfRule>
  </conditionalFormatting>
  <conditionalFormatting sqref="P120">
    <cfRule type="cellIs" dxfId="3" priority="117" stopIfTrue="1" operator="greaterThan">
      <formula>0</formula>
    </cfRule>
  </conditionalFormatting>
  <conditionalFormatting sqref="P122">
    <cfRule type="cellIs" dxfId="2" priority="118" stopIfTrue="1" operator="equal">
      <formula>0</formula>
    </cfRule>
  </conditionalFormatting>
  <conditionalFormatting sqref="P122">
    <cfRule type="cellIs" dxfId="1" priority="119" stopIfTrue="1" operator="lessThan">
      <formula>0</formula>
    </cfRule>
  </conditionalFormatting>
  <conditionalFormatting sqref="P122">
    <cfRule type="cellIs" dxfId="0" priority="120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3"/>
  <sheetViews>
    <sheetView tabSelected="1" zoomScale="85" zoomScaleNormal="85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75" t="s">
        <v>365</v>
      </c>
      <c r="B1" s="176" t="s">
        <v>374</v>
      </c>
      <c r="C1" s="177" t="s">
        <v>375</v>
      </c>
      <c r="D1" s="177" t="s">
        <v>376</v>
      </c>
      <c r="E1" s="177" t="s">
        <v>377</v>
      </c>
      <c r="F1" s="177" t="s">
        <v>378</v>
      </c>
      <c r="G1" s="177" t="s">
        <v>379</v>
      </c>
      <c r="H1" s="177" t="s">
        <v>360</v>
      </c>
      <c r="I1" s="177" t="s">
        <v>380</v>
      </c>
      <c r="J1" s="178" t="s">
        <v>381</v>
      </c>
      <c r="K1" s="178" t="s">
        <v>382</v>
      </c>
      <c r="L1" s="178" t="s">
        <v>477</v>
      </c>
      <c r="M1" s="177" t="s">
        <v>384</v>
      </c>
      <c r="N1" s="179" t="s">
        <v>385</v>
      </c>
      <c r="O1" s="179" t="s">
        <v>386</v>
      </c>
      <c r="P1" s="178" t="s">
        <v>387</v>
      </c>
      <c r="Q1" s="180" t="s">
        <v>504</v>
      </c>
      <c r="R1" s="180" t="s">
        <v>505</v>
      </c>
      <c r="S1" s="180" t="s">
        <v>506</v>
      </c>
      <c r="T1" s="180" t="s">
        <v>507</v>
      </c>
      <c r="U1" s="180">
        <v>64</v>
      </c>
      <c r="V1" s="181">
        <v>72</v>
      </c>
      <c r="W1" s="181">
        <v>88</v>
      </c>
      <c r="X1" s="181">
        <v>105</v>
      </c>
      <c r="Y1" s="180" t="s">
        <v>418</v>
      </c>
    </row>
    <row r="2" spans="1:25" x14ac:dyDescent="0.3">
      <c r="A2" s="182" t="s">
        <v>449</v>
      </c>
      <c r="B2" s="182" t="s">
        <v>485</v>
      </c>
      <c r="C2" s="182" t="s">
        <v>478</v>
      </c>
      <c r="D2" s="182" t="s">
        <v>508</v>
      </c>
      <c r="E2" s="182" t="s">
        <v>450</v>
      </c>
      <c r="F2" s="182">
        <v>1</v>
      </c>
      <c r="G2" s="182" t="s">
        <v>394</v>
      </c>
      <c r="H2" s="182" t="s">
        <v>391</v>
      </c>
      <c r="I2" s="182" t="s">
        <v>495</v>
      </c>
      <c r="J2" s="182" t="s">
        <v>439</v>
      </c>
      <c r="K2" s="182" t="s">
        <v>450</v>
      </c>
      <c r="L2" s="182" t="s">
        <v>484</v>
      </c>
      <c r="M2" s="182" t="s">
        <v>393</v>
      </c>
      <c r="N2" s="182">
        <v>2</v>
      </c>
      <c r="O2" s="182"/>
      <c r="P2" s="183" t="s">
        <v>509</v>
      </c>
      <c r="Q2" s="184"/>
      <c r="R2" s="184"/>
      <c r="S2" s="184"/>
      <c r="T2" s="184"/>
      <c r="U2" s="184"/>
      <c r="V2" s="184">
        <v>2</v>
      </c>
      <c r="W2" s="184"/>
      <c r="X2" s="184"/>
      <c r="Y2" s="109">
        <v>0</v>
      </c>
    </row>
    <row r="3" spans="1:25" x14ac:dyDescent="0.3">
      <c r="A3" s="182" t="s">
        <v>492</v>
      </c>
      <c r="B3" s="182" t="s">
        <v>485</v>
      </c>
      <c r="C3" s="182" t="s">
        <v>478</v>
      </c>
      <c r="D3" s="182" t="s">
        <v>508</v>
      </c>
      <c r="E3" s="182" t="s">
        <v>493</v>
      </c>
      <c r="F3" s="182">
        <v>1</v>
      </c>
      <c r="G3" s="182" t="s">
        <v>394</v>
      </c>
      <c r="H3" s="182" t="s">
        <v>391</v>
      </c>
      <c r="I3" s="182" t="s">
        <v>512</v>
      </c>
      <c r="J3" s="182" t="s">
        <v>488</v>
      </c>
      <c r="K3" s="182" t="s">
        <v>493</v>
      </c>
      <c r="L3" s="182" t="s">
        <v>392</v>
      </c>
      <c r="M3" s="182" t="s">
        <v>393</v>
      </c>
      <c r="N3" s="182">
        <v>5</v>
      </c>
      <c r="O3" s="182"/>
      <c r="P3" s="183" t="s">
        <v>509</v>
      </c>
      <c r="Q3" s="184"/>
      <c r="R3" s="184"/>
      <c r="S3" s="184"/>
      <c r="T3" s="184"/>
      <c r="U3" s="184"/>
      <c r="V3" s="184">
        <v>2</v>
      </c>
      <c r="W3" s="184">
        <v>2</v>
      </c>
      <c r="X3" s="184"/>
      <c r="Y3" s="185">
        <v>1</v>
      </c>
    </row>
    <row r="4" spans="1:25" x14ac:dyDescent="0.3">
      <c r="A4" s="182"/>
      <c r="B4" s="182"/>
      <c r="C4" s="182" t="s">
        <v>478</v>
      </c>
      <c r="D4" s="182" t="s">
        <v>508</v>
      </c>
      <c r="E4" s="182" t="s">
        <v>493</v>
      </c>
      <c r="F4" s="182">
        <v>1</v>
      </c>
      <c r="G4" s="182" t="s">
        <v>394</v>
      </c>
      <c r="H4" s="182" t="s">
        <v>391</v>
      </c>
      <c r="I4" s="182" t="s">
        <v>514</v>
      </c>
      <c r="J4" s="182" t="s">
        <v>488</v>
      </c>
      <c r="K4" s="182" t="s">
        <v>493</v>
      </c>
      <c r="L4" s="182" t="s">
        <v>392</v>
      </c>
      <c r="M4" s="182" t="s">
        <v>393</v>
      </c>
      <c r="N4" s="182">
        <v>8</v>
      </c>
      <c r="O4" s="182"/>
      <c r="P4" s="183" t="s">
        <v>509</v>
      </c>
      <c r="Q4" s="184"/>
      <c r="R4" s="184"/>
      <c r="S4" s="184"/>
      <c r="T4" s="184"/>
      <c r="U4" s="184"/>
      <c r="V4" s="184">
        <v>6</v>
      </c>
      <c r="W4" s="184">
        <v>2</v>
      </c>
      <c r="X4" s="184"/>
      <c r="Y4" s="109">
        <v>0</v>
      </c>
    </row>
    <row r="5" spans="1:25" x14ac:dyDescent="0.3">
      <c r="A5" s="182" t="s">
        <v>540</v>
      </c>
      <c r="B5" s="182" t="s">
        <v>485</v>
      </c>
      <c r="C5" s="182" t="s">
        <v>478</v>
      </c>
      <c r="D5" s="182" t="s">
        <v>508</v>
      </c>
      <c r="E5" s="182" t="s">
        <v>541</v>
      </c>
      <c r="F5" s="182">
        <v>1</v>
      </c>
      <c r="G5" s="182" t="s">
        <v>394</v>
      </c>
      <c r="H5" s="182" t="s">
        <v>391</v>
      </c>
      <c r="I5" s="182"/>
      <c r="J5" s="182" t="s">
        <v>488</v>
      </c>
      <c r="K5" s="182" t="s">
        <v>541</v>
      </c>
      <c r="L5" s="182" t="s">
        <v>392</v>
      </c>
      <c r="M5" s="182" t="s">
        <v>393</v>
      </c>
      <c r="N5" s="182">
        <v>20</v>
      </c>
      <c r="O5" s="182"/>
      <c r="P5" s="183" t="s">
        <v>542</v>
      </c>
      <c r="Q5" s="184"/>
      <c r="R5" s="184"/>
      <c r="S5" s="184"/>
      <c r="T5" s="184"/>
      <c r="U5" s="184"/>
      <c r="V5" s="184"/>
      <c r="W5" s="184">
        <v>7</v>
      </c>
      <c r="X5" s="184">
        <v>3</v>
      </c>
      <c r="Y5" s="185">
        <v>10</v>
      </c>
    </row>
    <row r="6" spans="1:25" x14ac:dyDescent="0.3">
      <c r="A6" s="182" t="s">
        <v>544</v>
      </c>
      <c r="B6" s="182" t="s">
        <v>485</v>
      </c>
      <c r="C6" s="182" t="s">
        <v>478</v>
      </c>
      <c r="D6" s="182" t="s">
        <v>508</v>
      </c>
      <c r="E6" s="182" t="s">
        <v>545</v>
      </c>
      <c r="F6" s="182">
        <v>1</v>
      </c>
      <c r="G6" s="182" t="s">
        <v>394</v>
      </c>
      <c r="H6" s="182" t="s">
        <v>391</v>
      </c>
      <c r="I6" s="182" t="s">
        <v>546</v>
      </c>
      <c r="J6" s="182" t="s">
        <v>488</v>
      </c>
      <c r="K6" s="182" t="s">
        <v>545</v>
      </c>
      <c r="L6" s="182" t="s">
        <v>392</v>
      </c>
      <c r="M6" s="182" t="s">
        <v>393</v>
      </c>
      <c r="N6" s="182">
        <v>20</v>
      </c>
      <c r="O6" s="182"/>
      <c r="P6" s="183" t="s">
        <v>542</v>
      </c>
      <c r="Q6" s="184"/>
      <c r="R6" s="184"/>
      <c r="S6" s="184"/>
      <c r="T6" s="184"/>
      <c r="U6" s="184">
        <v>8</v>
      </c>
      <c r="V6" s="184">
        <v>12</v>
      </c>
      <c r="W6" s="184"/>
      <c r="X6" s="184"/>
      <c r="Y6" s="109">
        <v>0</v>
      </c>
    </row>
    <row r="7" spans="1:25" x14ac:dyDescent="0.3">
      <c r="A7" s="182" t="s">
        <v>449</v>
      </c>
      <c r="B7" s="182" t="s">
        <v>485</v>
      </c>
      <c r="C7" s="182" t="s">
        <v>478</v>
      </c>
      <c r="D7" s="182" t="s">
        <v>508</v>
      </c>
      <c r="E7" s="182" t="s">
        <v>450</v>
      </c>
      <c r="F7" s="182">
        <v>1</v>
      </c>
      <c r="G7" s="182" t="s">
        <v>394</v>
      </c>
      <c r="H7" s="182" t="s">
        <v>391</v>
      </c>
      <c r="I7" s="182" t="s">
        <v>495</v>
      </c>
      <c r="J7" s="182" t="s">
        <v>439</v>
      </c>
      <c r="K7" s="182" t="s">
        <v>450</v>
      </c>
      <c r="L7" s="182" t="s">
        <v>392</v>
      </c>
      <c r="M7" s="182" t="s">
        <v>393</v>
      </c>
      <c r="N7" s="182">
        <v>20</v>
      </c>
      <c r="O7" s="182"/>
      <c r="P7" s="183" t="s">
        <v>542</v>
      </c>
      <c r="Q7" s="184"/>
      <c r="R7" s="184"/>
      <c r="S7" s="184"/>
      <c r="T7" s="184"/>
      <c r="U7" s="184"/>
      <c r="V7" s="184">
        <v>10</v>
      </c>
      <c r="W7" s="184"/>
      <c r="X7" s="184"/>
      <c r="Y7" s="185">
        <v>10</v>
      </c>
    </row>
    <row r="8" spans="1:25" x14ac:dyDescent="0.3">
      <c r="A8" s="182" t="s">
        <v>492</v>
      </c>
      <c r="B8" s="182" t="s">
        <v>485</v>
      </c>
      <c r="C8" s="182" t="s">
        <v>478</v>
      </c>
      <c r="D8" s="182" t="s">
        <v>508</v>
      </c>
      <c r="E8" s="182" t="s">
        <v>493</v>
      </c>
      <c r="F8" s="182">
        <v>1</v>
      </c>
      <c r="G8" s="182" t="s">
        <v>394</v>
      </c>
      <c r="H8" s="182" t="s">
        <v>391</v>
      </c>
      <c r="I8" s="182" t="s">
        <v>549</v>
      </c>
      <c r="J8" s="182" t="s">
        <v>488</v>
      </c>
      <c r="K8" s="182" t="s">
        <v>493</v>
      </c>
      <c r="L8" s="182" t="s">
        <v>392</v>
      </c>
      <c r="M8" s="182" t="s">
        <v>393</v>
      </c>
      <c r="N8" s="182">
        <v>20</v>
      </c>
      <c r="O8" s="182"/>
      <c r="P8" s="183" t="s">
        <v>542</v>
      </c>
      <c r="Q8" s="184"/>
      <c r="R8" s="184"/>
      <c r="S8" s="184"/>
      <c r="T8" s="184"/>
      <c r="U8" s="184"/>
      <c r="V8" s="184"/>
      <c r="W8" s="184"/>
      <c r="X8" s="184"/>
      <c r="Y8" s="185">
        <v>20</v>
      </c>
    </row>
    <row r="9" spans="1:25" x14ac:dyDescent="0.3">
      <c r="A9" s="182" t="s">
        <v>486</v>
      </c>
      <c r="B9" s="182" t="s">
        <v>485</v>
      </c>
      <c r="C9" s="182" t="s">
        <v>478</v>
      </c>
      <c r="D9" s="182" t="s">
        <v>508</v>
      </c>
      <c r="E9" s="182" t="s">
        <v>487</v>
      </c>
      <c r="F9" s="182">
        <v>1</v>
      </c>
      <c r="G9" s="182" t="s">
        <v>394</v>
      </c>
      <c r="H9" s="182" t="s">
        <v>391</v>
      </c>
      <c r="I9" s="182"/>
      <c r="J9" s="182" t="s">
        <v>488</v>
      </c>
      <c r="K9" s="182" t="s">
        <v>487</v>
      </c>
      <c r="L9" s="182" t="s">
        <v>481</v>
      </c>
      <c r="M9" s="182" t="s">
        <v>393</v>
      </c>
      <c r="N9" s="182">
        <v>50</v>
      </c>
      <c r="O9" s="182"/>
      <c r="P9" s="183" t="s">
        <v>550</v>
      </c>
      <c r="Q9" s="184"/>
      <c r="R9" s="184"/>
      <c r="S9" s="184"/>
      <c r="T9" s="184"/>
      <c r="U9" s="184">
        <v>10</v>
      </c>
      <c r="V9" s="184">
        <v>20</v>
      </c>
      <c r="W9" s="184">
        <v>20</v>
      </c>
      <c r="X9" s="184"/>
      <c r="Y9" s="109">
        <v>0</v>
      </c>
    </row>
    <row r="10" spans="1:25" x14ac:dyDescent="0.3">
      <c r="A10" s="182"/>
      <c r="B10" s="182" t="s">
        <v>389</v>
      </c>
      <c r="C10" s="182" t="s">
        <v>396</v>
      </c>
      <c r="D10" s="182" t="s">
        <v>508</v>
      </c>
      <c r="E10" s="182" t="s">
        <v>487</v>
      </c>
      <c r="F10" s="182">
        <v>1</v>
      </c>
      <c r="G10" s="182" t="s">
        <v>390</v>
      </c>
      <c r="H10" s="182" t="s">
        <v>391</v>
      </c>
      <c r="I10" s="182"/>
      <c r="J10" s="182" t="s">
        <v>488</v>
      </c>
      <c r="K10" s="182" t="s">
        <v>487</v>
      </c>
      <c r="L10" s="182" t="s">
        <v>481</v>
      </c>
      <c r="M10" s="182" t="s">
        <v>393</v>
      </c>
      <c r="N10" s="182">
        <v>30</v>
      </c>
      <c r="O10" s="182"/>
      <c r="P10" s="183" t="s">
        <v>534</v>
      </c>
      <c r="Q10" s="184"/>
      <c r="R10" s="184"/>
      <c r="S10" s="184"/>
      <c r="T10" s="184"/>
      <c r="U10" s="184"/>
      <c r="V10" s="184">
        <v>7</v>
      </c>
      <c r="W10" s="184">
        <v>2</v>
      </c>
      <c r="X10" s="184">
        <v>21</v>
      </c>
      <c r="Y10" s="109">
        <v>0</v>
      </c>
    </row>
    <row r="11" spans="1:25" x14ac:dyDescent="0.3">
      <c r="A11" s="182"/>
      <c r="B11" s="182" t="s">
        <v>485</v>
      </c>
      <c r="C11" s="182" t="s">
        <v>478</v>
      </c>
      <c r="D11" s="182" t="s">
        <v>508</v>
      </c>
      <c r="E11" s="182" t="s">
        <v>487</v>
      </c>
      <c r="F11" s="182">
        <v>1</v>
      </c>
      <c r="G11" s="182" t="s">
        <v>411</v>
      </c>
      <c r="H11" s="182" t="s">
        <v>391</v>
      </c>
      <c r="I11" s="182"/>
      <c r="J11" s="182" t="s">
        <v>488</v>
      </c>
      <c r="K11" s="182" t="s">
        <v>487</v>
      </c>
      <c r="L11" s="182" t="s">
        <v>481</v>
      </c>
      <c r="M11" s="182" t="s">
        <v>393</v>
      </c>
      <c r="N11" s="182">
        <v>30</v>
      </c>
      <c r="O11" s="182"/>
      <c r="P11" s="183" t="s">
        <v>542</v>
      </c>
      <c r="Q11" s="184"/>
      <c r="R11" s="184"/>
      <c r="S11" s="184"/>
      <c r="T11" s="184"/>
      <c r="U11" s="184"/>
      <c r="V11" s="184">
        <v>22</v>
      </c>
      <c r="W11" s="184">
        <v>8</v>
      </c>
      <c r="X11" s="184"/>
      <c r="Y11" s="109">
        <v>0</v>
      </c>
    </row>
    <row r="12" spans="1:25" x14ac:dyDescent="0.3">
      <c r="A12" s="182" t="s">
        <v>486</v>
      </c>
      <c r="B12" s="182" t="s">
        <v>485</v>
      </c>
      <c r="C12" s="182" t="s">
        <v>478</v>
      </c>
      <c r="D12" s="182" t="s">
        <v>508</v>
      </c>
      <c r="E12" s="182" t="s">
        <v>487</v>
      </c>
      <c r="F12" s="182">
        <v>1</v>
      </c>
      <c r="G12" s="182" t="s">
        <v>394</v>
      </c>
      <c r="H12" s="182" t="s">
        <v>391</v>
      </c>
      <c r="I12" s="182"/>
      <c r="J12" s="182" t="s">
        <v>488</v>
      </c>
      <c r="K12" s="182" t="s">
        <v>487</v>
      </c>
      <c r="L12" s="182" t="s">
        <v>481</v>
      </c>
      <c r="M12" s="182" t="s">
        <v>393</v>
      </c>
      <c r="N12" s="182">
        <v>50</v>
      </c>
      <c r="O12" s="182"/>
      <c r="P12" s="183" t="s">
        <v>550</v>
      </c>
      <c r="Q12" s="184"/>
      <c r="R12" s="184"/>
      <c r="S12" s="184"/>
      <c r="T12" s="184"/>
      <c r="U12" s="184">
        <v>10</v>
      </c>
      <c r="V12" s="184">
        <v>31</v>
      </c>
      <c r="W12" s="184">
        <v>9</v>
      </c>
      <c r="X12" s="184"/>
      <c r="Y12" s="109">
        <v>0</v>
      </c>
    </row>
    <row r="13" spans="1:25" x14ac:dyDescent="0.3">
      <c r="A13" s="182"/>
      <c r="B13" s="182" t="s">
        <v>389</v>
      </c>
      <c r="C13" s="182" t="s">
        <v>396</v>
      </c>
      <c r="D13" s="182" t="s">
        <v>508</v>
      </c>
      <c r="E13" s="182" t="s">
        <v>487</v>
      </c>
      <c r="F13" s="182">
        <v>1</v>
      </c>
      <c r="G13" s="182" t="s">
        <v>390</v>
      </c>
      <c r="H13" s="182" t="s">
        <v>391</v>
      </c>
      <c r="I13" s="182"/>
      <c r="J13" s="182" t="s">
        <v>488</v>
      </c>
      <c r="K13" s="182" t="s">
        <v>487</v>
      </c>
      <c r="L13" s="182" t="s">
        <v>481</v>
      </c>
      <c r="M13" s="182" t="s">
        <v>393</v>
      </c>
      <c r="N13" s="182">
        <v>30</v>
      </c>
      <c r="O13" s="182"/>
      <c r="P13" s="183" t="s">
        <v>534</v>
      </c>
      <c r="Q13" s="184"/>
      <c r="R13" s="184"/>
      <c r="S13" s="184"/>
      <c r="T13" s="184"/>
      <c r="U13" s="184"/>
      <c r="V13" s="184">
        <v>9</v>
      </c>
      <c r="W13" s="184">
        <v>3</v>
      </c>
      <c r="X13" s="184">
        <v>9</v>
      </c>
      <c r="Y13" s="185">
        <v>9</v>
      </c>
    </row>
    <row r="14" spans="1:25" x14ac:dyDescent="0.3">
      <c r="A14" s="182"/>
      <c r="B14" s="182" t="s">
        <v>485</v>
      </c>
      <c r="C14" s="182" t="s">
        <v>478</v>
      </c>
      <c r="D14" s="182" t="s">
        <v>508</v>
      </c>
      <c r="E14" s="182" t="s">
        <v>487</v>
      </c>
      <c r="F14" s="182">
        <v>1</v>
      </c>
      <c r="G14" s="182" t="s">
        <v>411</v>
      </c>
      <c r="H14" s="182" t="s">
        <v>391</v>
      </c>
      <c r="I14" s="182"/>
      <c r="J14" s="182" t="s">
        <v>488</v>
      </c>
      <c r="K14" s="182" t="s">
        <v>487</v>
      </c>
      <c r="L14" s="182" t="s">
        <v>481</v>
      </c>
      <c r="M14" s="182" t="s">
        <v>393</v>
      </c>
      <c r="N14" s="182">
        <v>30</v>
      </c>
      <c r="O14" s="182"/>
      <c r="P14" s="183" t="s">
        <v>542</v>
      </c>
      <c r="Q14" s="184"/>
      <c r="R14" s="184"/>
      <c r="S14" s="184"/>
      <c r="T14" s="184"/>
      <c r="U14" s="184"/>
      <c r="V14" s="184"/>
      <c r="W14" s="184"/>
      <c r="X14" s="184"/>
      <c r="Y14" s="185">
        <v>30</v>
      </c>
    </row>
    <row r="15" spans="1:25" x14ac:dyDescent="0.3">
      <c r="A15" s="182"/>
      <c r="B15" s="182" t="s">
        <v>389</v>
      </c>
      <c r="C15" s="182" t="s">
        <v>396</v>
      </c>
      <c r="D15" s="182" t="s">
        <v>508</v>
      </c>
      <c r="E15" s="182" t="s">
        <v>487</v>
      </c>
      <c r="F15" s="182">
        <v>1</v>
      </c>
      <c r="G15" s="182" t="s">
        <v>390</v>
      </c>
      <c r="H15" s="182" t="s">
        <v>391</v>
      </c>
      <c r="I15" s="182"/>
      <c r="J15" s="182" t="s">
        <v>488</v>
      </c>
      <c r="K15" s="182" t="s">
        <v>487</v>
      </c>
      <c r="L15" s="182" t="s">
        <v>481</v>
      </c>
      <c r="M15" s="182" t="s">
        <v>393</v>
      </c>
      <c r="N15" s="182">
        <v>20</v>
      </c>
      <c r="O15" s="182"/>
      <c r="P15" s="183" t="s">
        <v>534</v>
      </c>
      <c r="Q15" s="184"/>
      <c r="R15" s="184"/>
      <c r="S15" s="184"/>
      <c r="T15" s="184"/>
      <c r="U15" s="184"/>
      <c r="V15" s="184"/>
      <c r="W15" s="184"/>
      <c r="X15" s="184"/>
      <c r="Y15" s="185">
        <v>20</v>
      </c>
    </row>
    <row r="16" spans="1:25" x14ac:dyDescent="0.3">
      <c r="A16" s="182"/>
      <c r="B16" s="182" t="s">
        <v>485</v>
      </c>
      <c r="C16" s="182" t="s">
        <v>478</v>
      </c>
      <c r="D16" s="182" t="s">
        <v>508</v>
      </c>
      <c r="E16" s="182" t="s">
        <v>487</v>
      </c>
      <c r="F16" s="182">
        <v>1</v>
      </c>
      <c r="G16" s="182" t="s">
        <v>411</v>
      </c>
      <c r="H16" s="182" t="s">
        <v>391</v>
      </c>
      <c r="I16" s="182"/>
      <c r="J16" s="182" t="s">
        <v>488</v>
      </c>
      <c r="K16" s="182" t="s">
        <v>487</v>
      </c>
      <c r="L16" s="182" t="s">
        <v>481</v>
      </c>
      <c r="M16" s="182" t="s">
        <v>393</v>
      </c>
      <c r="N16" s="182">
        <v>40</v>
      </c>
      <c r="O16" s="182"/>
      <c r="P16" s="183" t="s">
        <v>542</v>
      </c>
      <c r="Q16" s="184"/>
      <c r="R16" s="184"/>
      <c r="S16" s="184"/>
      <c r="T16" s="184"/>
      <c r="U16" s="184"/>
      <c r="V16" s="184"/>
      <c r="W16" s="184"/>
      <c r="X16" s="184"/>
      <c r="Y16" s="185">
        <v>40</v>
      </c>
    </row>
    <row r="17" spans="1:25" x14ac:dyDescent="0.3">
      <c r="A17" s="182" t="s">
        <v>395</v>
      </c>
      <c r="B17" s="182" t="s">
        <v>389</v>
      </c>
      <c r="C17" s="182" t="s">
        <v>396</v>
      </c>
      <c r="D17" s="182" t="s">
        <v>508</v>
      </c>
      <c r="E17" s="182" t="s">
        <v>397</v>
      </c>
      <c r="F17" s="182">
        <v>1</v>
      </c>
      <c r="G17" s="182" t="s">
        <v>390</v>
      </c>
      <c r="H17" s="182" t="s">
        <v>391</v>
      </c>
      <c r="I17" s="182" t="s">
        <v>533</v>
      </c>
      <c r="J17" s="182" t="s">
        <v>398</v>
      </c>
      <c r="K17" s="182" t="s">
        <v>397</v>
      </c>
      <c r="L17" s="182" t="s">
        <v>392</v>
      </c>
      <c r="M17" s="182" t="s">
        <v>399</v>
      </c>
      <c r="N17" s="182"/>
      <c r="O17" s="182">
        <v>74</v>
      </c>
      <c r="P17" s="183" t="s">
        <v>534</v>
      </c>
      <c r="Q17" s="184"/>
      <c r="R17" s="184"/>
      <c r="S17" s="184">
        <v>14</v>
      </c>
      <c r="T17" s="184">
        <v>43</v>
      </c>
      <c r="U17" s="184">
        <v>17</v>
      </c>
      <c r="V17" s="184"/>
      <c r="W17" s="184"/>
      <c r="X17" s="184"/>
      <c r="Y17" s="109">
        <v>0</v>
      </c>
    </row>
    <row r="18" spans="1:25" x14ac:dyDescent="0.3">
      <c r="A18" s="182"/>
      <c r="B18" s="182"/>
      <c r="C18" s="182" t="s">
        <v>396</v>
      </c>
      <c r="D18" s="182" t="s">
        <v>508</v>
      </c>
      <c r="E18" s="182" t="s">
        <v>397</v>
      </c>
      <c r="F18" s="182">
        <v>1</v>
      </c>
      <c r="G18" s="182" t="s">
        <v>555</v>
      </c>
      <c r="H18" s="182" t="s">
        <v>419</v>
      </c>
      <c r="I18" s="182" t="s">
        <v>430</v>
      </c>
      <c r="J18" s="182" t="s">
        <v>398</v>
      </c>
      <c r="K18" s="182" t="s">
        <v>397</v>
      </c>
      <c r="L18" s="182" t="s">
        <v>392</v>
      </c>
      <c r="M18" s="182" t="s">
        <v>399</v>
      </c>
      <c r="N18" s="182"/>
      <c r="O18" s="182">
        <v>15</v>
      </c>
      <c r="P18" s="183" t="s">
        <v>534</v>
      </c>
      <c r="Q18" s="184">
        <v>2</v>
      </c>
      <c r="R18" s="184">
        <v>8</v>
      </c>
      <c r="S18" s="184">
        <v>2</v>
      </c>
      <c r="T18" s="184"/>
      <c r="U18" s="184"/>
      <c r="V18" s="184"/>
      <c r="W18" s="184"/>
      <c r="X18" s="184"/>
      <c r="Y18" s="185">
        <v>3</v>
      </c>
    </row>
    <row r="19" spans="1:25" x14ac:dyDescent="0.3">
      <c r="A19" s="182"/>
      <c r="B19" s="182"/>
      <c r="C19" s="182" t="s">
        <v>396</v>
      </c>
      <c r="D19" s="182" t="s">
        <v>508</v>
      </c>
      <c r="E19" s="182" t="s">
        <v>397</v>
      </c>
      <c r="F19" s="182">
        <v>1</v>
      </c>
      <c r="G19" s="182" t="s">
        <v>390</v>
      </c>
      <c r="H19" s="182" t="s">
        <v>391</v>
      </c>
      <c r="I19" s="182" t="s">
        <v>430</v>
      </c>
      <c r="J19" s="182" t="s">
        <v>398</v>
      </c>
      <c r="K19" s="182" t="s">
        <v>397</v>
      </c>
      <c r="L19" s="182" t="s">
        <v>392</v>
      </c>
      <c r="M19" s="182" t="s">
        <v>399</v>
      </c>
      <c r="N19" s="182"/>
      <c r="O19" s="182">
        <v>15</v>
      </c>
      <c r="P19" s="183" t="s">
        <v>534</v>
      </c>
      <c r="Q19" s="184"/>
      <c r="R19" s="184"/>
      <c r="S19" s="184"/>
      <c r="T19" s="184">
        <v>6</v>
      </c>
      <c r="U19" s="184">
        <v>7</v>
      </c>
      <c r="V19" s="184"/>
      <c r="W19" s="184"/>
      <c r="X19" s="184"/>
      <c r="Y19" s="185">
        <v>2</v>
      </c>
    </row>
    <row r="20" spans="1:25" x14ac:dyDescent="0.3">
      <c r="A20" s="182"/>
      <c r="B20" s="182"/>
      <c r="C20" s="182" t="s">
        <v>396</v>
      </c>
      <c r="D20" s="182" t="s">
        <v>508</v>
      </c>
      <c r="E20" s="182" t="s">
        <v>397</v>
      </c>
      <c r="F20" s="182">
        <v>1</v>
      </c>
      <c r="G20" s="182" t="s">
        <v>555</v>
      </c>
      <c r="H20" s="182" t="s">
        <v>419</v>
      </c>
      <c r="I20" s="182" t="s">
        <v>926</v>
      </c>
      <c r="J20" s="182" t="s">
        <v>398</v>
      </c>
      <c r="K20" s="182" t="s">
        <v>397</v>
      </c>
      <c r="L20" s="182" t="s">
        <v>392</v>
      </c>
      <c r="M20" s="182" t="s">
        <v>399</v>
      </c>
      <c r="N20" s="182"/>
      <c r="O20" s="182">
        <v>25</v>
      </c>
      <c r="P20" s="183" t="s">
        <v>534</v>
      </c>
      <c r="Q20" s="184"/>
      <c r="R20" s="184"/>
      <c r="S20" s="184"/>
      <c r="T20" s="184"/>
      <c r="U20" s="184"/>
      <c r="V20" s="184"/>
      <c r="W20" s="184"/>
      <c r="X20" s="184"/>
      <c r="Y20" s="185">
        <v>25</v>
      </c>
    </row>
    <row r="21" spans="1:25" ht="15" thickBot="1" x14ac:dyDescent="0.35">
      <c r="A21" s="182"/>
      <c r="B21" s="182"/>
      <c r="C21" s="182" t="s">
        <v>396</v>
      </c>
      <c r="D21" s="182" t="s">
        <v>508</v>
      </c>
      <c r="E21" s="182" t="s">
        <v>397</v>
      </c>
      <c r="F21" s="182">
        <v>1</v>
      </c>
      <c r="G21" s="182" t="s">
        <v>390</v>
      </c>
      <c r="H21" s="182" t="s">
        <v>391</v>
      </c>
      <c r="I21" s="182" t="s">
        <v>926</v>
      </c>
      <c r="J21" s="182" t="s">
        <v>398</v>
      </c>
      <c r="K21" s="182" t="s">
        <v>397</v>
      </c>
      <c r="L21" s="182" t="s">
        <v>392</v>
      </c>
      <c r="M21" s="182" t="s">
        <v>399</v>
      </c>
      <c r="N21" s="182"/>
      <c r="O21" s="182">
        <v>25</v>
      </c>
      <c r="P21" s="183" t="s">
        <v>534</v>
      </c>
      <c r="Q21" s="184"/>
      <c r="R21" s="184"/>
      <c r="S21" s="184"/>
      <c r="T21" s="184"/>
      <c r="U21" s="184"/>
      <c r="V21" s="184"/>
      <c r="W21" s="184"/>
      <c r="X21" s="184"/>
      <c r="Y21" s="185">
        <v>25</v>
      </c>
    </row>
    <row r="22" spans="1:25" ht="15" thickBot="1" x14ac:dyDescent="0.35">
      <c r="A22" s="186" t="s">
        <v>407</v>
      </c>
      <c r="B22" s="186"/>
      <c r="C22" s="186"/>
      <c r="D22" s="186"/>
      <c r="E22" s="186"/>
      <c r="F22" s="186"/>
      <c r="G22" s="186"/>
      <c r="H22" s="186"/>
      <c r="I22" s="186"/>
      <c r="J22" s="186"/>
      <c r="K22" s="186"/>
      <c r="L22" s="186"/>
      <c r="M22" s="186"/>
      <c r="N22" s="186">
        <v>375</v>
      </c>
      <c r="O22" s="186">
        <v>154</v>
      </c>
      <c r="P22" s="187"/>
      <c r="Q22" s="188">
        <v>2</v>
      </c>
      <c r="R22" s="188">
        <v>8</v>
      </c>
      <c r="S22" s="188">
        <v>16</v>
      </c>
      <c r="T22" s="188">
        <v>49</v>
      </c>
      <c r="U22" s="188">
        <v>52</v>
      </c>
      <c r="V22" s="188">
        <v>121</v>
      </c>
      <c r="W22" s="188">
        <v>53</v>
      </c>
      <c r="X22" s="188">
        <v>33</v>
      </c>
      <c r="Y22" s="189">
        <v>195</v>
      </c>
    </row>
    <row r="23" spans="1:25" x14ac:dyDescent="0.3">
      <c r="A23" s="190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2026-09-24T06:01:03Z</cp:lastPrinted>
  <dcterms:created xsi:type="dcterms:W3CDTF">2024-02-27T12:12:19Z</dcterms:created>
  <dcterms:modified xsi:type="dcterms:W3CDTF">2026-09-24T06:53:37Z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9403</vt:lpwstr>
  </property>
  <property fmtid="{D5CDD505-2E9C-101B-9397-08002B2CF9AE}" pid="6" name="PickRef1">
    <vt:lpwstr>9103</vt:lpwstr>
  </property>
  <property fmtid="{D5CDD505-2E9C-101B-9397-08002B2CF9AE}" pid="7" name="LastUpdated">
    <vt:lpwstr>Last Updated: 24/09/2026 08:01:55</vt:lpwstr>
  </property>
  <property fmtid="{D5CDD505-2E9C-101B-9397-08002B2CF9AE}" pid="8" name="LastSent">
    <vt:lpwstr>Last Sent: 23/09/2026 20:19:00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24/09/2026 06:44:58</vt:lpwstr>
  </property>
</Properties>
</file>